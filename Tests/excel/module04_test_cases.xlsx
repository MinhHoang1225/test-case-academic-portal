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Module04" sheetId="2" state="visible" r:id="rId2"/>
  </sheets>
  <definedNames>
    <definedName name="_xlnm._FilterDatabase" localSheetId="1" hidden="1">'Module04'!$A$1:$N$24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E78"/>
      <sz val="10"/>
    </font>
    <font>
      <name val="Segoe UI"/>
      <b val="1"/>
      <color rgb="0064748B"/>
      <sz val="10"/>
    </font>
    <font>
      <name val="Segoe UI"/>
      <b val="1"/>
      <color rgb="00A50E0E"/>
      <sz val="10"/>
    </font>
    <font>
      <name val="Segoe UI"/>
      <b val="1"/>
      <color rgb="00B06000"/>
      <sz val="10"/>
    </font>
    <font>
      <name val="Segoe UI"/>
      <b val="1"/>
      <color rgb="001F4E78"/>
      <sz val="16"/>
    </font>
    <font>
      <name val="Segoe UI"/>
      <i val="1"/>
      <color rgb="00555555"/>
      <sz val="10"/>
    </font>
    <font>
      <name val="Segoe UI"/>
      <b val="1"/>
      <color rgb="00137333"/>
      <sz val="10"/>
    </font>
    <font>
      <name val="Segoe UI"/>
      <b val="1"/>
      <color rgb="00000000"/>
      <sz val="10"/>
    </font>
    <font>
      <name val="Segoe UI"/>
      <b val="1"/>
      <color rgb="0064748B"/>
      <sz val="9"/>
    </font>
    <font>
      <name val="Segoe UI"/>
      <b val="1"/>
      <color rgb="001E293B"/>
      <sz val="18"/>
    </font>
    <font>
      <name val="Segoe UI"/>
      <b val="1"/>
      <color rgb="001F4E78"/>
      <sz val="18"/>
    </font>
    <font>
      <name val="Segoe UI"/>
      <b val="1"/>
      <color rgb="00A50E0E"/>
      <sz val="18"/>
    </font>
    <font>
      <name val="Segoe UI"/>
      <b val="1"/>
      <color rgb="00B06000"/>
      <sz val="18"/>
    </font>
    <font>
      <name val="Segoe UI"/>
      <b val="1"/>
      <color rgb="00137333"/>
      <sz val="18"/>
    </font>
    <font>
      <name val="Segoe UI"/>
      <b val="1"/>
      <color rgb="001F4E78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1F5F9"/>
        <bgColor rgb="00F1F5F9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  <fill>
      <patternFill patternType="solid">
        <fgColor rgb="00E2E8F0"/>
        <bgColor rgb="00E2E8F0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Cases by Feature (Grouped by Priority)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'Report'!C8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prstDash val="solid"/>
            </a:ln>
          </spPr>
          <cat>
            <numRef>
              <f>'Report'!$A$9:$A$17</f>
            </numRef>
          </cat>
          <val>
            <numRef>
              <f>'Report'!$C$9:$C$17</f>
            </numRef>
          </val>
        </ser>
        <ser>
          <idx val="1"/>
          <order val="1"/>
          <tx>
            <strRef>
              <f>'Report'!D8</f>
            </strRef>
          </tx>
          <spPr>
            <a:solidFill xmlns:a="http://schemas.openxmlformats.org/drawingml/2006/main">
              <a:srgbClr val="FFFF00"/>
            </a:solidFill>
            <a:ln xmlns:a="http://schemas.openxmlformats.org/drawingml/2006/main">
              <a:prstDash val="solid"/>
            </a:ln>
          </spPr>
          <cat>
            <numRef>
              <f>'Report'!$A$9:$A$17</f>
            </numRef>
          </cat>
          <val>
            <numRef>
              <f>'Report'!$D$9:$D$17</f>
            </numRef>
          </val>
        </ser>
        <ser>
          <idx val="2"/>
          <order val="2"/>
          <tx>
            <strRef>
              <f>'Report'!E8</f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prstDash val="solid"/>
            </a:ln>
          </spPr>
          <cat>
            <numRef>
              <f>'Report'!$A$9:$A$17</f>
            </numRef>
          </cat>
          <val>
            <numRef>
              <f>'Report'!$E$9:$E$17</f>
            </numRef>
          </val>
        </ser>
        <gapWidth val="150"/>
        <overlap val="-2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Module 04 - Feature &amp; Priority Summary Report</t>
        </is>
      </c>
    </row>
    <row r="2">
      <c r="A2" s="12" t="inlineStr">
        <is>
          <t>Summary of test cases per feature, calculated via Excel formulas</t>
        </is>
      </c>
    </row>
    <row r="4" ht="18" customHeight="1">
      <c r="A4" s="13" t="inlineStr">
        <is>
          <t>Total Features</t>
        </is>
      </c>
      <c r="B4" s="13" t="inlineStr">
        <is>
          <t>Total Test Cases</t>
        </is>
      </c>
      <c r="C4" s="13" t="inlineStr">
        <is>
          <t>High Priority Features</t>
        </is>
      </c>
      <c r="D4" s="13" t="inlineStr">
        <is>
          <t>Medium Priority Features</t>
        </is>
      </c>
      <c r="E4" s="13" t="inlineStr">
        <is>
          <t>Low Priority Features</t>
        </is>
      </c>
    </row>
    <row r="5" ht="32" customHeight="1">
      <c r="A5" s="14">
        <f>COUNTA(A9:A17)</f>
        <v/>
      </c>
      <c r="B5" s="15">
        <f>F18</f>
        <v/>
      </c>
      <c r="C5" s="16">
        <f>COUNTIF(C9:C17, "&gt;0")</f>
        <v/>
      </c>
      <c r="D5" s="17">
        <f>COUNTIFS(C9:C17, 0, D9:D17, "&gt;0")</f>
        <v/>
      </c>
      <c r="E5" s="18">
        <f>COUNTIFS(C9:C17, 0, D9:D17, 0, E9:E17, "&gt;0")</f>
        <v/>
      </c>
    </row>
    <row r="7">
      <c r="A7" s="19" t="inlineStr">
        <is>
          <t>Feature Categorization &amp; Priority Breakdown</t>
        </is>
      </c>
    </row>
    <row r="8" ht="26" customHeight="1">
      <c r="A8" s="20" t="inlineStr">
        <is>
          <t>Feature ID</t>
        </is>
      </c>
      <c r="B8" s="21" t="inlineStr">
        <is>
          <t>Feature Name</t>
        </is>
      </c>
      <c r="C8" s="20" t="inlineStr">
        <is>
          <t>High Priority</t>
        </is>
      </c>
      <c r="D8" s="20" t="inlineStr">
        <is>
          <t>Medium Priority</t>
        </is>
      </c>
      <c r="E8" s="20" t="inlineStr">
        <is>
          <t>Low Priority</t>
        </is>
      </c>
      <c r="F8" s="20" t="inlineStr">
        <is>
          <t>Total TCs</t>
        </is>
      </c>
    </row>
    <row r="9" ht="22" customHeight="1">
      <c r="A9" s="22" t="inlineStr">
        <is>
          <t>M04-F01</t>
        </is>
      </c>
      <c r="B9" s="23" t="inlineStr">
        <is>
          <t>Council Feedback Record</t>
        </is>
      </c>
      <c r="C9" s="24">
        <f>COUNTIFS('Module04'!$C$2:$C$24, A9, 'Module04'!$M$2:$M$24, "High")</f>
        <v/>
      </c>
      <c r="D9" s="25">
        <f>COUNTIFS('Module04'!$C$2:$C$24, A9, 'Module04'!$M$2:$M$24, "Medium")</f>
        <v/>
      </c>
      <c r="E9" s="26">
        <f>COUNTIFS('Module04'!$C$2:$C$24, A9, 'Module04'!$M$2:$M$24, "Low")</f>
        <v/>
      </c>
      <c r="F9" s="27">
        <f>SUM(C9:E9)</f>
        <v/>
      </c>
    </row>
    <row r="10" ht="22" customHeight="1">
      <c r="A10" s="28" t="inlineStr">
        <is>
          <t>M04-F02</t>
        </is>
      </c>
      <c r="B10" s="29" t="inlineStr">
        <is>
          <t>Academic Warning Flag</t>
        </is>
      </c>
      <c r="C10" s="30">
        <f>COUNTIFS('Module04'!$C$2:$C$24, A10, 'Module04'!$M$2:$M$24, "High")</f>
        <v/>
      </c>
      <c r="D10" s="31">
        <f>COUNTIFS('Module04'!$C$2:$C$24, A10, 'Module04'!$M$2:$M$24, "Medium")</f>
        <v/>
      </c>
      <c r="E10" s="32">
        <f>COUNTIFS('Module04'!$C$2:$C$24, A10, 'Module04'!$M$2:$M$24, "Low")</f>
        <v/>
      </c>
      <c r="F10" s="33">
        <f>SUM(C10:E10)</f>
        <v/>
      </c>
    </row>
    <row r="11" ht="22" customHeight="1">
      <c r="A11" s="22" t="inlineStr">
        <is>
          <t>M04-F03</t>
        </is>
      </c>
      <c r="B11" s="23" t="inlineStr">
        <is>
          <t>Duplicate Record Prevention</t>
        </is>
      </c>
      <c r="C11" s="24">
        <f>COUNTIFS('Module04'!$C$2:$C$24, A11, 'Module04'!$M$2:$M$24, "High")</f>
        <v/>
      </c>
      <c r="D11" s="25">
        <f>COUNTIFS('Module04'!$C$2:$C$24, A11, 'Module04'!$M$2:$M$24, "Medium")</f>
        <v/>
      </c>
      <c r="E11" s="26">
        <f>COUNTIFS('Module04'!$C$2:$C$24, A11, 'Module04'!$M$2:$M$24, "Low")</f>
        <v/>
      </c>
      <c r="F11" s="27">
        <f>SUM(C11:E11)</f>
        <v/>
      </c>
    </row>
    <row r="12" ht="22" customHeight="1">
      <c r="A12" s="28" t="inlineStr">
        <is>
          <t>M04-F04</t>
        </is>
      </c>
      <c r="B12" s="29" t="inlineStr">
        <is>
          <t>Auto Draft Saving</t>
        </is>
      </c>
      <c r="C12" s="30">
        <f>COUNTIFS('Module04'!$C$2:$C$24, A12, 'Module04'!$M$2:$M$24, "High")</f>
        <v/>
      </c>
      <c r="D12" s="31">
        <f>COUNTIFS('Module04'!$C$2:$C$24, A12, 'Module04'!$M$2:$M$24, "Medium")</f>
        <v/>
      </c>
      <c r="E12" s="32">
        <f>COUNTIFS('Module04'!$C$2:$C$24, A12, 'Module04'!$M$2:$M$24, "Low")</f>
        <v/>
      </c>
      <c r="F12" s="33">
        <f>SUM(C12:E12)</f>
        <v/>
      </c>
    </row>
    <row r="13" ht="22" customHeight="1">
      <c r="A13" s="22" t="inlineStr">
        <is>
          <t>M04-F05</t>
        </is>
      </c>
      <c r="B13" s="23" t="inlineStr">
        <is>
          <t>Draft Recovery / Discard</t>
        </is>
      </c>
      <c r="C13" s="24">
        <f>COUNTIFS('Module04'!$C$2:$C$24, A13, 'Module04'!$M$2:$M$24, "High")</f>
        <v/>
      </c>
      <c r="D13" s="25">
        <f>COUNTIFS('Module04'!$C$2:$C$24, A13, 'Module04'!$M$2:$M$24, "Medium")</f>
        <v/>
      </c>
      <c r="E13" s="26">
        <f>COUNTIFS('Module04'!$C$2:$C$24, A13, 'Module04'!$M$2:$M$24, "Low")</f>
        <v/>
      </c>
      <c r="F13" s="27">
        <f>SUM(C13:E13)</f>
        <v/>
      </c>
    </row>
    <row r="14" ht="22" customHeight="1">
      <c r="A14" s="28" t="inlineStr">
        <is>
          <t>M04-F06</t>
        </is>
      </c>
      <c r="B14" s="29" t="inlineStr">
        <is>
          <t>Batch Feedback Entry</t>
        </is>
      </c>
      <c r="C14" s="30">
        <f>COUNTIFS('Module04'!$C$2:$C$24, A14, 'Module04'!$M$2:$M$24, "High")</f>
        <v/>
      </c>
      <c r="D14" s="31">
        <f>COUNTIFS('Module04'!$C$2:$C$24, A14, 'Module04'!$M$2:$M$24, "Medium")</f>
        <v/>
      </c>
      <c r="E14" s="32">
        <f>COUNTIFS('Module04'!$C$2:$C$24, A14, 'Module04'!$M$2:$M$24, "Low")</f>
        <v/>
      </c>
      <c r="F14" s="33">
        <f>SUM(C14:E14)</f>
        <v/>
      </c>
    </row>
    <row r="15" ht="22" customHeight="1">
      <c r="A15" s="22" t="inlineStr">
        <is>
          <t>M04-F07</t>
        </is>
      </c>
      <c r="B15" s="23" t="inlineStr">
        <is>
          <t>Concurrent Edit Conflict Handling</t>
        </is>
      </c>
      <c r="C15" s="24">
        <f>COUNTIFS('Module04'!$C$2:$C$24, A15, 'Module04'!$M$2:$M$24, "High")</f>
        <v/>
      </c>
      <c r="D15" s="25">
        <f>COUNTIFS('Module04'!$C$2:$C$24, A15, 'Module04'!$M$2:$M$24, "Medium")</f>
        <v/>
      </c>
      <c r="E15" s="26">
        <f>COUNTIFS('Module04'!$C$2:$C$24, A15, 'Module04'!$M$2:$M$24, "Low")</f>
        <v/>
      </c>
      <c r="F15" s="27">
        <f>SUM(C15:E15)</f>
        <v/>
      </c>
    </row>
    <row r="16" ht="22" customHeight="1">
      <c r="A16" s="28" t="inlineStr">
        <is>
          <t>M04-F08</t>
        </is>
      </c>
      <c r="B16" s="29" t="inlineStr">
        <is>
          <t>PDF Report Export</t>
        </is>
      </c>
      <c r="C16" s="30">
        <f>COUNTIFS('Module04'!$C$2:$C$24, A16, 'Module04'!$M$2:$M$24, "High")</f>
        <v/>
      </c>
      <c r="D16" s="31">
        <f>COUNTIFS('Module04'!$C$2:$C$24, A16, 'Module04'!$M$2:$M$24, "Medium")</f>
        <v/>
      </c>
      <c r="E16" s="32">
        <f>COUNTIFS('Module04'!$C$2:$C$24, A16, 'Module04'!$M$2:$M$24, "Low")</f>
        <v/>
      </c>
      <c r="F16" s="33">
        <f>SUM(C16:E16)</f>
        <v/>
      </c>
    </row>
    <row r="17" ht="22" customHeight="1">
      <c r="A17" s="22" t="inlineStr">
        <is>
          <t>M04-SEC</t>
        </is>
      </c>
      <c r="B17" s="23" t="inlineStr">
        <is>
          <t>Access Control &amp; Security</t>
        </is>
      </c>
      <c r="C17" s="24">
        <f>COUNTIFS('Module04'!$C$2:$C$24, A17, 'Module04'!$M$2:$M$24, "High")</f>
        <v/>
      </c>
      <c r="D17" s="25">
        <f>COUNTIFS('Module04'!$C$2:$C$24, A17, 'Module04'!$M$2:$M$24, "Medium")</f>
        <v/>
      </c>
      <c r="E17" s="26">
        <f>COUNTIFS('Module04'!$C$2:$C$24, A17, 'Module04'!$M$2:$M$24, "Low")</f>
        <v/>
      </c>
      <c r="F17" s="27">
        <f>SUM(C17:E17)</f>
        <v/>
      </c>
    </row>
    <row r="18" ht="24" customHeight="1">
      <c r="A18" s="34" t="inlineStr">
        <is>
          <t>Total</t>
        </is>
      </c>
      <c r="B18" s="35">
        <f>COUNTA(A9:A17)&amp;" Features"</f>
        <v/>
      </c>
      <c r="C18" s="34">
        <f>SUM(C9:C17)</f>
        <v/>
      </c>
      <c r="D18" s="34">
        <f>SUM(D9:D17)</f>
        <v/>
      </c>
      <c r="E18" s="34">
        <f>SUM(E9:E17)</f>
        <v/>
      </c>
      <c r="F18" s="34">
        <f>SUM(F9:F17)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8" customWidth="1" min="4" max="4"/>
    <col width="32" customWidth="1" min="5" max="5"/>
    <col width="36" customWidth="1" min="6" max="6"/>
    <col width="30" customWidth="1" min="7" max="7"/>
    <col width="28" customWidth="1" min="8" max="8"/>
    <col width="48" customWidth="1" min="9" max="9"/>
    <col width="48" customWidth="1" min="10" max="10"/>
    <col width="36" customWidth="1" min="11" max="11"/>
    <col width="16" customWidth="1" min="12" max="12"/>
    <col width="14" customWidth="1" min="13" max="13"/>
    <col width="32" customWidth="1" min="14" max="14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Feature ID</t>
        </is>
      </c>
      <c r="D1" s="1" t="inlineStr">
        <is>
          <t>Feature Name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Preconditions</t>
        </is>
      </c>
      <c r="H1" s="1" t="inlineStr">
        <is>
          <t>TestData</t>
        </is>
      </c>
      <c r="I1" s="1" t="inlineStr">
        <is>
          <t>Steps</t>
        </is>
      </c>
      <c r="J1" s="1" t="inlineStr">
        <is>
          <t>ExpectedResult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Priority</t>
        </is>
      </c>
      <c r="N1" s="1" t="inlineStr">
        <is>
          <t>Notes</t>
        </is>
      </c>
    </row>
    <row r="2" ht="180" customHeight="1">
      <c r="A2" s="2" t="inlineStr">
        <is>
          <t>TC-M04-001</t>
        </is>
      </c>
      <c r="B2" s="2" t="inlineStr">
        <is>
          <t>Module 04</t>
        </is>
      </c>
      <c r="C2" s="3" t="inlineStr">
        <is>
          <t>M04-F01</t>
        </is>
      </c>
      <c r="D2" s="4" t="inlineStr">
        <is>
          <t>Council Feedback Record</t>
        </is>
      </c>
      <c r="E2" s="4" t="inlineStr">
        <is>
          <t>Record Council Feedback Successful</t>
        </is>
      </c>
      <c r="F2" s="4" t="inlineStr">
        <is>
          <t>Verify that staff can successfully record a Class Council record with comments from all departments.</t>
        </is>
      </c>
      <c r="G2" s="4" t="inlineStr">
        <is>
          <t>Staff user is logged in. Student ST001 and Semester 1 exist. No council record exists for ST001 in Semester 1.</t>
        </is>
      </c>
      <c r="H2" s="4" t="inlineStr">
        <is>
          <t>Student=ST001; Semester=Semester 1; GeneralComment=Strong learning attitude; ITComment=Excellent coding skills; EnglishComment=Fluent communicator; PLTComment=Highly cooperative; EducatorComment=Good behavior</t>
        </is>
      </c>
      <c r="I2" s="4" t="inlineStr">
        <is>
          <t>1. Navigate to Class Council Management;
2. Click Create Council Record;
3. Select Student ST001 and Semester 'Semester 1';
4. Enter General Comment 'Strong learning attitude';
5. Enter IT Comment 'Excellent coding skills';
6. Enter English Comment 'Fluent communicator';
7. Enter PLT Comment 'Highly cooperative';
8. Enter Educator Comment 'Good behavior';
9. Click Save</t>
        </is>
      </c>
      <c r="J2" s="4" t="inlineStr">
        <is>
          <t>The record is saved successfully. A success message appears. The student's record is displayed in the list with all comments.</t>
        </is>
      </c>
      <c r="K2" s="4" t="inlineStr"/>
      <c r="L2" s="5" t="inlineStr">
        <is>
          <t>Not Run</t>
        </is>
      </c>
      <c r="M2" s="6" t="inlineStr">
        <is>
          <t>High</t>
        </is>
      </c>
      <c r="N2" s="4" t="inlineStr">
        <is>
          <t>Related Requirement: M04-F01</t>
        </is>
      </c>
    </row>
    <row r="3" ht="165" customHeight="1">
      <c r="A3" s="7" t="inlineStr">
        <is>
          <t>TC-M04-002</t>
        </is>
      </c>
      <c r="B3" s="7" t="inlineStr">
        <is>
          <t>Module 04</t>
        </is>
      </c>
      <c r="C3" s="8" t="inlineStr">
        <is>
          <t>M04-F01</t>
        </is>
      </c>
      <c r="D3" s="9" t="inlineStr">
        <is>
          <t>Council Feedback Record</t>
        </is>
      </c>
      <c r="E3" s="9" t="inlineStr">
        <is>
          <t>Record Council Feedback with Empty Optional Fields</t>
        </is>
      </c>
      <c r="F3" s="9" t="inlineStr">
        <is>
          <t>Verify that saving a completely empty council feedback record is allowed without validation errors.</t>
        </is>
      </c>
      <c r="G3" s="9" t="inlineStr">
        <is>
          <t>Staff user is logged in. Student ST002 and Semester 1 exist. No record exists for ST002 in Semester 1.</t>
        </is>
      </c>
      <c r="H3" s="9" t="inlineStr">
        <is>
          <t>Student=ST002; Semester=Semester 1; AllComments=Empty; Warning=False; WarningReason=Empty</t>
        </is>
      </c>
      <c r="I3" s="9" t="inlineStr">
        <is>
          <t>1. Navigate to Class Council Management;
2. Click Create Council Record;
3. Select Student ST002 and Semester 'Semester 1';
4. Leave all comment fields empty;
5. Ensure Warning is unchecked and Warning Reason is blank;
6. Click Save</t>
        </is>
      </c>
      <c r="J3" s="9" t="inlineStr">
        <is>
          <t>The record is saved successfully. No validation errors occur. No badges appear on the list for student ST002.</t>
        </is>
      </c>
      <c r="K3" s="9" t="inlineStr"/>
      <c r="L3" s="5" t="inlineStr">
        <is>
          <t>Not Run</t>
        </is>
      </c>
      <c r="M3" s="6" t="inlineStr">
        <is>
          <t>High</t>
        </is>
      </c>
      <c r="N3" s="9" t="inlineStr">
        <is>
          <t>Related Requirement: M04-F01, Optional Fields 6.2</t>
        </is>
      </c>
    </row>
    <row r="4" ht="120" customHeight="1">
      <c r="A4" s="2" t="inlineStr">
        <is>
          <t>TC-M04-003</t>
        </is>
      </c>
      <c r="B4" s="2" t="inlineStr">
        <is>
          <t>Module 04</t>
        </is>
      </c>
      <c r="C4" s="3" t="inlineStr">
        <is>
          <t>M04-F02</t>
        </is>
      </c>
      <c r="D4" s="4" t="inlineStr">
        <is>
          <t>Academic Warning Flag</t>
        </is>
      </c>
      <c r="E4" s="4" t="inlineStr">
        <is>
          <t>Set Academic Warning Flag and Warning Reason</t>
        </is>
      </c>
      <c r="F4" s="4" t="inlineStr">
        <is>
          <t>Verify that staff can set an academic warning flag and input a warning reason.</t>
        </is>
      </c>
      <c r="G4" s="4" t="inlineStr">
        <is>
          <t>Staff user is logged in. Student ST001 and Semester 1 exist.</t>
        </is>
      </c>
      <c r="H4" s="4" t="inlineStr">
        <is>
          <t>Student=ST001; Semester=Semester 1; Warning=True; WarningReason=Attendance below required level</t>
        </is>
      </c>
      <c r="I4" s="4" t="inlineStr">
        <is>
          <t>1. Open the council record for ST001 in Semester 1;
2. Check the 'Academic Warning' checkbox;
3. Enter Warning Reason: 'Attendance below required level';
4. Click Save</t>
        </is>
      </c>
      <c r="J4" s="4" t="inlineStr">
        <is>
          <t>The record is saved successfully. The warning badge (⚠) appears next to the student's name in the list.</t>
        </is>
      </c>
      <c r="K4" s="4" t="inlineStr"/>
      <c r="L4" s="5" t="inlineStr">
        <is>
          <t>Not Run</t>
        </is>
      </c>
      <c r="M4" s="6" t="inlineStr">
        <is>
          <t>High</t>
        </is>
      </c>
      <c r="N4" s="4" t="inlineStr">
        <is>
          <t>Related Requirement: M04-F02, Academic Warning 6.3</t>
        </is>
      </c>
    </row>
    <row r="5" ht="105" customHeight="1">
      <c r="A5" s="7" t="inlineStr">
        <is>
          <t>TC-M04-004</t>
        </is>
      </c>
      <c r="B5" s="7" t="inlineStr">
        <is>
          <t>Module 04</t>
        </is>
      </c>
      <c r="C5" s="8" t="inlineStr">
        <is>
          <t>M04-F02</t>
        </is>
      </c>
      <c r="D5" s="9" t="inlineStr">
        <is>
          <t>Academic Warning Flag</t>
        </is>
      </c>
      <c r="E5" s="9" t="inlineStr">
        <is>
          <t>Set Academic Warning Flag with Empty Warning Reason</t>
        </is>
      </c>
      <c r="F5" s="9" t="inlineStr">
        <is>
          <t>Verify that warning reason is optional and saving warning flag without a reason is allowed.</t>
        </is>
      </c>
      <c r="G5" s="9" t="inlineStr">
        <is>
          <t>Staff user is logged in.</t>
        </is>
      </c>
      <c r="H5" s="9" t="inlineStr">
        <is>
          <t>Student=ST001; Semester=Semester 1; Warning=True; WarningReason=Empty</t>
        </is>
      </c>
      <c r="I5" s="9" t="inlineStr">
        <is>
          <t>1. Open the council record for ST001 in Semester 1;
2. Check the 'Academic Warning' checkbox;
3. Leave 'Warning Reason' empty;
4. Click Save</t>
        </is>
      </c>
      <c r="J5" s="9" t="inlineStr">
        <is>
          <t>The record is saved successfully. No validation errors occur. The warning badge (⚠) is displayed on the student list.</t>
        </is>
      </c>
      <c r="K5" s="9" t="inlineStr"/>
      <c r="L5" s="5" t="inlineStr">
        <is>
          <t>Not Run</t>
        </is>
      </c>
      <c r="M5" s="6" t="inlineStr">
        <is>
          <t>High</t>
        </is>
      </c>
      <c r="N5" s="9" t="inlineStr">
        <is>
          <t>Related Requirement: M04-F02, Optional Fields 6.2, Validation Rules 7</t>
        </is>
      </c>
    </row>
    <row r="6" ht="75" customHeight="1">
      <c r="A6" s="2" t="inlineStr">
        <is>
          <t>TC-M04-005</t>
        </is>
      </c>
      <c r="B6" s="2" t="inlineStr">
        <is>
          <t>Module 04</t>
        </is>
      </c>
      <c r="C6" s="3" t="inlineStr">
        <is>
          <t>M04-F03</t>
        </is>
      </c>
      <c r="D6" s="4" t="inlineStr">
        <is>
          <t>Duplicate Record Prevention</t>
        </is>
      </c>
      <c r="E6" s="4" t="inlineStr">
        <is>
          <t>Block Duplicate Council Record for Same Student and Semester</t>
        </is>
      </c>
      <c r="F6" s="4" t="inlineStr">
        <is>
          <t>Verify that the system blocks creating a second Class Council record for the same student in the same semester.</t>
        </is>
      </c>
      <c r="G6" s="4" t="inlineStr">
        <is>
          <t>Staff user is logged in. A Class Council record already exists for ST001 in Semester 1.</t>
        </is>
      </c>
      <c r="H6" s="4" t="inlineStr">
        <is>
          <t>Student=ST001; Semester=Semester 1</t>
        </is>
      </c>
      <c r="I6" s="4" t="inlineStr">
        <is>
          <t>1. Open Create Council Record;
2. Select Student ST001 and Semester 'Semester 1';
3. Enter any comment and click Save</t>
        </is>
      </c>
      <c r="J6" s="4" t="inlineStr">
        <is>
          <t>The system rejects saving and displays error: 'Duplicate record error'. No duplicate record is created.</t>
        </is>
      </c>
      <c r="K6" s="4" t="inlineStr"/>
      <c r="L6" s="5" t="inlineStr">
        <is>
          <t>Not Run</t>
        </is>
      </c>
      <c r="M6" s="6" t="inlineStr">
        <is>
          <t>High</t>
        </is>
      </c>
      <c r="N6" s="4" t="inlineStr">
        <is>
          <t>Related Requirement: M04-F03, One Record per Student per Semester 6.1</t>
        </is>
      </c>
    </row>
    <row r="7" ht="120" customHeight="1">
      <c r="A7" s="7" t="inlineStr">
        <is>
          <t>TC-M04-006</t>
        </is>
      </c>
      <c r="B7" s="7" t="inlineStr">
        <is>
          <t>Module 04</t>
        </is>
      </c>
      <c r="C7" s="8" t="inlineStr">
        <is>
          <t>M04-F04</t>
        </is>
      </c>
      <c r="D7" s="9" t="inlineStr">
        <is>
          <t>Auto Draft Saving</t>
        </is>
      </c>
      <c r="E7" s="9" t="inlineStr">
        <is>
          <t>Verify Automatic Draft Saving in Browser Local Storage</t>
        </is>
      </c>
      <c r="F7" s="9" t="inlineStr">
        <is>
          <t>Verify that the system automatically saves typed comments into local storage in the background.</t>
        </is>
      </c>
      <c r="G7" s="9" t="inlineStr">
        <is>
          <t>Staff user is logged in. Bi-directional sync/save has not been initiated.</t>
        </is>
      </c>
      <c r="H7" s="9" t="inlineStr">
        <is>
          <t>Student=ST003; Semester=Semester 1; ITComment=Draft comment for IT department</t>
        </is>
      </c>
      <c r="I7" s="9" t="inlineStr">
        <is>
          <t>1. Open the council record for ST003 in Semester 1;
2. Type IT Comment 'Draft comment for IT department';
3. Do NOT click Save;
4. Open Developer Tools -&gt; Application -&gt; Local Storage</t>
        </is>
      </c>
      <c r="J7" s="9" t="inlineStr">
        <is>
          <t>The text 'Draft comment for IT department' is saved automatically to browser Local Storage under a key representing ST003/Semester 1 as typing occurs.</t>
        </is>
      </c>
      <c r="K7" s="9" t="inlineStr"/>
      <c r="L7" s="5" t="inlineStr">
        <is>
          <t>Not Run</t>
        </is>
      </c>
      <c r="M7" s="6" t="inlineStr">
        <is>
          <t>High</t>
        </is>
      </c>
      <c r="N7" s="9" t="inlineStr">
        <is>
          <t>Related Requirement: M04-F04, Automatic Draft Saving 6.5</t>
        </is>
      </c>
    </row>
    <row r="8" ht="120" customHeight="1">
      <c r="A8" s="2" t="inlineStr">
        <is>
          <t>TC-M04-007</t>
        </is>
      </c>
      <c r="B8" s="2" t="inlineStr">
        <is>
          <t>Module 04</t>
        </is>
      </c>
      <c r="C8" s="3" t="inlineStr">
        <is>
          <t>M04-F05</t>
        </is>
      </c>
      <c r="D8" s="4" t="inlineStr">
        <is>
          <t>Draft Recovery / Discard</t>
        </is>
      </c>
      <c r="E8" s="4" t="inlineStr">
        <is>
          <t>Recover Unsaved Draft after Unexpected Browser Closure</t>
        </is>
      </c>
      <c r="F8" s="4" t="inlineStr">
        <is>
          <t>Verify that the system detects unsaved local drafts and displays a prompt to restore them.</t>
        </is>
      </c>
      <c r="G8" s="4" t="inlineStr">
        <is>
          <t>Unsaved draft for ST003 with ITComment='Draft comment for IT department' exists in Local Storage. Sheets database does not have this comment.</t>
        </is>
      </c>
      <c r="H8" s="4" t="inlineStr">
        <is>
          <t>Student=ST003; Semester=Semester 1</t>
        </is>
      </c>
      <c r="I8" s="4" t="inlineStr">
        <is>
          <t>1. Close browser and reopen it (simulating crash);
2. Navigate back to the council record for ST003 in Semester 1;
3. Verify prompt;
4. Select 'Continue editing'</t>
        </is>
      </c>
      <c r="J8" s="4" t="inlineStr">
        <is>
          <t>An 'Unsaved Draft' warning/prompt is shown. Selecting 'Continue editing' restores the draft text 'Draft comment for IT department' to the IT Comment text box.</t>
        </is>
      </c>
      <c r="K8" s="4" t="inlineStr"/>
      <c r="L8" s="5" t="inlineStr">
        <is>
          <t>Not Run</t>
        </is>
      </c>
      <c r="M8" s="6" t="inlineStr">
        <is>
          <t>High</t>
        </is>
      </c>
      <c r="N8" s="4" t="inlineStr">
        <is>
          <t>Related Requirement: M04-F05, Draft Recovery 6.6</t>
        </is>
      </c>
    </row>
    <row r="9" ht="90" customHeight="1">
      <c r="A9" s="7" t="inlineStr">
        <is>
          <t>TC-M04-008</t>
        </is>
      </c>
      <c r="B9" s="7" t="inlineStr">
        <is>
          <t>Module 04</t>
        </is>
      </c>
      <c r="C9" s="8" t="inlineStr">
        <is>
          <t>M04-F05</t>
        </is>
      </c>
      <c r="D9" s="9" t="inlineStr">
        <is>
          <t>Draft Recovery / Discard</t>
        </is>
      </c>
      <c r="E9" s="9" t="inlineStr">
        <is>
          <t>Discard Unsaved Draft to Restore Last Saved Data</t>
        </is>
      </c>
      <c r="F9" s="9" t="inlineStr">
        <is>
          <t>Verify that choosing to discard an unsaved draft removes it and restores the last saved data from database.</t>
        </is>
      </c>
      <c r="G9" s="9" t="inlineStr">
        <is>
          <t>Official database record for ST003 has ITComment='Good student'. Unsaved draft in Local Storage has ITComment='Draft edit'.</t>
        </is>
      </c>
      <c r="H9" s="9" t="inlineStr">
        <is>
          <t>Student=ST003; Semester=Semester 1</t>
        </is>
      </c>
      <c r="I9" s="9" t="inlineStr">
        <is>
          <t>1. Open council record for ST003 in Semester 1;
2. When 'Unsaved Draft' prompt appears, select 'Discard draft';
3. Check the IT Comment text box</t>
        </is>
      </c>
      <c r="J9" s="9" t="inlineStr">
        <is>
          <t>Local Storage draft is cleared. The IT Comment reverts to the database value 'Good student'. Draft edits are discarded.</t>
        </is>
      </c>
      <c r="K9" s="9" t="inlineStr"/>
      <c r="L9" s="5" t="inlineStr">
        <is>
          <t>Not Run</t>
        </is>
      </c>
      <c r="M9" s="6" t="inlineStr">
        <is>
          <t>High</t>
        </is>
      </c>
      <c r="N9" s="9" t="inlineStr">
        <is>
          <t>Related Requirement: M04-F05, Draft Recovery 6.6</t>
        </is>
      </c>
    </row>
    <row r="10" ht="135" customHeight="1">
      <c r="A10" s="2" t="inlineStr">
        <is>
          <t>TC-M04-009</t>
        </is>
      </c>
      <c r="B10" s="2" t="inlineStr">
        <is>
          <t>Module 04</t>
        </is>
      </c>
      <c r="C10" s="3" t="inlineStr">
        <is>
          <t>M04-F06</t>
        </is>
      </c>
      <c r="D10" s="4" t="inlineStr">
        <is>
          <t>Batch Feedback Entry</t>
        </is>
      </c>
      <c r="E10" s="4" t="inlineStr">
        <is>
          <t>Batch Feedback Entry by Comment Type</t>
        </is>
      </c>
      <c r="F10" s="4" t="inlineStr">
        <is>
          <t>Verify that staff can enter the same feedback type for multiple students simultaneously in batch mode.</t>
        </is>
      </c>
      <c r="G10" s="4" t="inlineStr">
        <is>
          <t>Staff user is logged in. Students ST001, ST002, and ST003 exist in Batch PNV26A.</t>
        </is>
      </c>
      <c r="H10" s="4" t="inlineStr">
        <is>
          <t>Batch=PNV26A; Semester=Semester 1; FeedbackType=IT Comment; Comments='Active performance in programming project' for ST001, ST002, and ST003</t>
        </is>
      </c>
      <c r="I10" s="4" t="inlineStr">
        <is>
          <t>1. Open Batch Feedback page;
2. Select Batch PNV26A, Semester 'Semester 1', and Feedback Type 'IT Comment';
3. In the grid, type 'Active performance in programming project' for ST001, ST002, and ST003;
4. Click Save All</t>
        </is>
      </c>
      <c r="J10" s="4" t="inlineStr">
        <is>
          <t>All three records are saved successfully. Success message 'Saved 3 students' is shown. Selected students have the new IT comment.</t>
        </is>
      </c>
      <c r="K10" s="4" t="inlineStr"/>
      <c r="L10" s="5" t="inlineStr">
        <is>
          <t>Not Run</t>
        </is>
      </c>
      <c r="M10" s="6" t="inlineStr">
        <is>
          <t>High</t>
        </is>
      </c>
      <c r="N10" s="4" t="inlineStr">
        <is>
          <t>Related Requirement: M04-F06, Batch Feedback 6.7</t>
        </is>
      </c>
    </row>
    <row r="11" ht="120" customHeight="1">
      <c r="A11" s="7" t="inlineStr">
        <is>
          <t>TC-M04-010</t>
        </is>
      </c>
      <c r="B11" s="7" t="inlineStr">
        <is>
          <t>Module 04</t>
        </is>
      </c>
      <c r="C11" s="8" t="inlineStr">
        <is>
          <t>M04-F06</t>
        </is>
      </c>
      <c r="D11" s="9" t="inlineStr">
        <is>
          <t>Batch Feedback Entry</t>
        </is>
      </c>
      <c r="E11" s="9" t="inlineStr">
        <is>
          <t>Batch Feedback Entry Does Not Overwrite Other Comment Fields</t>
        </is>
      </c>
      <c r="F11" s="9" t="inlineStr">
        <is>
          <t>Verify that entering batch feedback for one field does not erase other existing comment fields for that student.</t>
        </is>
      </c>
      <c r="G11" s="9" t="inlineStr">
        <is>
          <t>Student ST001 has existing ITComment='Excellent coding' and EnglishComment='Good speaking'.</t>
        </is>
      </c>
      <c r="H11" s="9" t="inlineStr">
        <is>
          <t>FeedbackType=English Comment; NewEnglishComment='Excellent communication'</t>
        </is>
      </c>
      <c r="I11" s="9" t="inlineStr">
        <is>
          <t>1. Open Batch Feedback page;
2. Select Feedback Type 'English Comment';
3. Input 'Excellent communication' for ST001 and click Save;
4. Navigate to ST001's council record details</t>
        </is>
      </c>
      <c r="J11" s="9" t="inlineStr">
        <is>
          <t>English Comment is updated to 'Excellent communication'. The existing IT Comment is preserved as 'Excellent coding' (not cleared).</t>
        </is>
      </c>
      <c r="K11" s="9" t="inlineStr"/>
      <c r="L11" s="5" t="inlineStr">
        <is>
          <t>Not Run</t>
        </is>
      </c>
      <c r="M11" s="6" t="inlineStr">
        <is>
          <t>High</t>
        </is>
      </c>
      <c r="N11" s="9" t="inlineStr">
        <is>
          <t>Related Requirement: M04-F06, Batch Feedback 6.7</t>
        </is>
      </c>
    </row>
    <row r="12" ht="150" customHeight="1">
      <c r="A12" s="2" t="inlineStr">
        <is>
          <t>TC-M04-011</t>
        </is>
      </c>
      <c r="B12" s="2" t="inlineStr">
        <is>
          <t>Module 04</t>
        </is>
      </c>
      <c r="C12" s="3" t="inlineStr">
        <is>
          <t>M04-F07</t>
        </is>
      </c>
      <c r="D12" s="4" t="inlineStr">
        <is>
          <t>Concurrent Edit Conflict Handling</t>
        </is>
      </c>
      <c r="E12" s="4" t="inlineStr">
        <is>
          <t>Three-Way Merge for Non-conflicting Concurrent Edits</t>
        </is>
      </c>
      <c r="F12" s="4" t="inlineStr">
        <is>
          <t>Verify that concurrent edits on different fields of the same record are merged successfully using 3-way merge.</t>
        </is>
      </c>
      <c r="G12" s="4" t="inlineStr">
        <is>
          <t>Teacher A and Teacher B are logged in. The database record for ST001 has GeneralComment='Good student', other fields are empty.</t>
        </is>
      </c>
      <c r="H12" s="4" t="inlineStr">
        <is>
          <t>ST001 record in Semester 1; Teacher B saves ITComment='Excellent'; Teacher A saves EnglishComment='Fluent'</t>
        </is>
      </c>
      <c r="I12" s="4" t="inlineStr">
        <is>
          <t>1. Teacher A opens ST001 council edit form;
2. Teacher B opens ST001 council edit form;
3. Teacher B updates IT Comment to 'Excellent' and clicks Save first;
4. Teacher A updates English Comment to 'Fluent' (IT Comment remains empty on their screen) and clicks Save</t>
        </is>
      </c>
      <c r="J12" s="4" t="inlineStr">
        <is>
          <t>Save succeeds. The final record on Sheets is merged: GeneralComment='Good student', ITComment='Excellent', and EnglishComment='Fluent'. Teacher A receives notification of updates by another teacher.</t>
        </is>
      </c>
      <c r="K12" s="4" t="inlineStr"/>
      <c r="L12" s="5" t="inlineStr">
        <is>
          <t>Not Run</t>
        </is>
      </c>
      <c r="M12" s="6" t="inlineStr">
        <is>
          <t>High</t>
        </is>
      </c>
      <c r="N12" s="4" t="inlineStr">
        <is>
          <t>Related Requirement: M04-F07, Concurrent Editing 6.8</t>
        </is>
      </c>
    </row>
    <row r="13" ht="135" customHeight="1">
      <c r="A13" s="7" t="inlineStr">
        <is>
          <t>TC-M04-012</t>
        </is>
      </c>
      <c r="B13" s="7" t="inlineStr">
        <is>
          <t>Module 04</t>
        </is>
      </c>
      <c r="C13" s="8" t="inlineStr">
        <is>
          <t>M04-F07</t>
        </is>
      </c>
      <c r="D13" s="9" t="inlineStr">
        <is>
          <t>Concurrent Edit Conflict Handling</t>
        </is>
      </c>
      <c r="E13" s="9" t="inlineStr">
        <is>
          <t>Flag Conflict on Concurrent Edits of Same Field</t>
        </is>
      </c>
      <c r="F13" s="9" t="inlineStr">
        <is>
          <t>Verify that concurrent edits on the same field block the second user from overwriting first user's saved data and flag a conflict.</t>
        </is>
      </c>
      <c r="G13" s="9" t="inlineStr">
        <is>
          <t>Teacher A and Teacher B are logged in. ST001 has ITComment='Good'.</t>
        </is>
      </c>
      <c r="H13" s="9" t="inlineStr">
        <is>
          <t>ST001 record in Semester 1; Teacher B saves ITComment='Excellent'; Teacher A saves ITComment='Very Good'</t>
        </is>
      </c>
      <c r="I13" s="9" t="inlineStr">
        <is>
          <t>1. Teacher A opens ST001 edit form;
2. Teacher B opens ST001 edit form;
3. Teacher B changes IT Comment to 'Excellent' and clicks Save;
4. Teacher A changes IT Comment to 'Very Good' and clicks Save after Teacher B</t>
        </is>
      </c>
      <c r="J13" s="9" t="inlineStr">
        <is>
          <t>Teacher A's save is blocked or triggers a conflict. An error 'Saved, but these fields were updated by another teacher: IT Comment' is shown. Teacher B's value 'Excellent' is preserved in database.</t>
        </is>
      </c>
      <c r="K13" s="9" t="inlineStr"/>
      <c r="L13" s="5" t="inlineStr">
        <is>
          <t>Not Run</t>
        </is>
      </c>
      <c r="M13" s="6" t="inlineStr">
        <is>
          <t>High</t>
        </is>
      </c>
      <c r="N13" s="9" t="inlineStr">
        <is>
          <t>Related Requirement: M04-F07, Concurrent Editing 6.8</t>
        </is>
      </c>
    </row>
    <row r="14" ht="75" customHeight="1">
      <c r="A14" s="2" t="inlineStr">
        <is>
          <t>TC-M04-013</t>
        </is>
      </c>
      <c r="B14" s="2" t="inlineStr">
        <is>
          <t>Module 04</t>
        </is>
      </c>
      <c r="C14" s="3" t="inlineStr">
        <is>
          <t>M04-F08</t>
        </is>
      </c>
      <c r="D14" s="4" t="inlineStr">
        <is>
          <t>PDF Report Export</t>
        </is>
      </c>
      <c r="E14" s="4" t="inlineStr">
        <is>
          <t>Export Class Council Report to PDF</t>
        </is>
      </c>
      <c r="F14" s="4" t="inlineStr">
        <is>
          <t>Verify that staff can generate and download a PDF report containing student info, semester, comments, and warnings.</t>
        </is>
      </c>
      <c r="G14" s="4" t="inlineStr">
        <is>
          <t>Student ST001 has a complete council record in Semester 1.</t>
        </is>
      </c>
      <c r="H14" s="4" t="inlineStr">
        <is>
          <t>Student=ST001; Semester=Semester 1</t>
        </is>
      </c>
      <c r="I14" s="4" t="inlineStr">
        <is>
          <t>1. Open ST001's council record details page;
2. Click Export PDF;
3. Open the downloaded PDF file</t>
        </is>
      </c>
      <c r="J14" s="4" t="inlineStr">
        <is>
          <t>The PDF report downloads successfully. It contains student details, Semester 1, all teacher comments, and warning details formatted correctly.</t>
        </is>
      </c>
      <c r="K14" s="4" t="inlineStr"/>
      <c r="L14" s="5" t="inlineStr">
        <is>
          <t>Not Run</t>
        </is>
      </c>
      <c r="M14" s="6" t="inlineStr">
        <is>
          <t>High</t>
        </is>
      </c>
      <c r="N14" s="4" t="inlineStr">
        <is>
          <t>Related Requirement: M04-F08, PDF Export 6.9</t>
        </is>
      </c>
    </row>
    <row r="15" ht="60" customHeight="1">
      <c r="A15" s="7" t="inlineStr">
        <is>
          <t>TC-M04-014</t>
        </is>
      </c>
      <c r="B15" s="7" t="inlineStr">
        <is>
          <t>Module 04</t>
        </is>
      </c>
      <c r="C15" s="8" t="inlineStr">
        <is>
          <t>M04-F01</t>
        </is>
      </c>
      <c r="D15" s="9" t="inlineStr">
        <is>
          <t>Council Feedback Record</t>
        </is>
      </c>
      <c r="E15" s="9" t="inlineStr">
        <is>
          <t>Trend Chart Hidden for Semester 1</t>
        </is>
      </c>
      <c r="F15" s="9" t="inlineStr">
        <is>
          <t>Verify that the trend chart is hidden on the report when viewing/exporting Semester 1 results.</t>
        </is>
      </c>
      <c r="G15" s="9" t="inlineStr">
        <is>
          <t>Student ST001 has a council record in Semester 1.</t>
        </is>
      </c>
      <c r="H15" s="9" t="inlineStr">
        <is>
          <t>Student=ST001; Semester=Semester 1</t>
        </is>
      </c>
      <c r="I15" s="9" t="inlineStr">
        <is>
          <t>1. Open or export PDF report for ST001 in Semester 1;
2. Check the Trend Chart section</t>
        </is>
      </c>
      <c r="J15" s="9" t="inlineStr">
        <is>
          <t>No trend chart is displayed on the UI or PDF report for Semester 1 (since no prior semester history exists).</t>
        </is>
      </c>
      <c r="K15" s="9" t="inlineStr"/>
      <c r="L15" s="5" t="inlineStr">
        <is>
          <t>Not Run</t>
        </is>
      </c>
      <c r="M15" s="10" t="inlineStr">
        <is>
          <t>Medium</t>
        </is>
      </c>
      <c r="N15" s="9" t="inlineStr">
        <is>
          <t>Related Requirement: Business Rules, Trend Chart 6.10</t>
        </is>
      </c>
    </row>
    <row r="16" ht="60" customHeight="1">
      <c r="A16" s="2" t="inlineStr">
        <is>
          <t>TC-M04-015</t>
        </is>
      </c>
      <c r="B16" s="2" t="inlineStr">
        <is>
          <t>Module 04</t>
        </is>
      </c>
      <c r="C16" s="3" t="inlineStr">
        <is>
          <t>M04-F01</t>
        </is>
      </c>
      <c r="D16" s="4" t="inlineStr">
        <is>
          <t>Council Feedback Record</t>
        </is>
      </c>
      <c r="E16" s="4" t="inlineStr">
        <is>
          <t>Trend Chart Displayed for Semester 2 or Later</t>
        </is>
      </c>
      <c r="F16" s="4" t="inlineStr">
        <is>
          <t>Verify that the trend chart is shown when viewing/exporting results for Semester 2 or later.</t>
        </is>
      </c>
      <c r="G16" s="4" t="inlineStr">
        <is>
          <t>Student ST001 has council records and grade history in both Semester 1 and Semester 2.</t>
        </is>
      </c>
      <c r="H16" s="4" t="inlineStr">
        <is>
          <t>Student=ST001; Semester=Semester 2</t>
        </is>
      </c>
      <c r="I16" s="4" t="inlineStr">
        <is>
          <t>1. Open or export PDF report for ST001 in Semester 2;
2. Check the Trend Chart section</t>
        </is>
      </c>
      <c r="J16" s="4" t="inlineStr">
        <is>
          <t>The trend chart is displayed successfully in the UI and PDF, depicting ST001's performance trend from Semester 1 to Semester 2.</t>
        </is>
      </c>
      <c r="K16" s="4" t="inlineStr"/>
      <c r="L16" s="5" t="inlineStr">
        <is>
          <t>Not Run</t>
        </is>
      </c>
      <c r="M16" s="10" t="inlineStr">
        <is>
          <t>Medium</t>
        </is>
      </c>
      <c r="N16" s="4" t="inlineStr">
        <is>
          <t>Related Requirement: Business Rules, Trend Chart 6.10</t>
        </is>
      </c>
    </row>
    <row r="17" ht="120" customHeight="1">
      <c r="A17" s="7" t="inlineStr">
        <is>
          <t>TC-M04-016</t>
        </is>
      </c>
      <c r="B17" s="7" t="inlineStr">
        <is>
          <t>Module 04</t>
        </is>
      </c>
      <c r="C17" s="8" t="inlineStr">
        <is>
          <t>M04-F02</t>
        </is>
      </c>
      <c r="D17" s="9" t="inlineStr">
        <is>
          <t>Academic Warning Flag</t>
        </is>
      </c>
      <c r="E17" s="9" t="inlineStr">
        <is>
          <t>Badge Display Activation on Content Entry</t>
        </is>
      </c>
      <c r="F17" s="9" t="inlineStr">
        <is>
          <t>Verify that saving comments activates their corresponding badges (G, IT, EN, PLT, ED) on the student list.</t>
        </is>
      </c>
      <c r="G17" s="9" t="inlineStr">
        <is>
          <t>Staff user is logged in. ST001 has no comments in Semester 1.</t>
        </is>
      </c>
      <c r="H17" s="9" t="inlineStr">
        <is>
          <t>Student=ST001; Semester=Semester 1; ITComment='Good'; EducatorComment='Active'</t>
        </is>
      </c>
      <c r="I17" s="9" t="inlineStr">
        <is>
          <t>1. Create council record for ST001 in Semester 1;
2. Input IT Comment 'Good' and Educator Comment 'Active' (others left empty);
3. Click Save;
4. Go to student list and observe ST001 row</t>
        </is>
      </c>
      <c r="J17" s="9" t="inlineStr">
        <is>
          <t>Only 'IT' and 'ED' badges are activated/displayed next to ST001's name. Other badges (G, EN, PLT, ⚠) are hidden.</t>
        </is>
      </c>
      <c r="K17" s="9" t="inlineStr"/>
      <c r="L17" s="5" t="inlineStr">
        <is>
          <t>Not Run</t>
        </is>
      </c>
      <c r="M17" s="10" t="inlineStr">
        <is>
          <t>Medium</t>
        </is>
      </c>
      <c r="N17" s="9" t="inlineStr">
        <is>
          <t>Related Requirement: Business Rules, Badge Display 6.4</t>
        </is>
      </c>
    </row>
    <row r="18" ht="105" customHeight="1">
      <c r="A18" s="2" t="inlineStr">
        <is>
          <t>TC-M04-017</t>
        </is>
      </c>
      <c r="B18" s="2" t="inlineStr">
        <is>
          <t>Module 04</t>
        </is>
      </c>
      <c r="C18" s="3" t="inlineStr">
        <is>
          <t>M04-F02</t>
        </is>
      </c>
      <c r="D18" s="4" t="inlineStr">
        <is>
          <t>Academic Warning Flag</t>
        </is>
      </c>
      <c r="E18" s="4" t="inlineStr">
        <is>
          <t>Badge Display Deactivation on Content Removal</t>
        </is>
      </c>
      <c r="F18" s="4" t="inlineStr">
        <is>
          <t>Verify that removing comment content deactivates the corresponding badge on save.</t>
        </is>
      </c>
      <c r="G18" s="4" t="inlineStr">
        <is>
          <t>Student ST001 has an IT comment and the 'IT' badge is active.</t>
        </is>
      </c>
      <c r="H18" s="4" t="inlineStr">
        <is>
          <t>Student=ST001; Semester=Semester 1; ITComment=''</t>
        </is>
      </c>
      <c r="I18" s="4" t="inlineStr">
        <is>
          <t>1. Open ST001's Semester 1 council record;
2. Clear the IT Comment field completely;
3. Click Save;
4. Go to student list and observe badges</t>
        </is>
      </c>
      <c r="J18" s="4" t="inlineStr">
        <is>
          <t>The record is updated. The 'IT' badge disappears from ST001's name on the list since its comment was removed.</t>
        </is>
      </c>
      <c r="K18" s="4" t="inlineStr"/>
      <c r="L18" s="5" t="inlineStr">
        <is>
          <t>Not Run</t>
        </is>
      </c>
      <c r="M18" s="10" t="inlineStr">
        <is>
          <t>Medium</t>
        </is>
      </c>
      <c r="N18" s="4" t="inlineStr">
        <is>
          <t>Related Requirement: Business Rules, Badge Display 6.4</t>
        </is>
      </c>
    </row>
    <row r="19" ht="105" customHeight="1">
      <c r="A19" s="7" t="inlineStr">
        <is>
          <t>TC-M04-018</t>
        </is>
      </c>
      <c r="B19" s="7" t="inlineStr">
        <is>
          <t>Module 04</t>
        </is>
      </c>
      <c r="C19" s="8" t="inlineStr">
        <is>
          <t>M04-F01</t>
        </is>
      </c>
      <c r="D19" s="9" t="inlineStr">
        <is>
          <t>Council Feedback Record</t>
        </is>
      </c>
      <c r="E19" s="9" t="inlineStr">
        <is>
          <t>Record Saving Fails with Missing Student Selection</t>
        </is>
      </c>
      <c r="F19" s="9" t="inlineStr">
        <is>
          <t>Verify that the system blocks saving if the student selection is missing.</t>
        </is>
      </c>
      <c r="G19" s="9" t="inlineStr">
        <is>
          <t>Staff user is logged in.</t>
        </is>
      </c>
      <c r="H19" s="9" t="inlineStr">
        <is>
          <t>Student=Empty; Semester=Semester 1; GeneralComment=Good</t>
        </is>
      </c>
      <c r="I19" s="9" t="inlineStr">
        <is>
          <t>1. Navigate to Create Council Record;
2. Leave Student selection empty;
3. Select Semester 'Semester 1';
4. Enter General Comment 'Good' and click Save</t>
        </is>
      </c>
      <c r="J19" s="9" t="inlineStr">
        <is>
          <t>Saving is blocked. Validation error message requires student selection. The student field is highlighted in red.</t>
        </is>
      </c>
      <c r="K19" s="9" t="inlineStr"/>
      <c r="L19" s="5" t="inlineStr">
        <is>
          <t>Not Run</t>
        </is>
      </c>
      <c r="M19" s="6" t="inlineStr">
        <is>
          <t>High</t>
        </is>
      </c>
      <c r="N19" s="9" t="inlineStr">
        <is>
          <t>Related Requirement: Validation Rules 7</t>
        </is>
      </c>
    </row>
    <row r="20" ht="105" customHeight="1">
      <c r="A20" s="2" t="inlineStr">
        <is>
          <t>TC-M04-019</t>
        </is>
      </c>
      <c r="B20" s="2" t="inlineStr">
        <is>
          <t>Module 04</t>
        </is>
      </c>
      <c r="C20" s="3" t="inlineStr">
        <is>
          <t>M04-F01</t>
        </is>
      </c>
      <c r="D20" s="4" t="inlineStr">
        <is>
          <t>Council Feedback Record</t>
        </is>
      </c>
      <c r="E20" s="4" t="inlineStr">
        <is>
          <t>Record Saving Fails with Missing Semester Selection</t>
        </is>
      </c>
      <c r="F20" s="4" t="inlineStr">
        <is>
          <t>Verify that the system blocks saving if the semester selection is missing.</t>
        </is>
      </c>
      <c r="G20" s="4" t="inlineStr">
        <is>
          <t>Staff user is logged in.</t>
        </is>
      </c>
      <c r="H20" s="4" t="inlineStr">
        <is>
          <t>Student=ST001; Semester=Empty; GeneralComment=Good</t>
        </is>
      </c>
      <c r="I20" s="4" t="inlineStr">
        <is>
          <t>1. Navigate to Create Council Record;
2. Select Student ST001;
3. Leave Semester selection empty;
4. Enter General Comment 'Good' and click Save</t>
        </is>
      </c>
      <c r="J20" s="4" t="inlineStr">
        <is>
          <t>Saving is blocked. Validation error message requires semester selection. The semester field is highlighted in red.</t>
        </is>
      </c>
      <c r="K20" s="4" t="inlineStr"/>
      <c r="L20" s="5" t="inlineStr">
        <is>
          <t>Not Run</t>
        </is>
      </c>
      <c r="M20" s="6" t="inlineStr">
        <is>
          <t>High</t>
        </is>
      </c>
      <c r="N20" s="4" t="inlineStr">
        <is>
          <t>Related Requirement: Validation Rules 7</t>
        </is>
      </c>
    </row>
    <row r="21" ht="75" customHeight="1">
      <c r="A21" s="7" t="inlineStr">
        <is>
          <t>TC-M04-020</t>
        </is>
      </c>
      <c r="B21" s="7" t="inlineStr">
        <is>
          <t>Module 04</t>
        </is>
      </c>
      <c r="C21" s="8" t="inlineStr">
        <is>
          <t>M04-SEC</t>
        </is>
      </c>
      <c r="D21" s="9" t="inlineStr">
        <is>
          <t>Access Control &amp; Security</t>
        </is>
      </c>
      <c r="E21" s="9" t="inlineStr">
        <is>
          <t>Block Student Access to Class Council Management</t>
        </is>
      </c>
      <c r="F21" s="9" t="inlineStr">
        <is>
          <t>Verify that a user logged in with a Student email domain cannot access Class Council Management.</t>
        </is>
      </c>
      <c r="G21" s="9" t="inlineStr">
        <is>
          <t>User logged in with student email student01@student.passerellesnumeriques.org.</t>
        </is>
      </c>
      <c r="H21" s="9" t="inlineStr">
        <is>
          <t>Email=student01@student.passerellesnumeriques.org</t>
        </is>
      </c>
      <c r="I21" s="9" t="inlineStr">
        <is>
          <t>1. Log in with student account;
2. Attempt direct URL navigation to Class Council Management page;
3. Observe UI</t>
        </is>
      </c>
      <c r="J21" s="9" t="inlineStr">
        <is>
          <t>Access is denied. An 'Access Denied' message is shown, or user is redirected to student home page. Management menu is hidden.</t>
        </is>
      </c>
      <c r="K21" s="9" t="inlineStr"/>
      <c r="L21" s="5" t="inlineStr">
        <is>
          <t>Not Run</t>
        </is>
      </c>
      <c r="M21" s="6" t="inlineStr">
        <is>
          <t>High</t>
        </is>
      </c>
      <c r="N21" s="9" t="inlineStr">
        <is>
          <t>Related Requirement: General Rules, User Roles</t>
        </is>
      </c>
    </row>
    <row r="22" ht="45" customHeight="1">
      <c r="A22" s="2" t="inlineStr">
        <is>
          <t>TC-M04-021</t>
        </is>
      </c>
      <c r="B22" s="2" t="inlineStr">
        <is>
          <t>Module 04</t>
        </is>
      </c>
      <c r="C22" s="3" t="inlineStr">
        <is>
          <t>M04-SEC</t>
        </is>
      </c>
      <c r="D22" s="4" t="inlineStr">
        <is>
          <t>Access Control &amp; Security</t>
        </is>
      </c>
      <c r="E22" s="4" t="inlineStr">
        <is>
          <t>Block Unknown Email Domain Access</t>
        </is>
      </c>
      <c r="F22" s="4" t="inlineStr">
        <is>
          <t>Verify that users with unauthorized email domains (non-PNV/non-student) are completely blocked.</t>
        </is>
      </c>
      <c r="G22" s="4" t="inlineStr">
        <is>
          <t>User is authenticated with email testuser@gmail.com.</t>
        </is>
      </c>
      <c r="H22" s="4" t="inlineStr">
        <is>
          <t>Email=testuser@gmail.com</t>
        </is>
      </c>
      <c r="I22" s="4" t="inlineStr">
        <is>
          <t>1. Enter application URL;
2. Sign in via Google OAuth with testuser@gmail.com</t>
        </is>
      </c>
      <c r="J22" s="4" t="inlineStr">
        <is>
          <t>Login fails or 'Access Denied' message displays. User is blocked from accessing any management features.</t>
        </is>
      </c>
      <c r="K22" s="4" t="inlineStr"/>
      <c r="L22" s="5" t="inlineStr">
        <is>
          <t>Not Run</t>
        </is>
      </c>
      <c r="M22" s="6" t="inlineStr">
        <is>
          <t>High</t>
        </is>
      </c>
      <c r="N22" s="4" t="inlineStr">
        <is>
          <t>Related Requirement: General Rules, User Roles</t>
        </is>
      </c>
    </row>
    <row r="23" ht="135" customHeight="1">
      <c r="A23" s="7" t="inlineStr">
        <is>
          <t>TC-M04-022</t>
        </is>
      </c>
      <c r="B23" s="7" t="inlineStr">
        <is>
          <t>Module 04</t>
        </is>
      </c>
      <c r="C23" s="8" t="inlineStr">
        <is>
          <t>M04-F04</t>
        </is>
      </c>
      <c r="D23" s="9" t="inlineStr">
        <is>
          <t>Auto Draft Saving</t>
        </is>
      </c>
      <c r="E23" s="9" t="inlineStr">
        <is>
          <t>Verify Draft Storage Device Specificity</t>
        </is>
      </c>
      <c r="F23" s="9" t="inlineStr">
        <is>
          <t>Verify that local drafts are device-specific and not synchronized to other computers.</t>
        </is>
      </c>
      <c r="G23" s="9" t="inlineStr">
        <is>
          <t>Staff user logged in on Computer X and Computer Y.</t>
        </is>
      </c>
      <c r="H23" s="9" t="inlineStr">
        <is>
          <t>Computer X: input IT Comment 'Draft text on Computer X' for ST003.</t>
        </is>
      </c>
      <c r="I23" s="9" t="inlineStr">
        <is>
          <t>1. On Computer X, open ST003 council form and type IT comment 'Draft text on Computer X' (wait for auto-save, do NOT click Save);
2. On Computer Y, log in to same account and open ST003 Semester 1 council form;
3. Verify if draft warning appears</t>
        </is>
      </c>
      <c r="J23" s="9" t="inlineStr">
        <is>
          <t>No 'Unsaved Draft' warning appears on Computer Y, and the IT comment field is empty (or displays the saved Sheets value). Draft is device-specific.</t>
        </is>
      </c>
      <c r="K23" s="9" t="inlineStr"/>
      <c r="L23" s="5" t="inlineStr">
        <is>
          <t>Not Run</t>
        </is>
      </c>
      <c r="M23" s="10" t="inlineStr">
        <is>
          <t>Medium</t>
        </is>
      </c>
      <c r="N23" s="9" t="inlineStr">
        <is>
          <t>Related Requirement: M04-F04, Automatic Draft Saving 6.5, Out of Scope 12</t>
        </is>
      </c>
    </row>
    <row r="24" ht="105" customHeight="1">
      <c r="A24" s="2" t="inlineStr">
        <is>
          <t>TC-M04-023</t>
        </is>
      </c>
      <c r="B24" s="2" t="inlineStr">
        <is>
          <t>Module 04</t>
        </is>
      </c>
      <c r="C24" s="3" t="inlineStr">
        <is>
          <t>M04-F06</t>
        </is>
      </c>
      <c r="D24" s="4" t="inlineStr">
        <is>
          <t>Batch Feedback Entry</t>
        </is>
      </c>
      <c r="E24" s="4" t="inlineStr">
        <is>
          <t>Batch Feedback Entry with Empty Student List</t>
        </is>
      </c>
      <c r="F24" s="4" t="inlineStr">
        <is>
          <t>Verify that batch feedback entry behaves gracefully when the selected batch has no active students.</t>
        </is>
      </c>
      <c r="G24" s="4" t="inlineStr">
        <is>
          <t>Batch PNV26B is active but has no active students.</t>
        </is>
      </c>
      <c r="H24" s="4" t="inlineStr">
        <is>
          <t>Batch=PNV26B; Semester=Semester 1; FeedbackType=IT Comment</t>
        </is>
      </c>
      <c r="I24" s="4" t="inlineStr">
        <is>
          <t>1. Open Batch Feedback page;
2. Select Batch PNV26B, Semester 'Semester 1', and Feedback Type 'IT Comment';
3. Verify student list;
4. Click Save All</t>
        </is>
      </c>
      <c r="J24" s="4" t="inlineStr">
        <is>
          <t>The student grid is empty or shows 'No students in this batch'. Clicking Save All shows 'Saved 0 students' successfully with no crashes or errors.</t>
        </is>
      </c>
      <c r="K24" s="4" t="inlineStr"/>
      <c r="L24" s="5" t="inlineStr">
        <is>
          <t>Not Run</t>
        </is>
      </c>
      <c r="M24" s="10" t="inlineStr">
        <is>
          <t>Medium</t>
        </is>
      </c>
      <c r="N24" s="4" t="inlineStr">
        <is>
          <t>Related Requirement: M04-F06</t>
        </is>
      </c>
    </row>
  </sheetData>
  <autoFilter ref="A1:N24"/>
  <dataValidations count="2">
    <dataValidation sqref="L2:L124" showDropDown="0" showInputMessage="0" showErrorMessage="0" allowBlank="1" errorTitle="Invalid Status" error="Please select a valid state: Passed, Failed, or Not Run" type="list">
      <formula1>"Passed,Failed,Not Run"</formula1>
    </dataValidation>
    <dataValidation sqref="M2:M124" showDropDown="0" showInputMessage="0" showErrorMessage="0" allowBlank="1" errorTitle="Invalid Priority" error="Please select a valid priority: High, Medium, or Low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2026-07-22T09:41:07Z</dcterms:created>
  <dcterms:modified xmlns:dcterms="http://purl.org/dc/terms/" xmlns:xsi="http://www.w3.org/2001/XMLSchema-instance" xsi:type="dcterms:W3CDTF">2026-07-22T09:41:09Z</dcterms:modified>
</cp:coreProperties>
</file>