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test-case-academic-portal\Tests\excel\"/>
    </mc:Choice>
  </mc:AlternateContent>
  <xr:revisionPtr revIDLastSave="0" documentId="13_ncr:1_{C3C9123D-8CE4-4846-A122-5AECC3E77FD9}" xr6:coauthVersionLast="47" xr6:coauthVersionMax="47" xr10:uidLastSave="{00000000-0000-0000-0000-000000000000}"/>
  <bookViews>
    <workbookView xWindow="-120" yWindow="-120" windowWidth="29040" windowHeight="15720" activeTab="1" xr2:uid="{00000000-000D-0000-FFFF-FFFF00000000}"/>
  </bookViews>
  <sheets>
    <sheet name="Report" sheetId="1" r:id="rId1"/>
    <sheet name="Module07" sheetId="2" r:id="rId2"/>
  </sheets>
  <definedNames>
    <definedName name="_xlnm._FilterDatabase" localSheetId="1" hidden="1">Module07!$A$1:$O$42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E15" i="1"/>
  <c r="D15" i="1"/>
  <c r="C15" i="1"/>
  <c r="F15" i="1" s="1"/>
  <c r="E14" i="1"/>
  <c r="D14" i="1"/>
  <c r="C14" i="1"/>
  <c r="F14" i="1" s="1"/>
  <c r="E13" i="1"/>
  <c r="D13" i="1"/>
  <c r="C13" i="1"/>
  <c r="F13" i="1" s="1"/>
  <c r="E12" i="1"/>
  <c r="D12" i="1"/>
  <c r="C12" i="1"/>
  <c r="F12" i="1" s="1"/>
  <c r="E11" i="1"/>
  <c r="D11" i="1"/>
  <c r="C11" i="1"/>
  <c r="F11" i="1" s="1"/>
  <c r="E10" i="1"/>
  <c r="D10" i="1"/>
  <c r="C10" i="1"/>
  <c r="F10" i="1" s="1"/>
  <c r="E9" i="1"/>
  <c r="E16" i="1" s="1"/>
  <c r="D9" i="1"/>
  <c r="D16" i="1" s="1"/>
  <c r="C9" i="1"/>
  <c r="E5" i="1" s="1"/>
  <c r="C5" i="1"/>
  <c r="A5" i="1"/>
  <c r="F9" i="1" l="1"/>
  <c r="F16" i="1" s="1"/>
  <c r="B5" i="1" s="1"/>
  <c r="C16" i="1"/>
  <c r="D5"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<sst xmlns="http://schemas.openxmlformats.org/spreadsheetml/2006/main" count="618" uniqueCount="328">
  <si>
    <t>ID</t>
  </si>
  <si>
    <t>Module</t>
  </si>
  <si>
    <t>Feature ID</t>
  </si>
  <si>
    <t>Feature Name</t>
  </si>
  <si>
    <t>Title</t>
  </si>
  <si>
    <t>Objective</t>
  </si>
  <si>
    <t>Preconditions</t>
  </si>
  <si>
    <t>TestData</t>
  </si>
  <si>
    <t>Steps</t>
  </si>
  <si>
    <t>ExpectedResult</t>
  </si>
  <si>
    <t>Actual Result</t>
  </si>
  <si>
    <t>Status</t>
  </si>
  <si>
    <t>Evidence</t>
  </si>
  <si>
    <t>Priority</t>
  </si>
  <si>
    <t>Notes</t>
  </si>
  <si>
    <t>TC-M07-001</t>
  </si>
  <si>
    <t>Module 07 - Training Materials</t>
  </si>
  <si>
    <t>M07-F02</t>
  </si>
  <si>
    <t>Category Management</t>
  </si>
  <si>
    <t>Rename Category with a Valid Name</t>
  </si>
  <si>
    <t>Verify functionality for renaming a category when entering a valid new name.</t>
  </si>
  <si>
    <t>User is logged in as Staff.
Currently on Training Materials Management interface.</t>
  </si>
  <si>
    <t>OldCategoryName="General"; NewCategoryName="Foundations"</t>
  </si>
  <si>
    <t>1. Select Category "General";
2. Click Rename Category button;
3. Enter new name as "Foundations";
4. Click Save button.</t>
  </si>
  <si>
    <t>Category renamed successfully.
New category name "Foundations" is updated and displayed on UI.</t>
  </si>
  <si>
    <t>Passed</t>
  </si>
  <si>
    <t>High</t>
  </si>
  <si>
    <t>Related Requirement: M07-F02, Rule 6.2</t>
  </si>
  <si>
    <t>TC-M07-002</t>
  </si>
  <si>
    <t>Category Rename Fails Due to Empty Name</t>
  </si>
  <si>
    <t>Verify system displays error and prevents renaming category when new name is empty.</t>
  </si>
  <si>
    <t>User is logged in as Staff.
Currently on Rename Category dialog.</t>
  </si>
  <si>
    <t>NewCategoryName=""</t>
  </si>
  <si>
    <t>1. Leave new Category Name field empty;
2. Click Save button.</t>
  </si>
  <si>
    <t>System blocks action.
Validation error message appears: "Category Name cannot be empty."</t>
  </si>
  <si>
    <t>Related Requirement: M07-F02, Validation Rules (Section 8)</t>
  </si>
  <si>
    <t>TC-M07-003</t>
  </si>
  <si>
    <t>Verify Archive and Delete Functions Are Not Supported for Category</t>
  </si>
  <si>
    <t>Verify system does not support archive or delete operations on categories.</t>
  </si>
  <si>
    <t>User is logged in as Staff.
Viewing Category menu.</t>
  </si>
  <si>
    <t>CategoryName="Foundations"</t>
  </si>
  <si>
    <t>1. Open options menu for Category "Foundations";
2. Check for Archive or Delete options.</t>
  </si>
  <si>
    <t>Archive and Delete buttons are not present in Category context menu.</t>
  </si>
  <si>
    <t>Medium</t>
  </si>
  <si>
    <t>Related Requirement: M07-F02, Business Rules 6.2</t>
  </si>
  <si>
    <t>TC-M07-004</t>
  </si>
  <si>
    <t>Verify Default Categories Exist in System</t>
  </si>
  <si>
    <t>Verify system contains default fixed categories upon initialization.</t>
  </si>
  <si>
    <t>User is logged in as Staff.</t>
  </si>
  <si>
    <t>DefaultCategories=["IT", "English", "Professional Skills"]</t>
  </si>
  <si>
    <t>1. Access Training Materials page;
2. Check category sidebar/tabs.</t>
  </si>
  <si>
    <t>Default categories "IT", "English", and "Professional Skills" are present in system.</t>
  </si>
  <si>
    <t>TC-M07-005</t>
  </si>
  <si>
    <t>M07-F03</t>
  </si>
  <si>
    <t>Course Management</t>
  </si>
  <si>
    <t>Create New Course with Valid Information</t>
  </si>
  <si>
    <t>Verify functionality for creating a new course within a category.</t>
  </si>
  <si>
    <t>User is logged in as Staff.
Category "IT" exists.</t>
  </si>
  <si>
    <t>Category="IT"; CourseName="Web Development"</t>
  </si>
  <si>
    <t>1. Select Category "IT";
2. Click Create New Course button;
3. Enter Course Name as "Web Development";
4. Click Save button.</t>
  </si>
  <si>
    <t>Course created successfully.
New course "Web Development" appears under category "IT".</t>
  </si>
  <si>
    <t>Related Requirement: M07-F03, Business Rules 6.3</t>
  </si>
  <si>
    <t>TC-M07-006</t>
  </si>
  <si>
    <t>New Course Creation Fails Due to Empty Name</t>
  </si>
  <si>
    <t>Verify system displays error when course name is empty.</t>
  </si>
  <si>
    <t>CourseName=""</t>
  </si>
  <si>
    <t>1. Leave Course Name field empty;
2. Click Save button.</t>
  </si>
  <si>
    <t>System blocks action.
Validation error appears: "Course Name is required."</t>
  </si>
  <si>
    <t>Related Requirement: M07-F03, Validation Rules (Section 8)</t>
  </si>
  <si>
    <t>TC-M07-007</t>
  </si>
  <si>
    <t>Edit Course Name with Valid Information</t>
  </si>
  <si>
    <t>Verify functionality for updating course name.</t>
  </si>
  <si>
    <t>User is logged in as Staff.
Course "Web Development" exists.</t>
  </si>
  <si>
    <t>OldCourseName="Web Development"; NewCourseName="Frontend Development"</t>
  </si>
  <si>
    <t>1. Select Course "Web Development";
2. Click Edit Course button;
3. Change name to "Frontend Development";
4. Click Save button.</t>
  </si>
  <si>
    <t>Course name updated successfully to "Frontend Development".</t>
  </si>
  <si>
    <t>TC-M07-008</t>
  </si>
  <si>
    <t>Archive Active Course</t>
  </si>
  <si>
    <t>Verify functionality for archiving an active course.</t>
  </si>
  <si>
    <t>User is logged in as Staff.
Course "Frontend Development" is Active.</t>
  </si>
  <si>
    <t>CourseName="Frontend Development"</t>
  </si>
  <si>
    <t>1. Click Archive button for course "Frontend Development";
2. Confirm archiving in popup dialog.</t>
  </si>
  <si>
    <t>Course status changes to Archived.
Course is hidden from Active list and moved to Archived tab.</t>
  </si>
  <si>
    <t>TC-M07-009</t>
  </si>
  <si>
    <t>Restore Archived Course</t>
  </si>
  <si>
    <t>Verify functionality for restoring a previously archived course.</t>
  </si>
  <si>
    <t>User is logged in as Staff.
Course "Frontend Development" is Archived.</t>
  </si>
  <si>
    <t>1. Navigate to Archived Courses tab;
2. Click Restore button for course "Frontend Development";
3. Confirm restoration.</t>
  </si>
  <si>
    <t>Course status changes back to Active.
Course reappears in active course list.</t>
  </si>
  <si>
    <t>TC-M07-010</t>
  </si>
  <si>
    <t>Verify Permanent Deletion Is Not Supported for Course</t>
  </si>
  <si>
    <t>Verify system does not provide permanent deletion for courses.</t>
  </si>
  <si>
    <t>User is logged in as Staff.
Viewing course options menu.</t>
  </si>
  <si>
    <t>1. Open course action menu;
2. Check available options.</t>
  </si>
  <si>
    <t>Permanent Delete button is not present for courses (only Archive is supported).</t>
  </si>
  <si>
    <t>TC-M07-011</t>
  </si>
  <si>
    <t>M07-F04</t>
  </si>
  <si>
    <t>Session Management</t>
  </si>
  <si>
    <t>Create New Session with Valid Information</t>
  </si>
  <si>
    <t>Verify functionality for creating a new learning session inside a course.</t>
  </si>
  <si>
    <t>CourseName="Web Development"; SessionName="Session 1: HTML Basics"</t>
  </si>
  <si>
    <t>1. Open Course "Web Development";
2. Click Add Session button;
3. Enter Session Name as "Session 1: HTML Basics";
4. Click Save button.</t>
  </si>
  <si>
    <t>Session created successfully.
"Session 1: HTML Basics" appears inside course.</t>
  </si>
  <si>
    <t>Related Requirement: M07-F04, Business Rules 6.4</t>
  </si>
  <si>
    <t>TC-M07-012</t>
  </si>
  <si>
    <t>New Session Creation Fails Due to Empty Session Name</t>
  </si>
  <si>
    <t>Verify system displays error when session name is empty.</t>
  </si>
  <si>
    <t>SessionName=""</t>
  </si>
  <si>
    <t>1. Leave Session Name field empty;
2. Click Save button.</t>
  </si>
  <si>
    <t>System blocks action.
Validation error appears: "Session Name is required."</t>
  </si>
  <si>
    <t>Related Requirement: M07-F04, Validation Rules (Section 8)</t>
  </si>
  <si>
    <t>TC-M07-013</t>
  </si>
  <si>
    <t>Edit Session Details</t>
  </si>
  <si>
    <t>Verify functionality for updating session title/details.</t>
  </si>
  <si>
    <t>User is logged in as Staff.
Session "Session 1: HTML Basics" exists.</t>
  </si>
  <si>
    <t>OldSessionName="Session 1: HTML Basics"; NewSessionName="Session 1: HTML &amp; CSS Fundamentals"</t>
  </si>
  <si>
    <t>1. Click Edit icon on session;
2. Update Session Name to "Session 1: HTML &amp; CSS Fundamentals";
3. Click Save button.</t>
  </si>
  <si>
    <t>Session details updated successfully.</t>
  </si>
  <si>
    <t>TC-M07-014</t>
  </si>
  <si>
    <t>Permanently Delete Session</t>
  </si>
  <si>
    <t>Verify functionality for permanently deleting a session.</t>
  </si>
  <si>
    <t>User is logged in as Staff.
Session "Session 1" exists.</t>
  </si>
  <si>
    <t>SessionName="Session 1"</t>
  </si>
  <si>
    <t>1. Click Delete icon on session;
2. Confirm permanent deletion in confirmation dialog.</t>
  </si>
  <si>
    <t>Session and all attached materials are permanently deleted from system.</t>
  </si>
  <si>
    <t>TC-M07-015</t>
  </si>
  <si>
    <t>Cancel Session Deletion Operation</t>
  </si>
  <si>
    <t>Verify clicking Cancel in session deletion dialog preserves session without deleting.</t>
  </si>
  <si>
    <t>User is logged in as Staff.
Session deletion modal open.</t>
  </si>
  <si>
    <t>Action="Cancel Deletion"</t>
  </si>
  <si>
    <t>1. Click Delete icon on session;
2. In confirmation dialog, click Cancel button.</t>
  </si>
  <si>
    <t>Dialog closes.
Session remains intact in course.</t>
  </si>
  <si>
    <t>Related Requirement: M07-F04, UI Standards</t>
  </si>
  <si>
    <t>TC-M07-016</t>
  </si>
  <si>
    <t>Verify Archive Operation Is Not Supported for Session</t>
  </si>
  <si>
    <t>Verify system does not support archiving individual sessions.</t>
  </si>
  <si>
    <t>1. Check available actions on session.</t>
  </si>
  <si>
    <t>Archive button is not available for sessions (only Delete is supported).</t>
  </si>
  <si>
    <t>TC-M07-017</t>
  </si>
  <si>
    <t>M07-F05</t>
  </si>
  <si>
    <t>Exam Management</t>
  </si>
  <si>
    <t>Create New Exam with Valid Information</t>
  </si>
  <si>
    <t>Verify functionality for creating a new exam item inside a course.</t>
  </si>
  <si>
    <t>CourseName="Web Development"; ExamName="Midterm Exam"</t>
  </si>
  <si>
    <t>1. Open Course "Web Development";
2. Click Add Exam button;
3. Enter Exam Name as "Midterm Exam";
4. Click Save button.</t>
  </si>
  <si>
    <t>Exam created successfully.
"Midterm Exam" displays in exam section of course.</t>
  </si>
  <si>
    <t>Related Requirement: M07-F05, Business Rules 6.5</t>
  </si>
  <si>
    <t>TC-M07-018</t>
  </si>
  <si>
    <t>New Exam Creation Fails Due to Empty Name</t>
  </si>
  <si>
    <t>Verify system displays error when exam name is empty.</t>
  </si>
  <si>
    <t>ExamName=""</t>
  </si>
  <si>
    <t>1. Leave Exam Name field empty;
2. Click Save button.</t>
  </si>
  <si>
    <t>System blocks action.
Validation error appears: "Exam Name is required."</t>
  </si>
  <si>
    <t>Related Requirement: M07-F05, Validation Rules (Section 8)</t>
  </si>
  <si>
    <t>TC-M07-019</t>
  </si>
  <si>
    <t>Edit Exam Details</t>
  </si>
  <si>
    <t>Verify functionality for updating exam title/details.</t>
  </si>
  <si>
    <t>User is logged in as Staff.
Exam "Midterm Exam" exists.</t>
  </si>
  <si>
    <t>OldExamName="Midterm Exam"; NewExamName="Midterm Practical Exam"</t>
  </si>
  <si>
    <t>1. Click Edit icon on exam;
2. Update Exam Name to "Midterm Practical Exam";
3. Click Save button.</t>
  </si>
  <si>
    <t>Exam details updated successfully.</t>
  </si>
  <si>
    <t>TC-M07-020</t>
  </si>
  <si>
    <t>Permanently Delete Exam</t>
  </si>
  <si>
    <t>Verify functionality for permanently deleting an exam.</t>
  </si>
  <si>
    <t>ExamName="Midterm Exam"</t>
  </si>
  <si>
    <t>1. Click Delete icon on exam;
2. Confirm permanent deletion in confirmation dialog.</t>
  </si>
  <si>
    <t>Exam and all attached exam materials are permanently deleted from system.</t>
  </si>
  <si>
    <t>TC-M07-021</t>
  </si>
  <si>
    <t>Cancel Exam Deletion Operation</t>
  </si>
  <si>
    <t>Verify clicking Cancel in exam deletion dialog preserves exam without deleting.</t>
  </si>
  <si>
    <t>User is logged in as Staff.
Exam deletion modal open.</t>
  </si>
  <si>
    <t>1. Click Delete icon on exam;
2. In confirmation dialog, click Cancel button.</t>
  </si>
  <si>
    <t>Dialog closes.
Exam remains intact in course.</t>
  </si>
  <si>
    <t>Related Requirement: M07-F05, UI Standards</t>
  </si>
  <si>
    <t>TC-M07-022</t>
  </si>
  <si>
    <t>Verify Archive Operation Is Not Supported for Exam</t>
  </si>
  <si>
    <t>Verify system does not support archiving individual exams.</t>
  </si>
  <si>
    <t>1. Check available actions on exam.</t>
  </si>
  <si>
    <t>Archive button is not available for exams (only Delete is supported).</t>
  </si>
  <si>
    <t>TC-M07-023</t>
  </si>
  <si>
    <t>M07-F06</t>
  </si>
  <si>
    <t>Material Link Attachment</t>
  </si>
  <si>
    <t>Attach a Valid Document Link to Session/Exam</t>
  </si>
  <si>
    <t>Verify functionality for attaching a valid Google Drive material link with a label.</t>
  </si>
  <si>
    <t>User is logged in as Staff.
Session or Exam exists.</t>
  </si>
  <si>
    <t>Label="Lecture Slides"; Url="https://drive.google.com/file/d/123/view"</t>
  </si>
  <si>
    <t>1. Open Attach Material dialog for Session/Exam;
2. Enter Label as "Lecture Slides";
3. Enter URL as "https://drive.google.com/file/d/123/view";
4. Click Save button.</t>
  </si>
  <si>
    <t>Material link is attached successfully and clickable on UI.</t>
  </si>
  <si>
    <t>Related Requirement: M07-F06, Business Rules 6.6</t>
  </si>
  <si>
    <t>TC-M07-024</t>
  </si>
  <si>
    <t>Attach Multiple Valid Document Links to Session/Exam</t>
  </si>
  <si>
    <t>Verify functionality for attaching multiple document links simultaneously.</t>
  </si>
  <si>
    <t>Materials=[{Label: "Slides", Url: "https://drive.google.com/file/1"}, {Label: "Exercise", Url: "https://drive.google.com/file/2"}]</t>
  </si>
  <si>
    <t>1. Add multiple material rows;
2. Enter valid Labels and Google Drive URLs;
3. Click Save button.</t>
  </si>
  <si>
    <t>All material links are attached and displayed under session/exam.</t>
  </si>
  <si>
    <t>TC-M07-025</t>
  </si>
  <si>
    <t>Attach Material with Completely Empty Row (Ignore Blank Rows)</t>
  </si>
  <si>
    <t>Verify system ignores completely blank material rows without raising error.</t>
  </si>
  <si>
    <t>Row1={Label: "Slides", Url: "https://drive.google.com/..."}; Row2={Label: "", Url: ""}</t>
  </si>
  <si>
    <t>1. Fill Row 1 with valid label and URL;
2. Leave Row 2 completely empty;
3. Click Save button.</t>
  </si>
  <si>
    <t>System saves Row 1 successfully and ignores blank Row 2 without error.</t>
  </si>
  <si>
    <t>TC-M07-026</t>
  </si>
  <si>
    <t>Attach Material Fails Due to Label Provided with Empty URL</t>
  </si>
  <si>
    <t>Verify system displays error when Label is filled but URL is empty.</t>
  </si>
  <si>
    <t>Label="Lecture Slides"; Url=""</t>
  </si>
  <si>
    <t>1. Enter Label as "Lecture Slides";
2. Leave URL field empty;
3. Click Save button.</t>
  </si>
  <si>
    <t>System blocks action.
Validation error appears: "URL is required when Label is specified."</t>
  </si>
  <si>
    <t>The system saves the document link successfully even though the URL field is empty. No validation error message is displayed, and the attached document link does not appear in the document list after saving.</t>
  </si>
  <si>
    <t>Failed</t>
  </si>
  <si>
    <t>Related Requirement: M07-F06, Validation Rules (Section 8)</t>
  </si>
  <si>
    <t>TC-M07-027</t>
  </si>
  <si>
    <t>Attach Material Fails Due to URL Provided with Empty Label</t>
  </si>
  <si>
    <t>Verify system displays error when URL is filled but Label is empty.</t>
  </si>
  <si>
    <t>Label=""; Url="https://drive.google.com/file/d/123/view"</t>
  </si>
  <si>
    <t>1. Leave Label field empty;
2. Enter valid Google Drive URL;
3. Click Save button.</t>
  </si>
  <si>
    <t>System blocks action.
Validation error appears: "Label is required when URL is specified."</t>
  </si>
  <si>
    <t>The system saves the document link successfully even though the Label field is empty. No validation error message is displayed, and the attached document link does not appear in the document list after saving.</t>
  </si>
  <si>
    <t>TC-M07-028</t>
  </si>
  <si>
    <t>Attach Material Fails Due to Non-Google Drive Link Domain</t>
  </si>
  <si>
    <t>Verify system restricts material links to Google Drive domain.</t>
  </si>
  <si>
    <t>Label="External Site"; Url="https://example.com/file.pdf"</t>
  </si>
  <si>
    <t>1. Enter Label as "External Site";
2. Enter non-Google Drive URL "https://example.com/file.pdf";
3. Click Save button.</t>
  </si>
  <si>
    <t>System blocks action.
Validation error appears: "Material link must be a valid Google Drive URL."</t>
  </si>
  <si>
    <t>TC-M07-029</t>
  </si>
  <si>
    <t>M07-F07</t>
  </si>
  <si>
    <t>CSV Export &amp; Import</t>
  </si>
  <si>
    <t>Export Session List to CSV File (Export CSV)</t>
  </si>
  <si>
    <t>Verify functionality for exporting course session list to a downloadable CSV file.</t>
  </si>
  <si>
    <t>User is logged in as Staff.
Course contains sessions.</t>
  </si>
  <si>
    <t>CourseName="Web Development"</t>
  </si>
  <si>
    <t>1. Open Course "Web Development";
2. Click Export CSV button.</t>
  </si>
  <si>
    <t>CSV file downloads successfully containing Session ID, Session Name, and Material details.</t>
  </si>
  <si>
    <t>Related Requirement: M07-F07, Business Rules 6.7</t>
  </si>
  <si>
    <t>TC-M07-030</t>
  </si>
  <si>
    <t>Import CSV - Update Information of Existing Session</t>
  </si>
  <si>
    <t>Verify importing CSV with matching Session ID updates existing session details.</t>
  </si>
  <si>
    <t>User is logged in as Staff.
Session ID "SES-001" exists in system.</t>
  </si>
  <si>
    <t>CsvFile="SessionID=SES-001, SessionName=Updated HTML Basics"</t>
  </si>
  <si>
    <t>1. Upload CSV containing updated name for SES-001;
2. Click Import CSV button.</t>
  </si>
  <si>
    <t>Session SES-001 is updated with new name "Updated HTML Basics".</t>
  </si>
  <si>
    <t>TC-M07-031</t>
  </si>
  <si>
    <t>Import CSV - Create New Session when Session ID Is Blank</t>
  </si>
  <si>
    <t>Verify importing CSV row with empty Session ID creates a brand new session.</t>
  </si>
  <si>
    <t>CsvFile="SessionID=, SessionName=New CSS Grid Session"</t>
  </si>
  <si>
    <t>1. Upload CSV containing blank Session ID row;
2. Click Import CSV button.</t>
  </si>
  <si>
    <t>New session "New CSS Grid Session" is created with auto-generated Session ID.</t>
  </si>
  <si>
    <t>TC-M07-032</t>
  </si>
  <si>
    <t>Import CSV - Create New Session when Session ID Does Not Exist in System</t>
  </si>
  <si>
    <t>Verify importing CSV row with non-existent Session ID creates a new session.</t>
  </si>
  <si>
    <t>User is logged in as Staff.
Session ID "SES-999" does not exist.</t>
  </si>
  <si>
    <t>CsvFile="SessionID=SES-999, SessionName=Flexbox Guide"</t>
  </si>
  <si>
    <t>1. Upload CSV containing non-existent Session ID;
2. Click Import CSV button.</t>
  </si>
  <si>
    <t>New session "Flexbox Guide" is created in system.</t>
  </si>
  <si>
    <t>The system does not create a new session when importing a row with a non-existing Session ID. Instead, the row is skipped and the message "Row 2: session ID 3 not found." is displayed. No changes are made to the existing sessions.</t>
  </si>
  <si>
    <t>TC-M07-033</t>
  </si>
  <si>
    <t>Import CSV - Existing Sessions Omitted from CSV Are Retained</t>
  </si>
  <si>
    <t>Verify importing CSV does not delete existing sessions that are absent from the CSV file.</t>
  </si>
  <si>
    <t>User is logged in as Staff.
Sessions SES-001 and SES-002 exist.</t>
  </si>
  <si>
    <t>CsvFile="SessionID=SES-001, SessionName=HTML Basics"</t>
  </si>
  <si>
    <t>1. Upload CSV containing only SES-001;
2. Perform CSV import.</t>
  </si>
  <si>
    <t>SES-001 is processed, and omitted session SES-002 remains unchanged in system without being deleted.</t>
  </si>
  <si>
    <t>TC-M07-034</t>
  </si>
  <si>
    <t>Import CSV - Skip Materials Column in Uploaded CSV File</t>
  </si>
  <si>
    <t>Verify system ignores Materials column when importing session CSV file.</t>
  </si>
  <si>
    <t>CsvFile="SessionID=SES-001, SessionName=HTML, Materials=http://..."</t>
  </si>
  <si>
    <t>1. Upload CSV containing Materials column;
2. Click Import CSV button.</t>
  </si>
  <si>
    <t>Sessions are updated/created, and Materials column is safely ignored per business rule.</t>
  </si>
  <si>
    <t>TC-M07-035</t>
  </si>
  <si>
    <t>Import CSV Fails Due to Incorrect File Format (Non-CSV File)</t>
  </si>
  <si>
    <t>Verify system rejects non-CSV file formats during import.</t>
  </si>
  <si>
    <t>FileName="materials.pdf"</t>
  </si>
  <si>
    <t>1. Select non-CSV file "materials.pdf" in import dialog;
2. Click Import CSV button.</t>
  </si>
  <si>
    <t>System blocks import.
Error message appears: "Invalid file format. Please upload a CSV file."</t>
  </si>
  <si>
    <t>Related Requirement: M07-F07, Validation Rules (Section 8)</t>
  </si>
  <si>
    <t>TC-M07-036</t>
  </si>
  <si>
    <t>Import CSV Fails for Rows Missing Session Name</t>
  </si>
  <si>
    <t>Verify system skips or flags error for CSV rows missing mandatory Session Name.</t>
  </si>
  <si>
    <t>CsvFile="SessionID=SES-003, SessionName="</t>
  </si>
  <si>
    <t>1. Upload CSV containing row with empty Session Name;
2. Click Import CSV button.</t>
  </si>
  <si>
    <t>System flags error for row or skips invalid row with warning message: "Session Name is required."</t>
  </si>
  <si>
    <t>TC-M07-037</t>
  </si>
  <si>
    <t>M07-F08</t>
  </si>
  <si>
    <t>Role Permissions &amp; Access Control</t>
  </si>
  <si>
    <t>Access Control - Staff Role Has Full Management Access</t>
  </si>
  <si>
    <t>Verify Staff users have full CRUD permissions for categories, courses, sessions, exams, and materials.</t>
  </si>
  <si>
    <t>StaffEmail="staff@passerellesnumeriques.org"</t>
  </si>
  <si>
    <t>1. Access Training Materials module;
2. Verify presence of Create, Edit, Archive, and Delete buttons.</t>
  </si>
  <si>
    <t>Staff user can perform all management operations cleanly.</t>
  </si>
  <si>
    <t>Related Requirement: M07-F08, User Roles</t>
  </si>
  <si>
    <t>TC-M07-038</t>
  </si>
  <si>
    <t>Access Control - Student Role Has Read-Only Access</t>
  </si>
  <si>
    <t>Verify Student users can view training materials but cannot create, edit, or delete items.</t>
  </si>
  <si>
    <t>User is logged in as Student.</t>
  </si>
  <si>
    <t>StudentEmail="student@student.passerellesnumeriques.org"</t>
  </si>
  <si>
    <t>1. Access Training Materials module as Student;
2. Check for management buttons.</t>
  </si>
  <si>
    <t>Create, Edit, Archive, Delete, and CSV Import buttons are completely hidden.
Student can view and open material links in Read-Only mode.</t>
  </si>
  <si>
    <t>TC-M07-039</t>
  </si>
  <si>
    <t>Access Control - External Domain Accounts Are Denied Access</t>
  </si>
  <si>
    <t>Verify accounts outside organizational domains are denied access.</t>
  </si>
  <si>
    <t>User attempts access with external personal account.</t>
  </si>
  <si>
    <t>UserEmail="user@gmail.com"</t>
  </si>
  <si>
    <t>1. Attempt to access Training Materials URL with external email.</t>
  </si>
  <si>
    <t>Access denied page or login redirect is displayed.</t>
  </si>
  <si>
    <t>TC-M07-040</t>
  </si>
  <si>
    <t>Verify Auto-hiding All Child Sessions/Exams When Course Is Archived</t>
  </si>
  <si>
    <t>Verify archiving a course automatically hides all nested sessions and exams.</t>
  </si>
  <si>
    <t>User is logged in as Staff.
Course "Web Development" contains 3 sessions and 1 exam.</t>
  </si>
  <si>
    <t>1. Archive course "Web Development";
2. View course list as Student.</t>
  </si>
  <si>
    <t>Course and all its child sessions and exams are hidden from active view.</t>
  </si>
  <si>
    <t>TC-M07-041</t>
  </si>
  <si>
    <t>Verify Restoring All Child Sessions/Exams When Course Is Restored</t>
  </si>
  <si>
    <t>Verify restoring an archived course restores visibility of all nested sessions and exams.</t>
  </si>
  <si>
    <t>User is logged in as Staff.
Course "Web Development" is Archived.</t>
  </si>
  <si>
    <t>1. Restore course "Web Development";
2. View active course list.</t>
  </si>
  <si>
    <t>Course and all child sessions and exams reappear in active view.</t>
  </si>
  <si>
    <t>Module 07 - Feature &amp; Priority Summary Report</t>
  </si>
  <si>
    <t>Summary of test cases per feature, calculated via Excel formulas</t>
  </si>
  <si>
    <t>Total Features</t>
  </si>
  <si>
    <t>Total Test Cases</t>
  </si>
  <si>
    <t>High Priority Features</t>
  </si>
  <si>
    <t>Medium Priority Features</t>
  </si>
  <si>
    <t>Low Priority Features</t>
  </si>
  <si>
    <t>Feature Categorization &amp; Priority Breakdown</t>
  </si>
  <si>
    <t>High Priority</t>
  </si>
  <si>
    <t>Medium Priority</t>
  </si>
  <si>
    <t>Low Priority</t>
  </si>
  <si>
    <t>Total TCs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</si>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</sst>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b/>
      <sz val="11"/>
      <color rgb="FFFFFFFF"/>
      <name val="Segoe UI"/>
    </font>
    <font>
      <sz val="10"/>
      <color rgb="FF000000"/>
      <name val="Segoe UI"/>
    </font>
    <font>
      <b/>
      <sz val="10"/>
      <color rgb="FF1F4E78"/>
      <name val="Segoe UI"/>
    </font>
    <font>
      <b/>
      <sz val="10"/>
      <color rgb="FFA50E0E"/>
      <name val="Segoe UI"/>
    </font>
    <font>
      <b/>
      <sz val="10"/>
      <color rgb="FFB06000"/>
      <name val="Segoe UI"/>
    </font>
    <font>
      <b/>
      <sz val="16"/>
      <color rgb="FF1F4E78"/>
      <name val="Segoe UI"/>
    </font>
    <font>
      <i/>
      <sz val="10"/>
      <color rgb="FF555555"/>
      <name val="Segoe UI"/>
    </font>
    <font>
      <b/>
      <sz val="10"/>
      <color rgb="FF137333"/>
      <name val="Segoe UI"/>
    </font>
    <font>
      <b/>
      <sz val="10"/>
      <color rgb="FF000000"/>
      <name val="Segoe UI"/>
    </font>
    <font>
      <b/>
      <sz val="9"/>
      <color rgb="FF64748B"/>
      <name val="Segoe UI"/>
    </font>
    <font>
      <b/>
      <sz val="18"/>
      <color rgb="FF1E293B"/>
      <name val="Segoe UI"/>
    </font>
    <font>
      <b/>
      <sz val="18"/>
      <color rgb="FF1F4E78"/>
      <name val="Segoe UI"/>
    </font>
    <font>
      <b/>
      <sz val="18"/>
      <color rgb="FFA50E0E"/>
      <name val="Segoe UI"/>
    </font>
    <font>
      <b/>
      <sz val="18"/>
      <color rgb="FFB06000"/>
      <name val="Segoe UI"/>
    </font>
    <font>
      <b/>
      <sz val="18"/>
      <color rgb="FF137333"/>
      <name val="Segoe UI"/>
    </font>
    <font>
      <b/>
      <sz val="12"/>
      <color rgb="FF1F4E78"/>
      <name val="Segoe UI"/>
    </font>
    <font>
      <b/>
      <sz val="10"/>
      <color rgb="FF137333"/>
      <name val="Segoe UI"/>
    </font>
    <font>
      <sz val="10"/>
      <color rgb="FF000000"/>
      <name val="Segoe UI"/>
    </font>
    <font>
      <b/>
      <sz val="10"/>
      <color rgb="FFA50E0E"/>
      <name val="Segoe UI"/>
    </font>
  </fonts>
  <fills count="11">
    <fill>
      <patternFill patternType="none"/>
    </fill>
    <fill>
      <patternFill patternType="gray125"/>
    </fill>
    <fill>
      <patternFill patternType="solid">
        <fgColor rgb="FF1F4E78"/>
        <bgColor rgb="FF1F4E78"/>
      </patternFill>
    </fill>
    <fill>
      <patternFill patternType="solid">
        <fgColor rgb="FFF1F5F9"/>
        <bgColor rgb="FFF1F5F9"/>
      </patternFill>
    </fill>
    <fill>
      <patternFill patternType="solid">
        <fgColor rgb="FFFCE8E6"/>
        <bgColor rgb="FFFCE8E6"/>
      </patternFill>
    </fill>
    <fill>
      <patternFill patternType="solid">
        <fgColor rgb="FFF8FAFC"/>
        <bgColor rgb="FFF8FAFC"/>
      </patternFill>
    </fill>
    <fill>
      <patternFill patternType="solid">
        <fgColor rgb="FFFEF7E0"/>
        <bgColor rgb="FFFEF7E0"/>
      </patternFill>
    </fill>
    <fill>
      <patternFill patternType="solid">
        <fgColor rgb="FFE2E8F0"/>
        <bgColor rgb="FFE2E8F0"/>
      </patternFill>
    </fill>
    <fill>
      <patternFill patternType="solid">
        <fgColor rgb="FFE6F4EA"/>
        <bgColor rgb="FFE6F4EA"/>
      </patternFill>
    </fill>
    <fill>
      <patternFill patternType="solid">
        <fgColor rgb="FFE6F4EA"/>
        <bgColor rgb="FFE6F4EA"/>
      </patternFill>
    </fill>
    <fill>
      <patternFill patternType="solid">
        <fgColor rgb="FFFCE8E6"/>
        <bgColor rgb="FFFCE8E6"/>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medium">
        <color rgb="FF1E293B"/>
      </top>
      <bottom style="double">
        <color rgb="FF1E293B"/>
      </bottom>
      <diagonal/>
    </border>
  </borders>
  <cellStyleXfs count="1">
    <xf numFmtId="0" fontId="0" fillId="0" borderId="0"/>
  </cellStyleXfs>
  <cellXfs count="39">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horizontal="center" vertical="top" wrapText="1"/>
    </xf>
    <xf numFmtId="0" fontId="3" fillId="0" borderId="1" xfId="0" applyFont="1" applyBorder="1" applyAlignment="1">
      <alignment horizontal="center" vertical="top" wrapText="1"/>
    </xf>
    <xf numFmtId="0" fontId="2" fillId="0" borderId="1" xfId="0" applyFont="1" applyBorder="1" applyAlignment="1">
      <alignment horizontal="left" vertical="top" wrapText="1"/>
    </xf>
    <xf numFmtId="0" fontId="4" fillId="4" borderId="1" xfId="0" applyFont="1" applyFill="1" applyBorder="1" applyAlignment="1">
      <alignment horizontal="center" vertical="top" wrapText="1"/>
    </xf>
    <xf numFmtId="0" fontId="2" fillId="5"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2" fillId="5" borderId="1" xfId="0" applyFont="1" applyFill="1" applyBorder="1" applyAlignment="1">
      <alignment horizontal="left" vertical="top" wrapText="1"/>
    </xf>
    <xf numFmtId="0" fontId="5" fillId="6" borderId="1" xfId="0" applyFont="1" applyFill="1" applyBorder="1" applyAlignment="1">
      <alignment horizontal="center" vertical="top" wrapText="1"/>
    </xf>
    <xf numFmtId="0" fontId="6" fillId="0" borderId="0" xfId="0" applyFont="1"/>
    <xf numFmtId="0" fontId="7" fillId="0" borderId="0" xfId="0" applyFont="1"/>
    <xf numFmtId="0" fontId="10" fillId="0" borderId="0" xfId="0" applyFont="1" applyAlignment="1">
      <alignment horizontal="center" vertical="center"/>
    </xf>
    <xf numFmtId="0" fontId="11" fillId="3" borderId="1" xfId="0" applyFont="1" applyFill="1" applyBorder="1" applyAlignment="1">
      <alignment horizontal="center" vertical="center"/>
    </xf>
    <xf numFmtId="0" fontId="12" fillId="7" borderId="1" xfId="0" applyFont="1" applyFill="1" applyBorder="1" applyAlignment="1">
      <alignment horizontal="center" vertical="center"/>
    </xf>
    <xf numFmtId="0" fontId="13" fillId="4" borderId="1" xfId="0" applyFont="1" applyFill="1" applyBorder="1" applyAlignment="1">
      <alignment horizontal="center" vertical="center"/>
    </xf>
    <xf numFmtId="0" fontId="14" fillId="6" borderId="1" xfId="0" applyFont="1" applyFill="1" applyBorder="1" applyAlignment="1">
      <alignment horizontal="center" vertical="center"/>
    </xf>
    <xf numFmtId="0" fontId="15" fillId="8" borderId="1" xfId="0" applyFont="1" applyFill="1" applyBorder="1" applyAlignment="1">
      <alignment horizontal="center" vertical="center"/>
    </xf>
    <xf numFmtId="0" fontId="16" fillId="0" borderId="0" xfId="0" applyFont="1"/>
    <xf numFmtId="0" fontId="1" fillId="2" borderId="1" xfId="0" applyFont="1" applyFill="1" applyBorder="1" applyAlignment="1">
      <alignment horizontal="center" vertical="center"/>
    </xf>
    <xf numFmtId="0" fontId="1" fillId="2" borderId="1" xfId="0" applyFont="1" applyFill="1" applyBorder="1" applyAlignment="1">
      <alignment horizontal="left" vertical="center"/>
    </xf>
    <xf numFmtId="0" fontId="3" fillId="5" borderId="1" xfId="0" applyFont="1" applyFill="1" applyBorder="1" applyAlignment="1">
      <alignment horizontal="center" vertical="center"/>
    </xf>
    <xf numFmtId="0" fontId="2" fillId="5" borderId="1" xfId="0" applyFont="1" applyFill="1" applyBorder="1" applyAlignment="1">
      <alignment horizontal="left" vertical="center"/>
    </xf>
    <xf numFmtId="0" fontId="4" fillId="5" borderId="1" xfId="0" applyFont="1" applyFill="1" applyBorder="1" applyAlignment="1">
      <alignment horizontal="center" vertical="center"/>
    </xf>
    <xf numFmtId="0" fontId="5"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left"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8" fillId="0" borderId="1" xfId="0" applyFont="1" applyBorder="1" applyAlignment="1">
      <alignment horizontal="center" vertical="center"/>
    </xf>
    <xf numFmtId="0" fontId="2" fillId="0" borderId="1" xfId="0" applyFont="1" applyBorder="1" applyAlignment="1">
      <alignment horizontal="center" vertical="center"/>
    </xf>
    <xf numFmtId="0" fontId="9" fillId="7" borderId="2" xfId="0" applyFont="1" applyFill="1" applyBorder="1" applyAlignment="1">
      <alignment horizontal="center" vertical="center"/>
    </xf>
    <xf numFmtId="0" fontId="9" fillId="7" borderId="2" xfId="0" applyFont="1" applyFill="1" applyBorder="1" applyAlignment="1">
      <alignment horizontal="left" vertical="center"/>
    </xf>
    <xf numFmtId="0" fontId="18" fillId="0" borderId="1" xfId="0" applyFont="1" applyBorder="1" applyAlignment="1">
      <alignment horizontal="left" vertical="top" wrapText="1"/>
    </xf>
    <xf numFmtId="0" fontId="17" fillId="9" borderId="1" xfId="0" applyFont="1" applyFill="1" applyBorder="1" applyAlignment="1">
      <alignment horizontal="center" vertical="top" wrapText="1"/>
    </xf>
    <xf numFmtId="0" fontId="18" fillId="5" borderId="1" xfId="0" applyFont="1" applyFill="1" applyBorder="1" applyAlignment="1">
      <alignment horizontal="left" vertical="top" wrapText="1"/>
    </xf>
    <xf numFmtId="0" fontId="19" fillId="10" borderId="1" xfId="0" applyFont="1" applyFill="1" applyBorder="1" applyAlignment="1">
      <alignment horizontal="center"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theme" Target="theme/theme1.xml"/><Relationship Id="rId7"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alcChain" Target="calcChain.xml"/><Relationship Id="rId5" Type="http://schemas.openxmlformats.org/officeDocument/2006/relationships/sharedStrings" Target="sharedStrings.xml"/><Relationship Id="rId10" Type="http://schemas.microsoft.com/office/2017/06/relationships/rdRichValueTypes" Target="richData/rdRichValueTypes.xml"/><Relationship Id="rId4" Type="http://schemas.openxmlformats.org/officeDocument/2006/relationships/styles" Target="styles.xml"/><Relationship Id="rId9" Type="http://schemas.microsoft.com/office/2017/06/relationships/rdRichValueStructure" Target="richData/rdrichvaluestructur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a:pPr>
            <a:r>
              <a:rPr lang="en-US"/>
              <a:t>Test Cases by Feature (Grouped by Priority)</a:t>
            </a:r>
          </a:p>
        </c:rich>
      </c:tx>
      <c:overlay val="1"/>
    </c:title>
    <c:autoTitleDeleted val="0"/>
    <c:plotArea>
      <c:layout/>
      <c:barChart>
        <c:barDir val="col"/>
        <c:grouping val="clustered"/>
        <c:varyColors val="1"/>
        <c:ser>
          <c:idx val="0"/>
          <c:order val="0"/>
          <c:tx>
            <c:strRef>
              <c:f>Report!$C$8</c:f>
              <c:strCache>
                <c:ptCount val="1"/>
                <c:pt idx="0">
                  <c:v>High Priority</c:v>
                </c:pt>
              </c:strCache>
            </c:strRef>
          </c:tx>
          <c:spPr>
            <a:solidFill>
              <a:srgbClr val="FF00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Report!$C$9:$C$15</c:f>
              <c:numCache>
                <c:formatCode>General</c:formatCode>
                <c:ptCount val="7"/>
                <c:pt idx="0">
                  <c:v>3</c:v>
                </c:pt>
                <c:pt idx="1">
                  <c:v>7</c:v>
                </c:pt>
                <c:pt idx="2">
                  <c:v>4</c:v>
                </c:pt>
                <c:pt idx="3">
                  <c:v>4</c:v>
                </c:pt>
                <c:pt idx="4">
                  <c:v>5</c:v>
                </c:pt>
                <c:pt idx="5">
                  <c:v>6</c:v>
                </c:pt>
                <c:pt idx="6">
                  <c:v>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00-4A30-800D-EC904BF8DC61}"/>
            </c:ext>
          </c:extLst>
        </c:ser>
        <c:ser>
          <c:idx val="1"/>
          <c:order val="1"/>
          <c:tx>
            <c:strRef>
              <c:f>Report!$D$8</c:f>
              <c:strCache>
                <c:ptCount val="1"/>
                <c:pt idx="0">
                  <c:v>Medium Priority</c:v>
                </c:pt>
              </c:strCache>
            </c:strRef>
          </c:tx>
          <c:spPr>
            <a:solidFill>
              <a:srgbClr val="FF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Report!$D$9:$D$15</c:f>
              <c:numCache>
                <c:formatCode>General</c:formatCode>
                <c:ptCount val="7"/>
                <c:pt idx="0">
                  <c:v>1</c:v>
                </c:pt>
                <c:pt idx="1">
                  <c:v>1</c:v>
                </c:pt>
                <c:pt idx="2">
                  <c:v>2</c:v>
                </c:pt>
                <c:pt idx="3">
                  <c:v>2</c:v>
                </c:pt>
                <c:pt idx="4">
                  <c:v>1</c:v>
                </c:pt>
                <c:pt idx="5">
                  <c:v>2</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00-4A30-800D-EC904BF8DC61}"/>
            </c:ext>
          </c:extLst>
        </c:ser>
        <c:ser>
          <c:idx val="2"/>
          <c:order val="2"/>
          <c:tx>
            <c:strRef>
              <c:f>Report!$E$8</c:f>
              <c:strCache>
                <c:ptCount val="1"/>
                <c:pt idx="0">
                  <c:v>Low Priority</c:v>
                </c:pt>
              </c:strCache>
            </c:strRef>
          </c:tx>
          <c:spPr>
            <a:solidFill>
              <a:srgbClr val="00FF00"/>
            </a:solidFill>
            <a:ln>
              <a:prstDash val="solid"/>
            </a:ln>
          </c:spPr>
          <c:invertIfNegative val="1"/>
          <c:cat>
            <c:strRef>
              <c:f>Report!$A$9:$A$15</c:f>
              <c:strCache>
                <c:ptCount val="7"/>
                <c:pt idx="0">
                  <c:v>M07-F02</c:v>
                </c:pt>
                <c:pt idx="1">
                  <c:v>M07-F03</c:v>
                </c:pt>
                <c:pt idx="2">
                  <c:v>M07-F04</c:v>
                </c:pt>
                <c:pt idx="3">
                  <c:v>M07-F05</c:v>
                </c:pt>
                <c:pt idx="4">
                  <c:v>M07-F06</c:v>
                </c:pt>
                <c:pt idx="5">
                  <c:v>M07-F07</c:v>
                </c:pt>
                <c:pt idx="6">
                  <c:v>M07-F08</c:v>
                </c:pt>
              </c:strCache>
            </c:strRef>
          </c:cat>
          <c:val>
            <c:numRef>
              <c:f>Report!$E$9:$E$15</c:f>
              <c:numCache>
                <c:formatCode>General</c:formatCode>
                <c:ptCount val="7"/>
                <c:pt idx="0">
                  <c:v>0</c:v>
                </c:pt>
                <c:pt idx="1">
                  <c:v>0</c:v>
                </c:pt>
                <c:pt idx="2">
                  <c:v>0</c:v>
                </c:pt>
                <c:pt idx="3">
                  <c:v>0</c:v>
                </c:pt>
                <c:pt idx="4">
                  <c:v>0</c:v>
                </c:pt>
                <c:pt idx="5">
                  <c:v>0</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100-4A30-800D-EC904BF8DC61}"/>
            </c:ext>
          </c:extLst>
        </c:ser>
        <c:dLbls>
          <c:showLegendKey val="0"/>
          <c:showVal val="0"/>
          <c:showCatName val="0"/>
          <c:showSerName val="0"/>
          <c:showPercent val="0"/>
          <c:showBubbleSize val="0"/>
        </c:dLbls>
        <c:gapWidth val="150"/>
        <c:overlap val="-20"/>
        <c:axId val="10"/>
        <c:axId val="100"/>
      </c:barChart>
      <c:catAx>
        <c:axId val="10"/>
        <c:scaling>
          <c:orientation val="minMax"/>
        </c:scaling>
        <c:delete val="1"/>
        <c:axPos val="b"/>
        <c:title>
          <c:tx>
            <c:rich>
              <a:bodyPr/>
              <a:lstStyle/>
              <a:p>
                <a:pPr>
                  <a:defRPr/>
                </a:pPr>
                <a:r>
                  <a:rPr lang="en-US"/>
                  <a:t>Feature ID</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Number of Test Cases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7</xdr:col>
      <xdr:colOff>0</xdr:colOff>
      <xdr:row>3</xdr:row>
      <xdr:rowOff>0</xdr:rowOff>
    </xdr:from>
    <xdr:ext cx="7920000" cy="50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editAs="oneCell">
    <xdr:from>
      <xdr:col>12</xdr:col>
      <xdr:colOff>45904</xdr:colOff>
      <xdr:row>26</xdr:row>
      <xdr:rowOff>34428</xdr:rowOff>
    </xdr:from>
    <xdr:to>
      <xdr:col>12</xdr:col>
      <xdr:colOff>1755402</xdr:colOff>
      <xdr:row>26</xdr:row>
      <xdr:rowOff>1847622</xdr:rowOff>
    </xdr:to>
    <xdr:pic>
      <xdr:nvPicPr>
        <xdr:cNvPr id="4" name="Picture 3">
          <a:extLst>
            <a:ext uri="{FF2B5EF4-FFF2-40B4-BE49-F238E27FC236}">
              <a16:creationId xmlns:a16="http://schemas.microsoft.com/office/drawing/2014/main" id="{47D4BAE8-26AE-D8FE-6280-1D532E958D59}"/>
            </a:ext>
          </a:extLst>
        </xdr:cNvPr>
        <xdr:cNvPicPr>
          <a:picLocks noChangeAspect="1"/>
        </xdr:cNvPicPr>
      </xdr:nvPicPr>
      <xdr:blipFill>
        <a:blip xmlns:r="http://schemas.openxmlformats.org/officeDocument/2006/relationships" r:embed="rId1"/>
        <a:stretch>
          <a:fillRect/>
        </a:stretch>
      </xdr:blipFill>
      <xdr:spPr>
        <a:xfrm>
          <a:off x="23043615" y="21896024"/>
          <a:ext cx="1709498" cy="1813194"/>
        </a:xfrm>
        <a:prstGeom prst="rect">
          <a:avLst/>
        </a:prstGeom>
      </xdr:spPr>
    </xdr:pic>
    <xdr:clientData/>
  </xdr:twoCellAnchor>
  <xdr:twoCellAnchor editAs="oneCell">
    <xdr:from>
      <xdr:col>12</xdr:col>
      <xdr:colOff>11476</xdr:colOff>
      <xdr:row>27</xdr:row>
      <xdr:rowOff>45904</xdr:rowOff>
    </xdr:from>
    <xdr:to>
      <xdr:col>12</xdr:col>
      <xdr:colOff>1801717</xdr:colOff>
      <xdr:row>28</xdr:row>
      <xdr:rowOff>17833</xdr:rowOff>
    </xdr:to>
    <xdr:pic>
      <xdr:nvPicPr>
        <xdr:cNvPr id="5" name="Picture 4">
          <a:extLst>
            <a:ext uri="{FF2B5EF4-FFF2-40B4-BE49-F238E27FC236}">
              <a16:creationId xmlns:a16="http://schemas.microsoft.com/office/drawing/2014/main" id="{0C67D777-4EE9-C551-6210-CB8332D08077}"/>
            </a:ext>
          </a:extLst>
        </xdr:cNvPr>
        <xdr:cNvPicPr>
          <a:picLocks noChangeAspect="1"/>
        </xdr:cNvPicPr>
      </xdr:nvPicPr>
      <xdr:blipFill>
        <a:blip xmlns:r="http://schemas.openxmlformats.org/officeDocument/2006/relationships" r:embed="rId2"/>
        <a:stretch>
          <a:fillRect/>
        </a:stretch>
      </xdr:blipFill>
      <xdr:spPr>
        <a:xfrm>
          <a:off x="23009187" y="23812500"/>
          <a:ext cx="1790241" cy="1980213"/>
        </a:xfrm>
        <a:prstGeom prst="rect">
          <a:avLst/>
        </a:prstGeom>
      </xdr:spPr>
    </xdr:pic>
    <xdr:clientData/>
  </xdr:twoCellAnchor>
  <xdr:twoCellAnchor editAs="oneCell">
    <xdr:from>
      <xdr:col>12</xdr:col>
      <xdr:colOff>1778765</xdr:colOff>
      <xdr:row>26</xdr:row>
      <xdr:rowOff>45904</xdr:rowOff>
    </xdr:from>
    <xdr:to>
      <xdr:col>12</xdr:col>
      <xdr:colOff>6185512</xdr:colOff>
      <xdr:row>26</xdr:row>
      <xdr:rowOff>1886084</xdr:rowOff>
    </xdr:to>
    <xdr:pic>
      <xdr:nvPicPr>
        <xdr:cNvPr id="6" name="Picture 5">
          <a:extLst>
            <a:ext uri="{FF2B5EF4-FFF2-40B4-BE49-F238E27FC236}">
              <a16:creationId xmlns:a16="http://schemas.microsoft.com/office/drawing/2014/main" id="{8E5E04C1-BCCC-5707-B096-9F495E2BEDDB}"/>
            </a:ext>
          </a:extLst>
        </xdr:cNvPr>
        <xdr:cNvPicPr>
          <a:picLocks noChangeAspect="1"/>
        </xdr:cNvPicPr>
      </xdr:nvPicPr>
      <xdr:blipFill>
        <a:blip xmlns:r="http://schemas.openxmlformats.org/officeDocument/2006/relationships" r:embed="rId3"/>
        <a:stretch>
          <a:fillRect/>
        </a:stretch>
      </xdr:blipFill>
      <xdr:spPr>
        <a:xfrm>
          <a:off x="24776476" y="21907500"/>
          <a:ext cx="4406747" cy="1840180"/>
        </a:xfrm>
        <a:prstGeom prst="rect">
          <a:avLst/>
        </a:prstGeom>
      </xdr:spPr>
    </xdr:pic>
    <xdr:clientData/>
  </xdr:twoCellAnchor>
  <xdr:twoCellAnchor editAs="oneCell">
    <xdr:from>
      <xdr:col>12</xdr:col>
      <xdr:colOff>1827882</xdr:colOff>
      <xdr:row>27</xdr:row>
      <xdr:rowOff>72069</xdr:rowOff>
    </xdr:from>
    <xdr:to>
      <xdr:col>12</xdr:col>
      <xdr:colOff>6234629</xdr:colOff>
      <xdr:row>27</xdr:row>
      <xdr:rowOff>1912249</xdr:rowOff>
    </xdr:to>
    <xdr:pic>
      <xdr:nvPicPr>
        <xdr:cNvPr id="7" name="Picture 6">
          <a:extLst>
            <a:ext uri="{FF2B5EF4-FFF2-40B4-BE49-F238E27FC236}">
              <a16:creationId xmlns:a16="http://schemas.microsoft.com/office/drawing/2014/main" id="{B06D2AA1-3FE2-670D-9553-33E3CF1B7930}"/>
            </a:ext>
          </a:extLst>
        </xdr:cNvPr>
        <xdr:cNvPicPr>
          <a:picLocks noChangeAspect="1"/>
        </xdr:cNvPicPr>
      </xdr:nvPicPr>
      <xdr:blipFill>
        <a:blip xmlns:r="http://schemas.openxmlformats.org/officeDocument/2006/relationships" r:embed="rId3"/>
        <a:stretch>
          <a:fillRect/>
        </a:stretch>
      </xdr:blipFill>
      <xdr:spPr>
        <a:xfrm>
          <a:off x="24825593" y="23838665"/>
          <a:ext cx="4406747" cy="1840180"/>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workbookViewId="0"/>
  </sheetViews>
  <sheetFormatPr defaultRowHeight="15" x14ac:dyDescent="0.25"/>
  <cols>
    <col min="1" max="1" width="16" customWidth="1"/>
    <col min="2" max="2" width="32" customWidth="1"/>
    <col min="3" max="6" width="16" customWidth="1"/>
  </cols>
  <sheetData>
    <row r="1" spans="1:6" ht="25.5" customHeight="1" x14ac:dyDescent="0.5">
      <c r="A1" s="10" t="s">
        <v>315</v>
      </c>
    </row>
    <row r="2" spans="1:6" x14ac:dyDescent="0.25">
      <c r="A2" s="11" t="s">
        <v>316</v>
      </c>
    </row>
    <row r="4" spans="1:6" ht="18" customHeight="1" x14ac:dyDescent="0.25">
      <c r="A4" s="12" t="s">
        <v>317</v>
      </c>
      <c r="B4" s="12" t="s">
        <v>318</v>
      </c>
      <c r="C4" s="12" t="s">
        <v>319</v>
      </c>
      <c r="D4" s="12" t="s">
        <v>320</v>
      </c>
      <c r="E4" s="12" t="s">
        <v>321</v>
      </c>
    </row>
    <row r="5" spans="1:6" ht="32.1" customHeight="1" x14ac:dyDescent="0.25">
      <c r="A5" s="13">
        <f>COUNTA(A9:A15)</f>
        <v>7</v>
      </c>
      <c r="B5" s="14">
        <f>F16</f>
        <v>41</v>
      </c>
      <c r="C5" s="15">
        <f>COUNTIF(C9:C15, "&gt;0")</f>
        <v>7</v>
      </c>
      <c r="D5" s="16">
        <f>COUNTIFS(C9:C15, 0, D9:D15, "&gt;0")</f>
        <v>0</v>
      </c>
      <c r="E5" s="17">
        <f>COUNTIFS(C9:C15, 0, D9:D15, 0, E9:E15, "&gt;0")</f>
        <v>0</v>
      </c>
    </row>
    <row r="7" spans="1:6" ht="17.25" customHeight="1" x14ac:dyDescent="0.3">
      <c r="A7" s="18" t="s">
        <v>322</v>
      </c>
    </row>
    <row r="8" spans="1:6" ht="26.1" customHeight="1" x14ac:dyDescent="0.25">
      <c r="A8" s="19" t="s">
        <v>2</v>
      </c>
      <c r="B8" s="20" t="s">
        <v>3</v>
      </c>
      <c r="C8" s="19" t="s">
        <v>323</v>
      </c>
      <c r="D8" s="19" t="s">
        <v>324</v>
      </c>
      <c r="E8" s="19" t="s">
        <v>325</v>
      </c>
      <c r="F8" s="19" t="s">
        <v>326</v>
      </c>
    </row>
    <row r="9" spans="1:6" ht="21.95" customHeight="1" x14ac:dyDescent="0.25">
      <c r="A9" s="21" t="s">
        <v>17</v>
      </c>
      <c r="B9" s="22" t="s">
        <v>18</v>
      </c>
      <c r="C9" s="23">
        <f>COUNTIFS(Module07!$C$2:$C$42, A9, Module07!$N$2:$N$42, "High")</f>
        <v>3</v>
      </c>
      <c r="D9" s="24">
        <f>COUNTIFS(Module07!$C$2:$C$42, A9, Module07!$N$2:$N$42, "Medium")</f>
        <v>1</v>
      </c>
      <c r="E9" s="25">
        <f>COUNTIFS(Module07!$C$2:$C$42, A9, Module07!$N$2:$N$42, "Low")</f>
        <v>0</v>
      </c>
      <c r="F9" s="26">
        <f t="shared" ref="F9:F15" si="0">SUM(C9:E9)</f>
        <v>4</v>
      </c>
    </row>
    <row r="10" spans="1:6" ht="21.95" customHeight="1" x14ac:dyDescent="0.25">
      <c r="A10" s="27" t="s">
        <v>53</v>
      </c>
      <c r="B10" s="28" t="s">
        <v>54</v>
      </c>
      <c r="C10" s="29">
        <f>COUNTIFS(Module07!$C$2:$C$42, A10, Module07!$N$2:$N$42, "High")</f>
        <v>7</v>
      </c>
      <c r="D10" s="30">
        <f>COUNTIFS(Module07!$C$2:$C$42, A10, Module07!$N$2:$N$42, "Medium")</f>
        <v>1</v>
      </c>
      <c r="E10" s="31">
        <f>COUNTIFS(Module07!$C$2:$C$42, A10, Module07!$N$2:$N$42, "Low")</f>
        <v>0</v>
      </c>
      <c r="F10" s="32">
        <f t="shared" si="0"/>
        <v>8</v>
      </c>
    </row>
    <row r="11" spans="1:6" ht="21.95" customHeight="1" x14ac:dyDescent="0.25">
      <c r="A11" s="21" t="s">
        <v>96</v>
      </c>
      <c r="B11" s="22" t="s">
        <v>97</v>
      </c>
      <c r="C11" s="23">
        <f>COUNTIFS(Module07!$C$2:$C$42, A11, Module07!$N$2:$N$42, "High")</f>
        <v>4</v>
      </c>
      <c r="D11" s="24">
        <f>COUNTIFS(Module07!$C$2:$C$42, A11, Module07!$N$2:$N$42, "Medium")</f>
        <v>2</v>
      </c>
      <c r="E11" s="25">
        <f>COUNTIFS(Module07!$C$2:$C$42, A11, Module07!$N$2:$N$42, "Low")</f>
        <v>0</v>
      </c>
      <c r="F11" s="26">
        <f t="shared" si="0"/>
        <v>6</v>
      </c>
    </row>
    <row r="12" spans="1:6" ht="21.95" customHeight="1" x14ac:dyDescent="0.25">
      <c r="A12" s="27" t="s">
        <v>139</v>
      </c>
      <c r="B12" s="28" t="s">
        <v>140</v>
      </c>
      <c r="C12" s="29">
        <f>COUNTIFS(Module07!$C$2:$C$42, A12, Module07!$N$2:$N$42, "High")</f>
        <v>4</v>
      </c>
      <c r="D12" s="30">
        <f>COUNTIFS(Module07!$C$2:$C$42, A12, Module07!$N$2:$N$42, "Medium")</f>
        <v>2</v>
      </c>
      <c r="E12" s="31">
        <f>COUNTIFS(Module07!$C$2:$C$42, A12, Module07!$N$2:$N$42, "Low")</f>
        <v>0</v>
      </c>
      <c r="F12" s="32">
        <f t="shared" si="0"/>
        <v>6</v>
      </c>
    </row>
    <row r="13" spans="1:6" ht="21.95" customHeight="1" x14ac:dyDescent="0.25">
      <c r="A13" s="21" t="s">
        <v>180</v>
      </c>
      <c r="B13" s="22" t="s">
        <v>181</v>
      </c>
      <c r="C13" s="23">
        <f>COUNTIFS(Module07!$C$2:$C$42, A13, Module07!$N$2:$N$42, "High")</f>
        <v>5</v>
      </c>
      <c r="D13" s="24">
        <f>COUNTIFS(Module07!$C$2:$C$42, A13, Module07!$N$2:$N$42, "Medium")</f>
        <v>1</v>
      </c>
      <c r="E13" s="25">
        <f>COUNTIFS(Module07!$C$2:$C$42, A13, Module07!$N$2:$N$42, "Low")</f>
        <v>0</v>
      </c>
      <c r="F13" s="26">
        <f t="shared" si="0"/>
        <v>6</v>
      </c>
    </row>
    <row r="14" spans="1:6" ht="21.95" customHeight="1" x14ac:dyDescent="0.25">
      <c r="A14" s="27" t="s">
        <v>224</v>
      </c>
      <c r="B14" s="28" t="s">
        <v>225</v>
      </c>
      <c r="C14" s="29">
        <f>COUNTIFS(Module07!$C$2:$C$42, A14, Module07!$N$2:$N$42, "High")</f>
        <v>6</v>
      </c>
      <c r="D14" s="30">
        <f>COUNTIFS(Module07!$C$2:$C$42, A14, Module07!$N$2:$N$42, "Medium")</f>
        <v>2</v>
      </c>
      <c r="E14" s="31">
        <f>COUNTIFS(Module07!$C$2:$C$42, A14, Module07!$N$2:$N$42, "Low")</f>
        <v>0</v>
      </c>
      <c r="F14" s="32">
        <f t="shared" si="0"/>
        <v>8</v>
      </c>
    </row>
    <row r="15" spans="1:6" ht="21.95" customHeight="1" x14ac:dyDescent="0.25">
      <c r="A15" s="21" t="s">
        <v>281</v>
      </c>
      <c r="B15" s="22" t="s">
        <v>282</v>
      </c>
      <c r="C15" s="23">
        <f>COUNTIFS(Module07!$C$2:$C$42, A15, Module07!$N$2:$N$42, "High")</f>
        <v>3</v>
      </c>
      <c r="D15" s="24">
        <f>COUNTIFS(Module07!$C$2:$C$42, A15, Module07!$N$2:$N$42, "Medium")</f>
        <v>0</v>
      </c>
      <c r="E15" s="25">
        <f>COUNTIFS(Module07!$C$2:$C$42, A15, Module07!$N$2:$N$42, "Low")</f>
        <v>0</v>
      </c>
      <c r="F15" s="26">
        <f t="shared" si="0"/>
        <v>3</v>
      </c>
    </row>
    <row r="16" spans="1:6" ht="24" customHeight="1" x14ac:dyDescent="0.25">
      <c r="A16" s="33" t="s">
        <v>327</v>
      </c>
      <c r="B16" s="34" t="str">
        <f>COUNTA(A9:A15)&amp;" Features"</f>
        <v>7 Features</v>
      </c>
      <c r="C16" s="33">
        <f>SUM(C9:C15)</f>
        <v>32</v>
      </c>
      <c r="D16" s="33">
        <f>SUM(D9:D15)</f>
        <v>9</v>
      </c>
      <c r="E16" s="33">
        <f>SUM(E9:E15)</f>
        <v>0</v>
      </c>
      <c r="F16" s="33">
        <f>SUM(F9:F15)</f>
        <v>41</v>
      </c>
    </row>
  </sheetData>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2"/>
  <sheetViews>
    <sheetView tabSelected="1" topLeftCell="H26" zoomScale="83" zoomScaleNormal="85" workbookViewId="0">
      <selection activeCell="O28" sqref="O28"/>
    </sheetView>
  </sheetViews>
  <sheetFormatPr defaultRowHeight="15" x14ac:dyDescent="0.25"/>
  <cols>
    <col min="1" max="1" width="15" customWidth="1"/>
    <col min="2" max="3" width="14" customWidth="1"/>
    <col min="4" max="4" width="28" customWidth="1"/>
    <col min="5" max="5" width="32" customWidth="1"/>
    <col min="6" max="6" width="36" customWidth="1"/>
    <col min="7" max="7" width="30" customWidth="1"/>
    <col min="8" max="8" width="28" customWidth="1"/>
    <col min="9" max="10" width="48" customWidth="1"/>
    <col min="11" max="11" width="36" customWidth="1"/>
    <col min="12" max="12" width="16" customWidth="1"/>
    <col min="13" max="13" width="96.42578125" customWidth="1"/>
    <col min="14" max="14" width="14" customWidth="1"/>
    <col min="15" max="15" width="32" customWidth="1"/>
  </cols>
  <sheetData>
    <row r="1" spans="1:15" ht="27.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105" customHeight="1" x14ac:dyDescent="0.25">
      <c r="A2" s="2" t="s">
        <v>15</v>
      </c>
      <c r="B2" s="2" t="s">
        <v>16</v>
      </c>
      <c r="C2" s="3" t="s">
        <v>17</v>
      </c>
      <c r="D2" s="4" t="s">
        <v>18</v>
      </c>
      <c r="E2" s="4" t="s">
        <v>19</v>
      </c>
      <c r="F2" s="4" t="s">
        <v>20</v>
      </c>
      <c r="G2" s="4" t="s">
        <v>21</v>
      </c>
      <c r="H2" s="4" t="s">
        <v>22</v>
      </c>
      <c r="I2" s="4" t="s">
        <v>23</v>
      </c>
      <c r="J2" s="4" t="s">
        <v>24</v>
      </c>
      <c r="K2" s="35" t="s">
        <v>24</v>
      </c>
      <c r="L2" s="36" t="s">
        <v>25</v>
      </c>
      <c r="M2" s="2"/>
      <c r="N2" s="5" t="s">
        <v>26</v>
      </c>
      <c r="O2" s="4" t="s">
        <v>27</v>
      </c>
    </row>
    <row r="3" spans="1:15" ht="60" customHeight="1" x14ac:dyDescent="0.25">
      <c r="A3" s="6" t="s">
        <v>28</v>
      </c>
      <c r="B3" s="6" t="s">
        <v>16</v>
      </c>
      <c r="C3" s="7" t="s">
        <v>17</v>
      </c>
      <c r="D3" s="8" t="s">
        <v>18</v>
      </c>
      <c r="E3" s="8" t="s">
        <v>29</v>
      </c>
      <c r="F3" s="8" t="s">
        <v>30</v>
      </c>
      <c r="G3" s="8" t="s">
        <v>31</v>
      </c>
      <c r="H3" s="8" t="s">
        <v>32</v>
      </c>
      <c r="I3" s="8" t="s">
        <v>33</v>
      </c>
      <c r="J3" s="8" t="s">
        <v>34</v>
      </c>
      <c r="K3" s="37" t="s">
        <v>34</v>
      </c>
      <c r="L3" s="36" t="s">
        <v>25</v>
      </c>
      <c r="M3" s="6"/>
      <c r="N3" s="5" t="s">
        <v>26</v>
      </c>
      <c r="O3" s="8" t="s">
        <v>35</v>
      </c>
    </row>
    <row r="4" spans="1:15" ht="60" customHeight="1" x14ac:dyDescent="0.25">
      <c r="A4" s="2" t="s">
        <v>36</v>
      </c>
      <c r="B4" s="2" t="s">
        <v>16</v>
      </c>
      <c r="C4" s="3" t="s">
        <v>17</v>
      </c>
      <c r="D4" s="4" t="s">
        <v>18</v>
      </c>
      <c r="E4" s="4" t="s">
        <v>37</v>
      </c>
      <c r="F4" s="4" t="s">
        <v>38</v>
      </c>
      <c r="G4" s="4" t="s">
        <v>39</v>
      </c>
      <c r="H4" s="4" t="s">
        <v>40</v>
      </c>
      <c r="I4" s="4" t="s">
        <v>41</v>
      </c>
      <c r="J4" s="4" t="s">
        <v>42</v>
      </c>
      <c r="K4" s="35" t="s">
        <v>42</v>
      </c>
      <c r="L4" s="36" t="s">
        <v>25</v>
      </c>
      <c r="M4" s="2"/>
      <c r="N4" s="9" t="s">
        <v>43</v>
      </c>
      <c r="O4" s="4" t="s">
        <v>44</v>
      </c>
    </row>
    <row r="5" spans="1:15" ht="45" customHeight="1" x14ac:dyDescent="0.25">
      <c r="A5" s="6" t="s">
        <v>45</v>
      </c>
      <c r="B5" s="6" t="s">
        <v>16</v>
      </c>
      <c r="C5" s="7" t="s">
        <v>17</v>
      </c>
      <c r="D5" s="8" t="s">
        <v>18</v>
      </c>
      <c r="E5" s="8" t="s">
        <v>46</v>
      </c>
      <c r="F5" s="8" t="s">
        <v>47</v>
      </c>
      <c r="G5" s="8" t="s">
        <v>48</v>
      </c>
      <c r="H5" s="8" t="s">
        <v>49</v>
      </c>
      <c r="I5" s="8" t="s">
        <v>50</v>
      </c>
      <c r="J5" s="8" t="s">
        <v>51</v>
      </c>
      <c r="K5" s="37" t="s">
        <v>51</v>
      </c>
      <c r="L5" s="36" t="s">
        <v>25</v>
      </c>
      <c r="M5" s="6"/>
      <c r="N5" s="5" t="s">
        <v>26</v>
      </c>
      <c r="O5" s="8" t="s">
        <v>44</v>
      </c>
    </row>
    <row r="6" spans="1:15" ht="105" customHeight="1" x14ac:dyDescent="0.25">
      <c r="A6" s="2" t="s">
        <v>52</v>
      </c>
      <c r="B6" s="2" t="s">
        <v>16</v>
      </c>
      <c r="C6" s="3" t="s">
        <v>53</v>
      </c>
      <c r="D6" s="4" t="s">
        <v>54</v>
      </c>
      <c r="E6" s="4" t="s">
        <v>55</v>
      </c>
      <c r="F6" s="4" t="s">
        <v>56</v>
      </c>
      <c r="G6" s="4" t="s">
        <v>57</v>
      </c>
      <c r="H6" s="4" t="s">
        <v>58</v>
      </c>
      <c r="I6" s="4" t="s">
        <v>59</v>
      </c>
      <c r="J6" s="4" t="s">
        <v>60</v>
      </c>
      <c r="K6" s="35" t="s">
        <v>60</v>
      </c>
      <c r="L6" s="36" t="s">
        <v>25</v>
      </c>
      <c r="M6" s="2"/>
      <c r="N6" s="5" t="s">
        <v>26</v>
      </c>
      <c r="O6" s="4" t="s">
        <v>61</v>
      </c>
    </row>
    <row r="7" spans="1:15" ht="45" customHeight="1" x14ac:dyDescent="0.25">
      <c r="A7" s="6" t="s">
        <v>62</v>
      </c>
      <c r="B7" s="6" t="s">
        <v>16</v>
      </c>
      <c r="C7" s="7" t="s">
        <v>53</v>
      </c>
      <c r="D7" s="8" t="s">
        <v>54</v>
      </c>
      <c r="E7" s="8" t="s">
        <v>63</v>
      </c>
      <c r="F7" s="8" t="s">
        <v>64</v>
      </c>
      <c r="G7" s="8" t="s">
        <v>48</v>
      </c>
      <c r="H7" s="8" t="s">
        <v>65</v>
      </c>
      <c r="I7" s="8" t="s">
        <v>66</v>
      </c>
      <c r="J7" s="8" t="s">
        <v>67</v>
      </c>
      <c r="K7" s="37" t="s">
        <v>67</v>
      </c>
      <c r="L7" s="36" t="s">
        <v>25</v>
      </c>
      <c r="M7" s="6"/>
      <c r="N7" s="5" t="s">
        <v>26</v>
      </c>
      <c r="O7" s="8" t="s">
        <v>68</v>
      </c>
    </row>
    <row r="8" spans="1:15" ht="105" customHeight="1" x14ac:dyDescent="0.25">
      <c r="A8" s="2" t="s">
        <v>69</v>
      </c>
      <c r="B8" s="2" t="s">
        <v>16</v>
      </c>
      <c r="C8" s="3" t="s">
        <v>53</v>
      </c>
      <c r="D8" s="4" t="s">
        <v>54</v>
      </c>
      <c r="E8" s="4" t="s">
        <v>70</v>
      </c>
      <c r="F8" s="4" t="s">
        <v>71</v>
      </c>
      <c r="G8" s="4" t="s">
        <v>72</v>
      </c>
      <c r="H8" s="4" t="s">
        <v>73</v>
      </c>
      <c r="I8" s="4" t="s">
        <v>74</v>
      </c>
      <c r="J8" s="4" t="s">
        <v>75</v>
      </c>
      <c r="K8" s="35" t="s">
        <v>75</v>
      </c>
      <c r="L8" s="36" t="s">
        <v>25</v>
      </c>
      <c r="M8" s="2"/>
      <c r="N8" s="5" t="s">
        <v>26</v>
      </c>
      <c r="O8" s="4" t="s">
        <v>61</v>
      </c>
    </row>
    <row r="9" spans="1:15" ht="60" customHeight="1" x14ac:dyDescent="0.25">
      <c r="A9" s="6" t="s">
        <v>76</v>
      </c>
      <c r="B9" s="6" t="s">
        <v>16</v>
      </c>
      <c r="C9" s="7" t="s">
        <v>53</v>
      </c>
      <c r="D9" s="8" t="s">
        <v>54</v>
      </c>
      <c r="E9" s="8" t="s">
        <v>77</v>
      </c>
      <c r="F9" s="8" t="s">
        <v>78</v>
      </c>
      <c r="G9" s="8" t="s">
        <v>79</v>
      </c>
      <c r="H9" s="8" t="s">
        <v>80</v>
      </c>
      <c r="I9" s="8" t="s">
        <v>81</v>
      </c>
      <c r="J9" s="8" t="s">
        <v>82</v>
      </c>
      <c r="K9" s="37" t="s">
        <v>82</v>
      </c>
      <c r="L9" s="36" t="s">
        <v>25</v>
      </c>
      <c r="M9" s="6"/>
      <c r="N9" s="5" t="s">
        <v>26</v>
      </c>
      <c r="O9" s="8" t="s">
        <v>61</v>
      </c>
    </row>
    <row r="10" spans="1:15" ht="75" customHeight="1" x14ac:dyDescent="0.25">
      <c r="A10" s="2" t="s">
        <v>83</v>
      </c>
      <c r="B10" s="2" t="s">
        <v>16</v>
      </c>
      <c r="C10" s="3" t="s">
        <v>53</v>
      </c>
      <c r="D10" s="4" t="s">
        <v>54</v>
      </c>
      <c r="E10" s="4" t="s">
        <v>84</v>
      </c>
      <c r="F10" s="4" t="s">
        <v>85</v>
      </c>
      <c r="G10" s="4" t="s">
        <v>86</v>
      </c>
      <c r="H10" s="4" t="s">
        <v>80</v>
      </c>
      <c r="I10" s="4" t="s">
        <v>87</v>
      </c>
      <c r="J10" s="4" t="s">
        <v>88</v>
      </c>
      <c r="K10" s="35" t="s">
        <v>88</v>
      </c>
      <c r="L10" s="36" t="s">
        <v>25</v>
      </c>
      <c r="M10" s="2"/>
      <c r="N10" s="5" t="s">
        <v>26</v>
      </c>
      <c r="O10" s="4" t="s">
        <v>61</v>
      </c>
    </row>
    <row r="11" spans="1:15" ht="45" customHeight="1" x14ac:dyDescent="0.25">
      <c r="A11" s="6" t="s">
        <v>89</v>
      </c>
      <c r="B11" s="6" t="s">
        <v>16</v>
      </c>
      <c r="C11" s="7" t="s">
        <v>53</v>
      </c>
      <c r="D11" s="8" t="s">
        <v>54</v>
      </c>
      <c r="E11" s="8" t="s">
        <v>90</v>
      </c>
      <c r="F11" s="8" t="s">
        <v>91</v>
      </c>
      <c r="G11" s="8" t="s">
        <v>92</v>
      </c>
      <c r="H11" s="8" t="s">
        <v>80</v>
      </c>
      <c r="I11" s="8" t="s">
        <v>93</v>
      </c>
      <c r="J11" s="8" t="s">
        <v>94</v>
      </c>
      <c r="K11" s="37" t="s">
        <v>94</v>
      </c>
      <c r="L11" s="36" t="s">
        <v>25</v>
      </c>
      <c r="M11" s="6"/>
      <c r="N11" s="9" t="s">
        <v>43</v>
      </c>
      <c r="O11" s="8" t="s">
        <v>61</v>
      </c>
    </row>
    <row r="12" spans="1:15" ht="105" customHeight="1" x14ac:dyDescent="0.25">
      <c r="A12" s="2" t="s">
        <v>95</v>
      </c>
      <c r="B12" s="2" t="s">
        <v>16</v>
      </c>
      <c r="C12" s="3" t="s">
        <v>96</v>
      </c>
      <c r="D12" s="4" t="s">
        <v>97</v>
      </c>
      <c r="E12" s="4" t="s">
        <v>98</v>
      </c>
      <c r="F12" s="4" t="s">
        <v>99</v>
      </c>
      <c r="G12" s="4" t="s">
        <v>72</v>
      </c>
      <c r="H12" s="4" t="s">
        <v>100</v>
      </c>
      <c r="I12" s="4" t="s">
        <v>101</v>
      </c>
      <c r="J12" s="4" t="s">
        <v>102</v>
      </c>
      <c r="K12" s="35" t="s">
        <v>102</v>
      </c>
      <c r="L12" s="36" t="s">
        <v>25</v>
      </c>
      <c r="M12" s="2"/>
      <c r="N12" s="5" t="s">
        <v>26</v>
      </c>
      <c r="O12" s="4" t="s">
        <v>103</v>
      </c>
    </row>
    <row r="13" spans="1:15" ht="45" customHeight="1" x14ac:dyDescent="0.25">
      <c r="A13" s="6" t="s">
        <v>104</v>
      </c>
      <c r="B13" s="6" t="s">
        <v>16</v>
      </c>
      <c r="C13" s="7" t="s">
        <v>96</v>
      </c>
      <c r="D13" s="8" t="s">
        <v>97</v>
      </c>
      <c r="E13" s="8" t="s">
        <v>105</v>
      </c>
      <c r="F13" s="8" t="s">
        <v>106</v>
      </c>
      <c r="G13" s="8" t="s">
        <v>48</v>
      </c>
      <c r="H13" s="8" t="s">
        <v>107</v>
      </c>
      <c r="I13" s="8" t="s">
        <v>108</v>
      </c>
      <c r="J13" s="8" t="s">
        <v>109</v>
      </c>
      <c r="K13" s="37" t="s">
        <v>109</v>
      </c>
      <c r="L13" s="36" t="s">
        <v>25</v>
      </c>
      <c r="M13" s="6"/>
      <c r="N13" s="5" t="s">
        <v>26</v>
      </c>
      <c r="O13" s="8" t="s">
        <v>110</v>
      </c>
    </row>
    <row r="14" spans="1:15" ht="75" customHeight="1" x14ac:dyDescent="0.25">
      <c r="A14" s="2" t="s">
        <v>111</v>
      </c>
      <c r="B14" s="2" t="s">
        <v>16</v>
      </c>
      <c r="C14" s="3" t="s">
        <v>96</v>
      </c>
      <c r="D14" s="4" t="s">
        <v>97</v>
      </c>
      <c r="E14" s="4" t="s">
        <v>112</v>
      </c>
      <c r="F14" s="4" t="s">
        <v>113</v>
      </c>
      <c r="G14" s="4" t="s">
        <v>114</v>
      </c>
      <c r="H14" s="4" t="s">
        <v>115</v>
      </c>
      <c r="I14" s="4" t="s">
        <v>116</v>
      </c>
      <c r="J14" s="4" t="s">
        <v>117</v>
      </c>
      <c r="K14" s="35" t="s">
        <v>117</v>
      </c>
      <c r="L14" s="36" t="s">
        <v>25</v>
      </c>
      <c r="M14" s="2"/>
      <c r="N14" s="5" t="s">
        <v>26</v>
      </c>
      <c r="O14" s="4" t="s">
        <v>103</v>
      </c>
    </row>
    <row r="15" spans="1:15" ht="60" customHeight="1" x14ac:dyDescent="0.25">
      <c r="A15" s="6" t="s">
        <v>118</v>
      </c>
      <c r="B15" s="6" t="s">
        <v>16</v>
      </c>
      <c r="C15" s="7" t="s">
        <v>96</v>
      </c>
      <c r="D15" s="8" t="s">
        <v>97</v>
      </c>
      <c r="E15" s="8" t="s">
        <v>119</v>
      </c>
      <c r="F15" s="8" t="s">
        <v>120</v>
      </c>
      <c r="G15" s="8" t="s">
        <v>121</v>
      </c>
      <c r="H15" s="8" t="s">
        <v>122</v>
      </c>
      <c r="I15" s="8" t="s">
        <v>123</v>
      </c>
      <c r="J15" s="8" t="s">
        <v>124</v>
      </c>
      <c r="K15" s="37" t="s">
        <v>124</v>
      </c>
      <c r="L15" s="36" t="s">
        <v>25</v>
      </c>
      <c r="M15" s="6"/>
      <c r="N15" s="5" t="s">
        <v>26</v>
      </c>
      <c r="O15" s="8" t="s">
        <v>103</v>
      </c>
    </row>
    <row r="16" spans="1:15" ht="60" customHeight="1" x14ac:dyDescent="0.25">
      <c r="A16" s="2" t="s">
        <v>125</v>
      </c>
      <c r="B16" s="2" t="s">
        <v>16</v>
      </c>
      <c r="C16" s="3" t="s">
        <v>96</v>
      </c>
      <c r="D16" s="4" t="s">
        <v>97</v>
      </c>
      <c r="E16" s="4" t="s">
        <v>126</v>
      </c>
      <c r="F16" s="4" t="s">
        <v>127</v>
      </c>
      <c r="G16" s="4" t="s">
        <v>128</v>
      </c>
      <c r="H16" s="4" t="s">
        <v>129</v>
      </c>
      <c r="I16" s="4" t="s">
        <v>130</v>
      </c>
      <c r="J16" s="4" t="s">
        <v>131</v>
      </c>
      <c r="K16" s="35" t="s">
        <v>131</v>
      </c>
      <c r="L16" s="36" t="s">
        <v>25</v>
      </c>
      <c r="M16" s="2"/>
      <c r="N16" s="9" t="s">
        <v>43</v>
      </c>
      <c r="O16" s="4" t="s">
        <v>132</v>
      </c>
    </row>
    <row r="17" spans="1:15" ht="30" customHeight="1" x14ac:dyDescent="0.25">
      <c r="A17" s="6" t="s">
        <v>133</v>
      </c>
      <c r="B17" s="6" t="s">
        <v>16</v>
      </c>
      <c r="C17" s="7" t="s">
        <v>96</v>
      </c>
      <c r="D17" s="8" t="s">
        <v>97</v>
      </c>
      <c r="E17" s="8" t="s">
        <v>134</v>
      </c>
      <c r="F17" s="8" t="s">
        <v>135</v>
      </c>
      <c r="G17" s="8" t="s">
        <v>48</v>
      </c>
      <c r="H17" s="8" t="s">
        <v>122</v>
      </c>
      <c r="I17" s="8" t="s">
        <v>136</v>
      </c>
      <c r="J17" s="8" t="s">
        <v>137</v>
      </c>
      <c r="K17" s="37" t="s">
        <v>137</v>
      </c>
      <c r="L17" s="36" t="s">
        <v>25</v>
      </c>
      <c r="M17" s="6"/>
      <c r="N17" s="9" t="s">
        <v>43</v>
      </c>
      <c r="O17" s="8" t="s">
        <v>103</v>
      </c>
    </row>
    <row r="18" spans="1:15" ht="90" customHeight="1" x14ac:dyDescent="0.25">
      <c r="A18" s="2" t="s">
        <v>138</v>
      </c>
      <c r="B18" s="2" t="s">
        <v>16</v>
      </c>
      <c r="C18" s="3" t="s">
        <v>139</v>
      </c>
      <c r="D18" s="4" t="s">
        <v>140</v>
      </c>
      <c r="E18" s="4" t="s">
        <v>141</v>
      </c>
      <c r="F18" s="4" t="s">
        <v>142</v>
      </c>
      <c r="G18" s="4" t="s">
        <v>72</v>
      </c>
      <c r="H18" s="4" t="s">
        <v>143</v>
      </c>
      <c r="I18" s="4" t="s">
        <v>144</v>
      </c>
      <c r="J18" s="4" t="s">
        <v>145</v>
      </c>
      <c r="K18" s="35" t="s">
        <v>145</v>
      </c>
      <c r="L18" s="36" t="s">
        <v>25</v>
      </c>
      <c r="M18" s="2"/>
      <c r="N18" s="5" t="s">
        <v>26</v>
      </c>
      <c r="O18" s="4" t="s">
        <v>146</v>
      </c>
    </row>
    <row r="19" spans="1:15" ht="45" customHeight="1" x14ac:dyDescent="0.25">
      <c r="A19" s="6" t="s">
        <v>147</v>
      </c>
      <c r="B19" s="6" t="s">
        <v>16</v>
      </c>
      <c r="C19" s="7" t="s">
        <v>139</v>
      </c>
      <c r="D19" s="8" t="s">
        <v>140</v>
      </c>
      <c r="E19" s="8" t="s">
        <v>148</v>
      </c>
      <c r="F19" s="8" t="s">
        <v>149</v>
      </c>
      <c r="G19" s="8" t="s">
        <v>48</v>
      </c>
      <c r="H19" s="8" t="s">
        <v>150</v>
      </c>
      <c r="I19" s="8" t="s">
        <v>151</v>
      </c>
      <c r="J19" s="8" t="s">
        <v>152</v>
      </c>
      <c r="K19" s="37" t="s">
        <v>152</v>
      </c>
      <c r="L19" s="36" t="s">
        <v>25</v>
      </c>
      <c r="M19" s="6"/>
      <c r="N19" s="5" t="s">
        <v>26</v>
      </c>
      <c r="O19" s="8" t="s">
        <v>153</v>
      </c>
    </row>
    <row r="20" spans="1:15" ht="75" customHeight="1" x14ac:dyDescent="0.25">
      <c r="A20" s="2" t="s">
        <v>154</v>
      </c>
      <c r="B20" s="2" t="s">
        <v>16</v>
      </c>
      <c r="C20" s="3" t="s">
        <v>139</v>
      </c>
      <c r="D20" s="4" t="s">
        <v>140</v>
      </c>
      <c r="E20" s="4" t="s">
        <v>155</v>
      </c>
      <c r="F20" s="4" t="s">
        <v>156</v>
      </c>
      <c r="G20" s="4" t="s">
        <v>157</v>
      </c>
      <c r="H20" s="4" t="s">
        <v>158</v>
      </c>
      <c r="I20" s="4" t="s">
        <v>159</v>
      </c>
      <c r="J20" s="4" t="s">
        <v>160</v>
      </c>
      <c r="K20" s="35" t="s">
        <v>160</v>
      </c>
      <c r="L20" s="36" t="s">
        <v>25</v>
      </c>
      <c r="M20" s="2"/>
      <c r="N20" s="5" t="s">
        <v>26</v>
      </c>
      <c r="O20" s="4" t="s">
        <v>146</v>
      </c>
    </row>
    <row r="21" spans="1:15" ht="60" customHeight="1" x14ac:dyDescent="0.25">
      <c r="A21" s="6" t="s">
        <v>161</v>
      </c>
      <c r="B21" s="6" t="s">
        <v>16</v>
      </c>
      <c r="C21" s="7" t="s">
        <v>139</v>
      </c>
      <c r="D21" s="8" t="s">
        <v>140</v>
      </c>
      <c r="E21" s="8" t="s">
        <v>162</v>
      </c>
      <c r="F21" s="8" t="s">
        <v>163</v>
      </c>
      <c r="G21" s="8" t="s">
        <v>157</v>
      </c>
      <c r="H21" s="8" t="s">
        <v>164</v>
      </c>
      <c r="I21" s="8" t="s">
        <v>165</v>
      </c>
      <c r="J21" s="8" t="s">
        <v>166</v>
      </c>
      <c r="K21" s="37" t="s">
        <v>166</v>
      </c>
      <c r="L21" s="36" t="s">
        <v>25</v>
      </c>
      <c r="M21" s="6"/>
      <c r="N21" s="5" t="s">
        <v>26</v>
      </c>
      <c r="O21" s="8" t="s">
        <v>146</v>
      </c>
    </row>
    <row r="22" spans="1:15" ht="45" customHeight="1" x14ac:dyDescent="0.25">
      <c r="A22" s="2" t="s">
        <v>167</v>
      </c>
      <c r="B22" s="2" t="s">
        <v>16</v>
      </c>
      <c r="C22" s="3" t="s">
        <v>139</v>
      </c>
      <c r="D22" s="4" t="s">
        <v>140</v>
      </c>
      <c r="E22" s="4" t="s">
        <v>168</v>
      </c>
      <c r="F22" s="4" t="s">
        <v>169</v>
      </c>
      <c r="G22" s="4" t="s">
        <v>170</v>
      </c>
      <c r="H22" s="4" t="s">
        <v>129</v>
      </c>
      <c r="I22" s="4" t="s">
        <v>171</v>
      </c>
      <c r="J22" s="4" t="s">
        <v>172</v>
      </c>
      <c r="K22" s="35" t="s">
        <v>172</v>
      </c>
      <c r="L22" s="36" t="s">
        <v>25</v>
      </c>
      <c r="M22" s="2"/>
      <c r="N22" s="9" t="s">
        <v>43</v>
      </c>
      <c r="O22" s="4" t="s">
        <v>173</v>
      </c>
    </row>
    <row r="23" spans="1:15" ht="30" customHeight="1" x14ac:dyDescent="0.25">
      <c r="A23" s="6" t="s">
        <v>174</v>
      </c>
      <c r="B23" s="6" t="s">
        <v>16</v>
      </c>
      <c r="C23" s="7" t="s">
        <v>139</v>
      </c>
      <c r="D23" s="8" t="s">
        <v>140</v>
      </c>
      <c r="E23" s="8" t="s">
        <v>175</v>
      </c>
      <c r="F23" s="8" t="s">
        <v>176</v>
      </c>
      <c r="G23" s="8" t="s">
        <v>48</v>
      </c>
      <c r="H23" s="8" t="s">
        <v>164</v>
      </c>
      <c r="I23" s="8" t="s">
        <v>177</v>
      </c>
      <c r="J23" s="8" t="s">
        <v>178</v>
      </c>
      <c r="K23" s="37" t="s">
        <v>178</v>
      </c>
      <c r="L23" s="36" t="s">
        <v>25</v>
      </c>
      <c r="M23" s="6"/>
      <c r="N23" s="9" t="s">
        <v>43</v>
      </c>
      <c r="O23" s="8" t="s">
        <v>146</v>
      </c>
    </row>
    <row r="24" spans="1:15" ht="120" customHeight="1" x14ac:dyDescent="0.25">
      <c r="A24" s="2" t="s">
        <v>179</v>
      </c>
      <c r="B24" s="2" t="s">
        <v>16</v>
      </c>
      <c r="C24" s="3" t="s">
        <v>180</v>
      </c>
      <c r="D24" s="4" t="s">
        <v>181</v>
      </c>
      <c r="E24" s="4" t="s">
        <v>182</v>
      </c>
      <c r="F24" s="4" t="s">
        <v>183</v>
      </c>
      <c r="G24" s="4" t="s">
        <v>184</v>
      </c>
      <c r="H24" s="4" t="s">
        <v>185</v>
      </c>
      <c r="I24" s="4" t="s">
        <v>186</v>
      </c>
      <c r="J24" s="4" t="s">
        <v>187</v>
      </c>
      <c r="K24" s="35" t="s">
        <v>187</v>
      </c>
      <c r="L24" s="36" t="s">
        <v>25</v>
      </c>
      <c r="M24" s="2"/>
      <c r="N24" s="5" t="s">
        <v>26</v>
      </c>
      <c r="O24" s="4" t="s">
        <v>188</v>
      </c>
    </row>
    <row r="25" spans="1:15" ht="75" customHeight="1" x14ac:dyDescent="0.25">
      <c r="A25" s="6" t="s">
        <v>189</v>
      </c>
      <c r="B25" s="6" t="s">
        <v>16</v>
      </c>
      <c r="C25" s="7" t="s">
        <v>180</v>
      </c>
      <c r="D25" s="8" t="s">
        <v>181</v>
      </c>
      <c r="E25" s="8" t="s">
        <v>190</v>
      </c>
      <c r="F25" s="8" t="s">
        <v>191</v>
      </c>
      <c r="G25" s="8" t="s">
        <v>48</v>
      </c>
      <c r="H25" s="8" t="s">
        <v>192</v>
      </c>
      <c r="I25" s="8" t="s">
        <v>193</v>
      </c>
      <c r="J25" s="8" t="s">
        <v>194</v>
      </c>
      <c r="K25" s="37" t="s">
        <v>194</v>
      </c>
      <c r="L25" s="36" t="s">
        <v>25</v>
      </c>
      <c r="M25" s="6"/>
      <c r="N25" s="5" t="s">
        <v>26</v>
      </c>
      <c r="O25" s="8" t="s">
        <v>188</v>
      </c>
    </row>
    <row r="26" spans="1:15" ht="75" customHeight="1" x14ac:dyDescent="0.25">
      <c r="A26" s="2" t="s">
        <v>195</v>
      </c>
      <c r="B26" s="2" t="s">
        <v>16</v>
      </c>
      <c r="C26" s="3" t="s">
        <v>180</v>
      </c>
      <c r="D26" s="4" t="s">
        <v>181</v>
      </c>
      <c r="E26" s="4" t="s">
        <v>196</v>
      </c>
      <c r="F26" s="4" t="s">
        <v>197</v>
      </c>
      <c r="G26" s="4" t="s">
        <v>48</v>
      </c>
      <c r="H26" s="4" t="s">
        <v>198</v>
      </c>
      <c r="I26" s="4" t="s">
        <v>199</v>
      </c>
      <c r="J26" s="4" t="s">
        <v>200</v>
      </c>
      <c r="K26" s="35" t="s">
        <v>200</v>
      </c>
      <c r="L26" s="36" t="s">
        <v>25</v>
      </c>
      <c r="M26" s="2"/>
      <c r="N26" s="9" t="s">
        <v>43</v>
      </c>
      <c r="O26" s="4" t="s">
        <v>188</v>
      </c>
    </row>
    <row r="27" spans="1:15" ht="150" customHeight="1" x14ac:dyDescent="0.25">
      <c r="A27" s="6" t="s">
        <v>201</v>
      </c>
      <c r="B27" s="6" t="s">
        <v>16</v>
      </c>
      <c r="C27" s="7" t="s">
        <v>180</v>
      </c>
      <c r="D27" s="8" t="s">
        <v>181</v>
      </c>
      <c r="E27" s="8" t="s">
        <v>202</v>
      </c>
      <c r="F27" s="8" t="s">
        <v>203</v>
      </c>
      <c r="G27" s="8" t="s">
        <v>48</v>
      </c>
      <c r="H27" s="8" t="s">
        <v>204</v>
      </c>
      <c r="I27" s="8" t="s">
        <v>205</v>
      </c>
      <c r="J27" s="8" t="s">
        <v>206</v>
      </c>
      <c r="K27" s="8" t="s">
        <v>207</v>
      </c>
      <c r="L27" s="38" t="s">
        <v>208</v>
      </c>
      <c r="M27" s="6"/>
      <c r="N27" s="5" t="s">
        <v>26</v>
      </c>
      <c r="O27" s="8" t="s">
        <v>209</v>
      </c>
    </row>
    <row r="28" spans="1:15" ht="158.25" customHeight="1" x14ac:dyDescent="0.25">
      <c r="A28" s="2" t="s">
        <v>210</v>
      </c>
      <c r="B28" s="2" t="s">
        <v>16</v>
      </c>
      <c r="C28" s="3" t="s">
        <v>180</v>
      </c>
      <c r="D28" s="4" t="s">
        <v>181</v>
      </c>
      <c r="E28" s="4" t="s">
        <v>211</v>
      </c>
      <c r="F28" s="4" t="s">
        <v>212</v>
      </c>
      <c r="G28" s="4" t="s">
        <v>48</v>
      </c>
      <c r="H28" s="4" t="s">
        <v>213</v>
      </c>
      <c r="I28" s="4" t="s">
        <v>214</v>
      </c>
      <c r="J28" s="4" t="s">
        <v>215</v>
      </c>
      <c r="K28" s="4" t="s">
        <v>216</v>
      </c>
      <c r="L28" s="38" t="s">
        <v>208</v>
      </c>
      <c r="M28" s="2"/>
      <c r="N28" s="5" t="s">
        <v>26</v>
      </c>
      <c r="O28" s="4" t="s">
        <v>209</v>
      </c>
    </row>
    <row r="29" spans="1:15" ht="75" customHeight="1" x14ac:dyDescent="0.25">
      <c r="A29" s="6" t="s">
        <v>217</v>
      </c>
      <c r="B29" s="6" t="s">
        <v>16</v>
      </c>
      <c r="C29" s="7" t="s">
        <v>180</v>
      </c>
      <c r="D29" s="8" t="s">
        <v>181</v>
      </c>
      <c r="E29" s="8" t="s">
        <v>218</v>
      </c>
      <c r="F29" s="8" t="s">
        <v>219</v>
      </c>
      <c r="G29" s="8" t="s">
        <v>48</v>
      </c>
      <c r="H29" s="8" t="s">
        <v>220</v>
      </c>
      <c r="I29" s="8" t="s">
        <v>221</v>
      </c>
      <c r="J29" s="8" t="s">
        <v>222</v>
      </c>
      <c r="K29" s="37" t="s">
        <v>222</v>
      </c>
      <c r="L29" s="36" t="s">
        <v>25</v>
      </c>
      <c r="M29" s="6"/>
      <c r="N29" s="5" t="s">
        <v>26</v>
      </c>
      <c r="O29" s="8" t="s">
        <v>209</v>
      </c>
    </row>
    <row r="30" spans="1:15" ht="45" customHeight="1" x14ac:dyDescent="0.25">
      <c r="A30" s="2" t="s">
        <v>223</v>
      </c>
      <c r="B30" s="2" t="s">
        <v>16</v>
      </c>
      <c r="C30" s="3" t="s">
        <v>224</v>
      </c>
      <c r="D30" s="4" t="s">
        <v>225</v>
      </c>
      <c r="E30" s="4" t="s">
        <v>226</v>
      </c>
      <c r="F30" s="4" t="s">
        <v>227</v>
      </c>
      <c r="G30" s="4" t="s">
        <v>228</v>
      </c>
      <c r="H30" s="4" t="s">
        <v>229</v>
      </c>
      <c r="I30" s="4" t="s">
        <v>230</v>
      </c>
      <c r="J30" s="4" t="s">
        <v>231</v>
      </c>
      <c r="K30" s="35" t="s">
        <v>231</v>
      </c>
      <c r="L30" s="36" t="s">
        <v>25</v>
      </c>
      <c r="M30" s="2"/>
      <c r="N30" s="5" t="s">
        <v>26</v>
      </c>
      <c r="O30" s="4" t="s">
        <v>232</v>
      </c>
    </row>
    <row r="31" spans="1:15" ht="45" customHeight="1" x14ac:dyDescent="0.25">
      <c r="A31" s="6" t="s">
        <v>233</v>
      </c>
      <c r="B31" s="6" t="s">
        <v>16</v>
      </c>
      <c r="C31" s="7" t="s">
        <v>224</v>
      </c>
      <c r="D31" s="8" t="s">
        <v>225</v>
      </c>
      <c r="E31" s="8" t="s">
        <v>234</v>
      </c>
      <c r="F31" s="8" t="s">
        <v>235</v>
      </c>
      <c r="G31" s="8" t="s">
        <v>236</v>
      </c>
      <c r="H31" s="8" t="s">
        <v>237</v>
      </c>
      <c r="I31" s="8" t="s">
        <v>238</v>
      </c>
      <c r="J31" s="8" t="s">
        <v>239</v>
      </c>
      <c r="K31" s="37" t="s">
        <v>239</v>
      </c>
      <c r="L31" s="36" t="s">
        <v>25</v>
      </c>
      <c r="M31" s="6"/>
      <c r="N31" s="5" t="s">
        <v>26</v>
      </c>
      <c r="O31" s="8" t="s">
        <v>232</v>
      </c>
    </row>
    <row r="32" spans="1:15" ht="45" customHeight="1" x14ac:dyDescent="0.25">
      <c r="A32" s="2" t="s">
        <v>240</v>
      </c>
      <c r="B32" s="2" t="s">
        <v>16</v>
      </c>
      <c r="C32" s="3" t="s">
        <v>224</v>
      </c>
      <c r="D32" s="4" t="s">
        <v>225</v>
      </c>
      <c r="E32" s="4" t="s">
        <v>241</v>
      </c>
      <c r="F32" s="4" t="s">
        <v>242</v>
      </c>
      <c r="G32" s="4" t="s">
        <v>48</v>
      </c>
      <c r="H32" s="4" t="s">
        <v>243</v>
      </c>
      <c r="I32" s="4" t="s">
        <v>244</v>
      </c>
      <c r="J32" s="4" t="s">
        <v>245</v>
      </c>
      <c r="K32" s="35" t="s">
        <v>245</v>
      </c>
      <c r="L32" s="36" t="s">
        <v>25</v>
      </c>
      <c r="M32" s="2"/>
      <c r="N32" s="5" t="s">
        <v>26</v>
      </c>
      <c r="O32" s="4" t="s">
        <v>232</v>
      </c>
    </row>
    <row r="33" spans="1:15" ht="147" customHeight="1" x14ac:dyDescent="0.25">
      <c r="A33" s="6" t="s">
        <v>246</v>
      </c>
      <c r="B33" s="6" t="s">
        <v>16</v>
      </c>
      <c r="C33" s="7" t="s">
        <v>224</v>
      </c>
      <c r="D33" s="8" t="s">
        <v>225</v>
      </c>
      <c r="E33" s="8" t="s">
        <v>247</v>
      </c>
      <c r="F33" s="8" t="s">
        <v>248</v>
      </c>
      <c r="G33" s="8" t="s">
        <v>249</v>
      </c>
      <c r="H33" s="8" t="s">
        <v>250</v>
      </c>
      <c r="I33" s="8" t="s">
        <v>251</v>
      </c>
      <c r="J33" s="8" t="s">
        <v>252</v>
      </c>
      <c r="K33" s="8" t="s">
        <v>253</v>
      </c>
      <c r="L33" s="38" t="s">
        <v>208</v>
      </c>
      <c r="M33" s="6" t="e" vm="1">
        <v>#VALUE!</v>
      </c>
      <c r="N33" s="9" t="s">
        <v>43</v>
      </c>
      <c r="O33" s="8" t="s">
        <v>232</v>
      </c>
    </row>
    <row r="34" spans="1:15" ht="45" customHeight="1" x14ac:dyDescent="0.25">
      <c r="A34" s="2" t="s">
        <v>254</v>
      </c>
      <c r="B34" s="2" t="s">
        <v>16</v>
      </c>
      <c r="C34" s="3" t="s">
        <v>224</v>
      </c>
      <c r="D34" s="4" t="s">
        <v>225</v>
      </c>
      <c r="E34" s="4" t="s">
        <v>255</v>
      </c>
      <c r="F34" s="4" t="s">
        <v>256</v>
      </c>
      <c r="G34" s="4" t="s">
        <v>257</v>
      </c>
      <c r="H34" s="4" t="s">
        <v>258</v>
      </c>
      <c r="I34" s="4" t="s">
        <v>259</v>
      </c>
      <c r="J34" s="4" t="s">
        <v>260</v>
      </c>
      <c r="K34" s="35" t="s">
        <v>260</v>
      </c>
      <c r="L34" s="36" t="s">
        <v>25</v>
      </c>
      <c r="M34" s="2"/>
      <c r="N34" s="5" t="s">
        <v>26</v>
      </c>
      <c r="O34" s="4" t="s">
        <v>232</v>
      </c>
    </row>
    <row r="35" spans="1:15" ht="45" customHeight="1" x14ac:dyDescent="0.25">
      <c r="A35" s="6" t="s">
        <v>261</v>
      </c>
      <c r="B35" s="6" t="s">
        <v>16</v>
      </c>
      <c r="C35" s="7" t="s">
        <v>224</v>
      </c>
      <c r="D35" s="8" t="s">
        <v>225</v>
      </c>
      <c r="E35" s="8" t="s">
        <v>262</v>
      </c>
      <c r="F35" s="8" t="s">
        <v>263</v>
      </c>
      <c r="G35" s="8" t="s">
        <v>48</v>
      </c>
      <c r="H35" s="8" t="s">
        <v>264</v>
      </c>
      <c r="I35" s="8" t="s">
        <v>265</v>
      </c>
      <c r="J35" s="8" t="s">
        <v>266</v>
      </c>
      <c r="K35" s="37" t="s">
        <v>266</v>
      </c>
      <c r="L35" s="36" t="s">
        <v>25</v>
      </c>
      <c r="M35" s="6"/>
      <c r="N35" s="9" t="s">
        <v>43</v>
      </c>
      <c r="O35" s="8" t="s">
        <v>232</v>
      </c>
    </row>
    <row r="36" spans="1:15" ht="60" customHeight="1" x14ac:dyDescent="0.25">
      <c r="A36" s="2" t="s">
        <v>267</v>
      </c>
      <c r="B36" s="2" t="s">
        <v>16</v>
      </c>
      <c r="C36" s="3" t="s">
        <v>224</v>
      </c>
      <c r="D36" s="4" t="s">
        <v>225</v>
      </c>
      <c r="E36" s="4" t="s">
        <v>268</v>
      </c>
      <c r="F36" s="4" t="s">
        <v>269</v>
      </c>
      <c r="G36" s="4" t="s">
        <v>48</v>
      </c>
      <c r="H36" s="4" t="s">
        <v>270</v>
      </c>
      <c r="I36" s="4" t="s">
        <v>271</v>
      </c>
      <c r="J36" s="4" t="s">
        <v>272</v>
      </c>
      <c r="K36" s="35" t="s">
        <v>272</v>
      </c>
      <c r="L36" s="36" t="s">
        <v>25</v>
      </c>
      <c r="M36" s="2"/>
      <c r="N36" s="5" t="s">
        <v>26</v>
      </c>
      <c r="O36" s="4" t="s">
        <v>273</v>
      </c>
    </row>
    <row r="37" spans="1:15" ht="60" customHeight="1" x14ac:dyDescent="0.25">
      <c r="A37" s="6" t="s">
        <v>274</v>
      </c>
      <c r="B37" s="6" t="s">
        <v>16</v>
      </c>
      <c r="C37" s="7" t="s">
        <v>224</v>
      </c>
      <c r="D37" s="8" t="s">
        <v>225</v>
      </c>
      <c r="E37" s="8" t="s">
        <v>275</v>
      </c>
      <c r="F37" s="8" t="s">
        <v>276</v>
      </c>
      <c r="G37" s="8" t="s">
        <v>48</v>
      </c>
      <c r="H37" s="8" t="s">
        <v>277</v>
      </c>
      <c r="I37" s="8" t="s">
        <v>278</v>
      </c>
      <c r="J37" s="8" t="s">
        <v>279</v>
      </c>
      <c r="K37" s="37" t="s">
        <v>279</v>
      </c>
      <c r="L37" s="36" t="s">
        <v>25</v>
      </c>
      <c r="M37" s="6"/>
      <c r="N37" s="5" t="s">
        <v>26</v>
      </c>
      <c r="O37" s="8" t="s">
        <v>273</v>
      </c>
    </row>
    <row r="38" spans="1:15" ht="60" customHeight="1" x14ac:dyDescent="0.25">
      <c r="A38" s="2" t="s">
        <v>280</v>
      </c>
      <c r="B38" s="2" t="s">
        <v>16</v>
      </c>
      <c r="C38" s="3" t="s">
        <v>281</v>
      </c>
      <c r="D38" s="4" t="s">
        <v>282</v>
      </c>
      <c r="E38" s="4" t="s">
        <v>283</v>
      </c>
      <c r="F38" s="4" t="s">
        <v>284</v>
      </c>
      <c r="G38" s="4" t="s">
        <v>48</v>
      </c>
      <c r="H38" s="4" t="s">
        <v>285</v>
      </c>
      <c r="I38" s="4" t="s">
        <v>286</v>
      </c>
      <c r="J38" s="4" t="s">
        <v>287</v>
      </c>
      <c r="K38" s="35" t="s">
        <v>287</v>
      </c>
      <c r="L38" s="36" t="s">
        <v>25</v>
      </c>
      <c r="M38" s="2"/>
      <c r="N38" s="5" t="s">
        <v>26</v>
      </c>
      <c r="O38" s="4" t="s">
        <v>288</v>
      </c>
    </row>
    <row r="39" spans="1:15" ht="75" customHeight="1" x14ac:dyDescent="0.25">
      <c r="A39" s="6" t="s">
        <v>289</v>
      </c>
      <c r="B39" s="6" t="s">
        <v>16</v>
      </c>
      <c r="C39" s="7" t="s">
        <v>281</v>
      </c>
      <c r="D39" s="8" t="s">
        <v>282</v>
      </c>
      <c r="E39" s="8" t="s">
        <v>290</v>
      </c>
      <c r="F39" s="8" t="s">
        <v>291</v>
      </c>
      <c r="G39" s="8" t="s">
        <v>292</v>
      </c>
      <c r="H39" s="8" t="s">
        <v>293</v>
      </c>
      <c r="I39" s="8" t="s">
        <v>294</v>
      </c>
      <c r="J39" s="8" t="s">
        <v>295</v>
      </c>
      <c r="K39" s="37" t="s">
        <v>295</v>
      </c>
      <c r="L39" s="36" t="s">
        <v>25</v>
      </c>
      <c r="M39" s="6"/>
      <c r="N39" s="5" t="s">
        <v>26</v>
      </c>
      <c r="O39" s="8" t="s">
        <v>288</v>
      </c>
    </row>
    <row r="40" spans="1:15" ht="30" customHeight="1" x14ac:dyDescent="0.25">
      <c r="A40" s="2" t="s">
        <v>296</v>
      </c>
      <c r="B40" s="2" t="s">
        <v>16</v>
      </c>
      <c r="C40" s="3" t="s">
        <v>281</v>
      </c>
      <c r="D40" s="4" t="s">
        <v>282</v>
      </c>
      <c r="E40" s="4" t="s">
        <v>297</v>
      </c>
      <c r="F40" s="4" t="s">
        <v>298</v>
      </c>
      <c r="G40" s="4" t="s">
        <v>299</v>
      </c>
      <c r="H40" s="4" t="s">
        <v>300</v>
      </c>
      <c r="I40" s="4" t="s">
        <v>301</v>
      </c>
      <c r="J40" s="4" t="s">
        <v>302</v>
      </c>
      <c r="K40" s="35" t="s">
        <v>302</v>
      </c>
      <c r="L40" s="36" t="s">
        <v>25</v>
      </c>
      <c r="M40" s="2"/>
      <c r="N40" s="5" t="s">
        <v>26</v>
      </c>
      <c r="O40" s="4" t="s">
        <v>288</v>
      </c>
    </row>
    <row r="41" spans="1:15" ht="60" customHeight="1" x14ac:dyDescent="0.25">
      <c r="A41" s="6" t="s">
        <v>303</v>
      </c>
      <c r="B41" s="6" t="s">
        <v>16</v>
      </c>
      <c r="C41" s="7" t="s">
        <v>53</v>
      </c>
      <c r="D41" s="8" t="s">
        <v>54</v>
      </c>
      <c r="E41" s="8" t="s">
        <v>304</v>
      </c>
      <c r="F41" s="8" t="s">
        <v>305</v>
      </c>
      <c r="G41" s="8" t="s">
        <v>306</v>
      </c>
      <c r="H41" s="8" t="s">
        <v>229</v>
      </c>
      <c r="I41" s="8" t="s">
        <v>307</v>
      </c>
      <c r="J41" s="8" t="s">
        <v>308</v>
      </c>
      <c r="K41" s="37" t="s">
        <v>308</v>
      </c>
      <c r="L41" s="36" t="s">
        <v>25</v>
      </c>
      <c r="M41" s="6"/>
      <c r="N41" s="5" t="s">
        <v>26</v>
      </c>
      <c r="O41" s="8" t="s">
        <v>61</v>
      </c>
    </row>
    <row r="42" spans="1:15" ht="45" customHeight="1" x14ac:dyDescent="0.25">
      <c r="A42" s="2" t="s">
        <v>309</v>
      </c>
      <c r="B42" s="2" t="s">
        <v>16</v>
      </c>
      <c r="C42" s="3" t="s">
        <v>53</v>
      </c>
      <c r="D42" s="4" t="s">
        <v>54</v>
      </c>
      <c r="E42" s="4" t="s">
        <v>310</v>
      </c>
      <c r="F42" s="4" t="s">
        <v>311</v>
      </c>
      <c r="G42" s="4" t="s">
        <v>312</v>
      </c>
      <c r="H42" s="4" t="s">
        <v>229</v>
      </c>
      <c r="I42" s="4" t="s">
        <v>313</v>
      </c>
      <c r="J42" s="4" t="s">
        <v>314</v>
      </c>
      <c r="K42" s="35" t="s">
        <v>314</v>
      </c>
      <c r="L42" s="36" t="s">
        <v>25</v>
      </c>
      <c r="M42" s="2"/>
      <c r="N42" s="5" t="s">
        <v>26</v>
      </c>
      <c r="O42" s="4" t="s">
        <v>61</v>
      </c>
    </row>
  </sheetData>
  <autoFilter ref="A1:O42" xr:uid="{00000000-0009-0000-0000-000001000000}"/>
  <dataValidations count="2">
    <dataValidation type="list" allowBlank="1" errorTitle="Invalid Status" error="Please select a valid state: Passed, Failed, or Not Run" sqref="L2:L142" xr:uid="{00000000-0002-0000-0100-000000000000}">
      <formula1>"Passed,Failed,Not Run"</formula1>
    </dataValidation>
    <dataValidation type="list" allowBlank="1" errorTitle="Invalid Priority" error="Please select a valid priority: High, Medium, or Low" sqref="N2:N142" xr:uid="{00000000-0002-0000-0100-000001000000}">
      <formula1>"High,Medium,Low"</formula1>
    </dataValidation>
  </dataValidation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Report</vt:lpstr>
      <vt:lpstr>Module07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Hoang Doan</cp:lastModifiedBy>
  <dcterms:created xsi:type="dcterms:W3CDTF">2026-07-24T04:11:16Z</dcterms:created>
  <dcterms:modified xsi:type="dcterms:W3CDTF">2026-07-24T07:41:26Z</dcterms:modified>
</cp:coreProperties>
</file>