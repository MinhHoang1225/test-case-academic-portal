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port" sheetId="1" state="visible" r:id="rId1"/>
    <sheet xmlns:r="http://schemas.openxmlformats.org/officeDocument/2006/relationships" name="Module07" sheetId="2" state="visible" r:id="rId2"/>
  </sheets>
  <definedNames>
    <definedName name="_xlnm._FilterDatabase" localSheetId="1" hidden="1">'Module07'!$A$1:$O$42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8">
    <font>
      <name val="Calibri"/>
      <family val="2"/>
      <color theme="1"/>
      <sz val="11"/>
      <scheme val="minor"/>
    </font>
    <font>
      <name val="Segoe UI"/>
      <b val="1"/>
      <color rgb="00FFFFFF"/>
      <sz val="11"/>
    </font>
    <font>
      <name val="Segoe UI"/>
      <color rgb="00000000"/>
      <sz val="10"/>
    </font>
    <font>
      <name val="Segoe UI"/>
      <b val="1"/>
      <color rgb="001F4E78"/>
      <sz val="10"/>
    </font>
    <font>
      <name val="Segoe UI"/>
      <b val="1"/>
      <color rgb="0064748B"/>
      <sz val="10"/>
    </font>
    <font>
      <name val="Segoe UI"/>
      <b val="1"/>
      <color rgb="00A50E0E"/>
      <sz val="10"/>
    </font>
    <font>
      <name val="Segoe UI"/>
      <b val="1"/>
      <color rgb="00B06000"/>
      <sz val="10"/>
    </font>
    <font>
      <name val="Segoe UI"/>
      <b val="1"/>
      <color rgb="001F4E78"/>
      <sz val="16"/>
    </font>
    <font>
      <name val="Segoe UI"/>
      <i val="1"/>
      <color rgb="00555555"/>
      <sz val="10"/>
    </font>
    <font>
      <name val="Segoe UI"/>
      <b val="1"/>
      <color rgb="00137333"/>
      <sz val="10"/>
    </font>
    <font>
      <name val="Segoe UI"/>
      <b val="1"/>
      <color rgb="00000000"/>
      <sz val="10"/>
    </font>
    <font>
      <name val="Segoe UI"/>
      <b val="1"/>
      <color rgb="0064748B"/>
      <sz val="9"/>
    </font>
    <font>
      <name val="Segoe UI"/>
      <b val="1"/>
      <color rgb="001E293B"/>
      <sz val="18"/>
    </font>
    <font>
      <name val="Segoe UI"/>
      <b val="1"/>
      <color rgb="001F4E78"/>
      <sz val="18"/>
    </font>
    <font>
      <name val="Segoe UI"/>
      <b val="1"/>
      <color rgb="00A50E0E"/>
      <sz val="18"/>
    </font>
    <font>
      <name val="Segoe UI"/>
      <b val="1"/>
      <color rgb="00B06000"/>
      <sz val="18"/>
    </font>
    <font>
      <name val="Segoe UI"/>
      <b val="1"/>
      <color rgb="00137333"/>
      <sz val="18"/>
    </font>
    <font>
      <name val="Segoe UI"/>
      <b val="1"/>
      <color rgb="001F4E78"/>
      <sz val="12"/>
    </font>
  </fonts>
  <fills count="9">
    <fill>
      <patternFill/>
    </fill>
    <fill>
      <patternFill patternType="gray125"/>
    </fill>
    <fill>
      <patternFill patternType="solid">
        <fgColor rgb="001F4E78"/>
        <bgColor rgb="001F4E78"/>
      </patternFill>
    </fill>
    <fill>
      <patternFill patternType="solid">
        <fgColor rgb="00F1F5F9"/>
        <bgColor rgb="00F1F5F9"/>
      </patternFill>
    </fill>
    <fill>
      <patternFill patternType="solid">
        <fgColor rgb="00FCE8E6"/>
        <bgColor rgb="00FCE8E6"/>
      </patternFill>
    </fill>
    <fill>
      <patternFill patternType="solid">
        <fgColor rgb="00F8FAFC"/>
        <bgColor rgb="00F8FAFC"/>
      </patternFill>
    </fill>
    <fill>
      <patternFill patternType="solid">
        <fgColor rgb="00FEF7E0"/>
        <bgColor rgb="00FEF7E0"/>
      </patternFill>
    </fill>
    <fill>
      <patternFill patternType="solid">
        <fgColor rgb="00E2E8F0"/>
        <bgColor rgb="00E2E8F0"/>
      </patternFill>
    </fill>
    <fill>
      <patternFill patternType="solid">
        <fgColor rgb="00E6F4EA"/>
        <bgColor rgb="00E6F4EA"/>
      </patternFill>
    </fill>
  </fills>
  <borders count="3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  <border>
      <left style="thin">
        <color rgb="00CBD5E1"/>
      </left>
      <right style="thin">
        <color rgb="00CBD5E1"/>
      </right>
      <top style="medium">
        <color rgb="001E293B"/>
      </top>
      <bottom style="double">
        <color rgb="001E293B"/>
      </bottom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top" wrapText="1"/>
    </xf>
    <xf numFmtId="0" fontId="3" fillId="0" borderId="1" applyAlignment="1" pivotButton="0" quotePrefix="0" xfId="0">
      <alignment horizontal="center" vertical="top" wrapText="1"/>
    </xf>
    <xf numFmtId="0" fontId="2" fillId="0" borderId="1" applyAlignment="1" pivotButton="0" quotePrefix="0" xfId="0">
      <alignment horizontal="left" vertical="top" wrapText="1"/>
    </xf>
    <xf numFmtId="0" fontId="4" fillId="3" borderId="1" applyAlignment="1" pivotButton="0" quotePrefix="0" xfId="0">
      <alignment horizontal="center" vertical="top" wrapText="1"/>
    </xf>
    <xf numFmtId="0" fontId="5" fillId="4" borderId="1" applyAlignment="1" pivotButton="0" quotePrefix="0" xfId="0">
      <alignment horizontal="center" vertical="top" wrapText="1"/>
    </xf>
    <xf numFmtId="0" fontId="2" fillId="5" borderId="1" applyAlignment="1" pivotButton="0" quotePrefix="0" xfId="0">
      <alignment horizontal="center" vertical="top" wrapText="1"/>
    </xf>
    <xf numFmtId="0" fontId="3" fillId="5" borderId="1" applyAlignment="1" pivotButton="0" quotePrefix="0" xfId="0">
      <alignment horizontal="center" vertical="top" wrapText="1"/>
    </xf>
    <xf numFmtId="0" fontId="2" fillId="5" borderId="1" applyAlignment="1" pivotButton="0" quotePrefix="0" xfId="0">
      <alignment horizontal="left" vertical="top" wrapText="1"/>
    </xf>
    <xf numFmtId="0" fontId="6" fillId="6" borderId="1" applyAlignment="1" pivotButton="0" quotePrefix="0" xfId="0">
      <alignment horizontal="center" vertical="top" wrapText="1"/>
    </xf>
    <xf numFmtId="0" fontId="7" fillId="0" borderId="0" pivotButton="0" quotePrefix="0" xfId="0"/>
    <xf numFmtId="0" fontId="8" fillId="0" borderId="0" pivotButton="0" quotePrefix="0" xfId="0"/>
    <xf numFmtId="0" fontId="11" fillId="0" borderId="0" applyAlignment="1" pivotButton="0" quotePrefix="0" xfId="0">
      <alignment horizontal="center" vertical="center"/>
    </xf>
    <xf numFmtId="0" fontId="12" fillId="3" borderId="1" applyAlignment="1" pivotButton="0" quotePrefix="0" xfId="0">
      <alignment horizontal="center" vertical="center"/>
    </xf>
    <xf numFmtId="0" fontId="13" fillId="7" borderId="1" applyAlignment="1" pivotButton="0" quotePrefix="0" xfId="0">
      <alignment horizontal="center" vertical="center"/>
    </xf>
    <xf numFmtId="0" fontId="14" fillId="4" borderId="1" applyAlignment="1" pivotButton="0" quotePrefix="0" xfId="0">
      <alignment horizontal="center" vertical="center"/>
    </xf>
    <xf numFmtId="0" fontId="15" fillId="6" borderId="1" applyAlignment="1" pivotButton="0" quotePrefix="0" xfId="0">
      <alignment horizontal="center" vertical="center"/>
    </xf>
    <xf numFmtId="0" fontId="16" fillId="8" borderId="1" applyAlignment="1" pivotButton="0" quotePrefix="0" xfId="0">
      <alignment horizontal="center" vertical="center"/>
    </xf>
    <xf numFmtId="0" fontId="17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1" fillId="2" borderId="1" applyAlignment="1" pivotButton="0" quotePrefix="0" xfId="0">
      <alignment horizontal="left" vertical="center"/>
    </xf>
    <xf numFmtId="0" fontId="3" fillId="5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left" vertical="center"/>
    </xf>
    <xf numFmtId="0" fontId="5" fillId="5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/>
    </xf>
    <xf numFmtId="0" fontId="5" fillId="0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center" vertical="center"/>
    </xf>
    <xf numFmtId="0" fontId="9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10" fillId="7" borderId="2" applyAlignment="1" pivotButton="0" quotePrefix="0" xfId="0">
      <alignment horizontal="center" vertical="center"/>
    </xf>
    <xf numFmtId="0" fontId="10" fillId="7" borderId="2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Test Cases by Feature (Grouped by Priority)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'Report'!C8</f>
            </strRef>
          </tx>
          <spPr>
            <a:solidFill xmlns:a="http://schemas.openxmlformats.org/drawingml/2006/main">
              <a:srgbClr val="FF0000"/>
            </a:solidFill>
            <a:ln xmlns:a="http://schemas.openxmlformats.org/drawingml/2006/main">
              <a:prstDash val="solid"/>
            </a:ln>
          </spPr>
          <cat>
            <numRef>
              <f>'Report'!$A$9:$A$15</f>
            </numRef>
          </cat>
          <val>
            <numRef>
              <f>'Report'!$C$9:$C$15</f>
            </numRef>
          </val>
        </ser>
        <ser>
          <idx val="1"/>
          <order val="1"/>
          <tx>
            <strRef>
              <f>'Report'!D8</f>
            </strRef>
          </tx>
          <spPr>
            <a:solidFill xmlns:a="http://schemas.openxmlformats.org/drawingml/2006/main">
              <a:srgbClr val="FFFF00"/>
            </a:solidFill>
            <a:ln xmlns:a="http://schemas.openxmlformats.org/drawingml/2006/main">
              <a:prstDash val="solid"/>
            </a:ln>
          </spPr>
          <cat>
            <numRef>
              <f>'Report'!$A$9:$A$15</f>
            </numRef>
          </cat>
          <val>
            <numRef>
              <f>'Report'!$D$9:$D$15</f>
            </numRef>
          </val>
        </ser>
        <ser>
          <idx val="2"/>
          <order val="2"/>
          <tx>
            <strRef>
              <f>'Report'!E8</f>
            </strRef>
          </tx>
          <spPr>
            <a:solidFill xmlns:a="http://schemas.openxmlformats.org/drawingml/2006/main">
              <a:srgbClr val="00FF00"/>
            </a:solidFill>
            <a:ln xmlns:a="http://schemas.openxmlformats.org/drawingml/2006/main">
              <a:prstDash val="solid"/>
            </a:ln>
          </spPr>
          <cat>
            <numRef>
              <f>'Report'!$A$9:$A$15</f>
            </numRef>
          </cat>
          <val>
            <numRef>
              <f>'Report'!$E$9:$E$15</f>
            </numRef>
          </val>
        </ser>
        <gapWidth val="150"/>
        <overlap val="-2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Feature ID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Number of Test Cases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7</col>
      <colOff>0</colOff>
      <row>3</row>
      <rowOff>0</rowOff>
    </from>
    <ext cx="792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6"/>
  <sheetViews>
    <sheetView showGridLines="1" workbookViewId="0">
      <selection activeCell="A1" sqref="A1"/>
    </sheetView>
  </sheetViews>
  <sheetFormatPr baseColWidth="8" defaultRowHeight="15"/>
  <cols>
    <col width="16" customWidth="1" min="1" max="1"/>
    <col width="32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11" t="inlineStr">
        <is>
          <t>Module 07 - Feature &amp; Priority Summary Report</t>
        </is>
      </c>
    </row>
    <row r="2">
      <c r="A2" s="12" t="inlineStr">
        <is>
          <t>Summary of test cases per feature, calculated via Excel formulas</t>
        </is>
      </c>
    </row>
    <row r="4" ht="18" customHeight="1">
      <c r="A4" s="13" t="inlineStr">
        <is>
          <t>Total Features</t>
        </is>
      </c>
      <c r="B4" s="13" t="inlineStr">
        <is>
          <t>Total Test Cases</t>
        </is>
      </c>
      <c r="C4" s="13" t="inlineStr">
        <is>
          <t>High Priority Features</t>
        </is>
      </c>
      <c r="D4" s="13" t="inlineStr">
        <is>
          <t>Medium Priority Features</t>
        </is>
      </c>
      <c r="E4" s="13" t="inlineStr">
        <is>
          <t>Low Priority Features</t>
        </is>
      </c>
    </row>
    <row r="5" ht="32" customHeight="1">
      <c r="A5" s="14">
        <f>COUNTA(A9:A15)</f>
        <v/>
      </c>
      <c r="B5" s="15">
        <f>F16</f>
        <v/>
      </c>
      <c r="C5" s="16">
        <f>COUNTIF(C9:C15, "&gt;0")</f>
        <v/>
      </c>
      <c r="D5" s="17">
        <f>COUNTIFS(C9:C15, 0, D9:D15, "&gt;0")</f>
        <v/>
      </c>
      <c r="E5" s="18">
        <f>COUNTIFS(C9:C15, 0, D9:D15, 0, E9:E15, "&gt;0")</f>
        <v/>
      </c>
    </row>
    <row r="7">
      <c r="A7" s="19" t="inlineStr">
        <is>
          <t>Feature Categorization &amp; Priority Breakdown</t>
        </is>
      </c>
    </row>
    <row r="8" ht="26" customHeight="1">
      <c r="A8" s="20" t="inlineStr">
        <is>
          <t>Feature ID</t>
        </is>
      </c>
      <c r="B8" s="21" t="inlineStr">
        <is>
          <t>Feature Name</t>
        </is>
      </c>
      <c r="C8" s="20" t="inlineStr">
        <is>
          <t>High Priority</t>
        </is>
      </c>
      <c r="D8" s="20" t="inlineStr">
        <is>
          <t>Medium Priority</t>
        </is>
      </c>
      <c r="E8" s="20" t="inlineStr">
        <is>
          <t>Low Priority</t>
        </is>
      </c>
      <c r="F8" s="20" t="inlineStr">
        <is>
          <t>Total TCs</t>
        </is>
      </c>
    </row>
    <row r="9" ht="22" customHeight="1">
      <c r="A9" s="22" t="inlineStr">
        <is>
          <t>M07-F02</t>
        </is>
      </c>
      <c r="B9" s="23" t="inlineStr">
        <is>
          <t>Category Management</t>
        </is>
      </c>
      <c r="C9" s="24">
        <f>COUNTIFS('Module07'!$C$2:$C$42, A9, 'Module07'!$N$2:$N$42, "High")</f>
        <v/>
      </c>
      <c r="D9" s="25">
        <f>COUNTIFS('Module07'!$C$2:$C$42, A9, 'Module07'!$N$2:$N$42, "Medium")</f>
        <v/>
      </c>
      <c r="E9" s="26">
        <f>COUNTIFS('Module07'!$C$2:$C$42, A9, 'Module07'!$N$2:$N$42, "Low")</f>
        <v/>
      </c>
      <c r="F9" s="27">
        <f>SUM(C9:E9)</f>
        <v/>
      </c>
    </row>
    <row r="10" ht="22" customHeight="1">
      <c r="A10" s="28" t="inlineStr">
        <is>
          <t>M07-F03</t>
        </is>
      </c>
      <c r="B10" s="29" t="inlineStr">
        <is>
          <t>Course Management</t>
        </is>
      </c>
      <c r="C10" s="30">
        <f>COUNTIFS('Module07'!$C$2:$C$42, A10, 'Module07'!$N$2:$N$42, "High")</f>
        <v/>
      </c>
      <c r="D10" s="31">
        <f>COUNTIFS('Module07'!$C$2:$C$42, A10, 'Module07'!$N$2:$N$42, "Medium")</f>
        <v/>
      </c>
      <c r="E10" s="32">
        <f>COUNTIFS('Module07'!$C$2:$C$42, A10, 'Module07'!$N$2:$N$42, "Low")</f>
        <v/>
      </c>
      <c r="F10" s="33">
        <f>SUM(C10:E10)</f>
        <v/>
      </c>
    </row>
    <row r="11" ht="22" customHeight="1">
      <c r="A11" s="22" t="inlineStr">
        <is>
          <t>M07-F04</t>
        </is>
      </c>
      <c r="B11" s="23" t="inlineStr">
        <is>
          <t>Session Management</t>
        </is>
      </c>
      <c r="C11" s="24">
        <f>COUNTIFS('Module07'!$C$2:$C$42, A11, 'Module07'!$N$2:$N$42, "High")</f>
        <v/>
      </c>
      <c r="D11" s="25">
        <f>COUNTIFS('Module07'!$C$2:$C$42, A11, 'Module07'!$N$2:$N$42, "Medium")</f>
        <v/>
      </c>
      <c r="E11" s="26">
        <f>COUNTIFS('Module07'!$C$2:$C$42, A11, 'Module07'!$N$2:$N$42, "Low")</f>
        <v/>
      </c>
      <c r="F11" s="27">
        <f>SUM(C11:E11)</f>
        <v/>
      </c>
    </row>
    <row r="12" ht="22" customHeight="1">
      <c r="A12" s="28" t="inlineStr">
        <is>
          <t>M07-F05</t>
        </is>
      </c>
      <c r="B12" s="29" t="inlineStr">
        <is>
          <t>Exam Management</t>
        </is>
      </c>
      <c r="C12" s="30">
        <f>COUNTIFS('Module07'!$C$2:$C$42, A12, 'Module07'!$N$2:$N$42, "High")</f>
        <v/>
      </c>
      <c r="D12" s="31">
        <f>COUNTIFS('Module07'!$C$2:$C$42, A12, 'Module07'!$N$2:$N$42, "Medium")</f>
        <v/>
      </c>
      <c r="E12" s="32">
        <f>COUNTIFS('Module07'!$C$2:$C$42, A12, 'Module07'!$N$2:$N$42, "Low")</f>
        <v/>
      </c>
      <c r="F12" s="33">
        <f>SUM(C12:E12)</f>
        <v/>
      </c>
    </row>
    <row r="13" ht="22" customHeight="1">
      <c r="A13" s="22" t="inlineStr">
        <is>
          <t>M07-F06</t>
        </is>
      </c>
      <c r="B13" s="23" t="inlineStr">
        <is>
          <t>Material Link Attachment</t>
        </is>
      </c>
      <c r="C13" s="24">
        <f>COUNTIFS('Module07'!$C$2:$C$42, A13, 'Module07'!$N$2:$N$42, "High")</f>
        <v/>
      </c>
      <c r="D13" s="25">
        <f>COUNTIFS('Module07'!$C$2:$C$42, A13, 'Module07'!$N$2:$N$42, "Medium")</f>
        <v/>
      </c>
      <c r="E13" s="26">
        <f>COUNTIFS('Module07'!$C$2:$C$42, A13, 'Module07'!$N$2:$N$42, "Low")</f>
        <v/>
      </c>
      <c r="F13" s="27">
        <f>SUM(C13:E13)</f>
        <v/>
      </c>
    </row>
    <row r="14" ht="22" customHeight="1">
      <c r="A14" s="28" t="inlineStr">
        <is>
          <t>M07-F07</t>
        </is>
      </c>
      <c r="B14" s="29" t="inlineStr">
        <is>
          <t>CSV Export &amp; Import</t>
        </is>
      </c>
      <c r="C14" s="30">
        <f>COUNTIFS('Module07'!$C$2:$C$42, A14, 'Module07'!$N$2:$N$42, "High")</f>
        <v/>
      </c>
      <c r="D14" s="31">
        <f>COUNTIFS('Module07'!$C$2:$C$42, A14, 'Module07'!$N$2:$N$42, "Medium")</f>
        <v/>
      </c>
      <c r="E14" s="32">
        <f>COUNTIFS('Module07'!$C$2:$C$42, A14, 'Module07'!$N$2:$N$42, "Low")</f>
        <v/>
      </c>
      <c r="F14" s="33">
        <f>SUM(C14:E14)</f>
        <v/>
      </c>
    </row>
    <row r="15" ht="22" customHeight="1">
      <c r="A15" s="22" t="inlineStr">
        <is>
          <t>M07-F08</t>
        </is>
      </c>
      <c r="B15" s="23" t="inlineStr">
        <is>
          <t>Role Permissions &amp; Access Control</t>
        </is>
      </c>
      <c r="C15" s="24">
        <f>COUNTIFS('Module07'!$C$2:$C$42, A15, 'Module07'!$N$2:$N$42, "High")</f>
        <v/>
      </c>
      <c r="D15" s="25">
        <f>COUNTIFS('Module07'!$C$2:$C$42, A15, 'Module07'!$N$2:$N$42, "Medium")</f>
        <v/>
      </c>
      <c r="E15" s="26">
        <f>COUNTIFS('Module07'!$C$2:$C$42, A15, 'Module07'!$N$2:$N$42, "Low")</f>
        <v/>
      </c>
      <c r="F15" s="27">
        <f>SUM(C15:E15)</f>
        <v/>
      </c>
    </row>
    <row r="16" ht="24" customHeight="1">
      <c r="A16" s="34" t="inlineStr">
        <is>
          <t>Total</t>
        </is>
      </c>
      <c r="B16" s="35">
        <f>COUNTA(A9:A15)&amp;" Features"</f>
        <v/>
      </c>
      <c r="C16" s="34">
        <f>SUM(C9:C15)</f>
        <v/>
      </c>
      <c r="D16" s="34">
        <f>SUM(D9:D15)</f>
        <v/>
      </c>
      <c r="E16" s="34">
        <f>SUM(E9:E15)</f>
        <v/>
      </c>
      <c r="F16" s="34">
        <f>SUM(F9:F15)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42"/>
  <sheetViews>
    <sheetView showGridLines="1" workbookViewId="0">
      <selection activeCell="A1" sqref="A1"/>
    </sheetView>
  </sheetViews>
  <sheetFormatPr baseColWidth="8" defaultRowHeight="15"/>
  <cols>
    <col width="15" customWidth="1" min="1" max="1"/>
    <col width="14" customWidth="1" min="2" max="2"/>
    <col width="14" customWidth="1" min="3" max="3"/>
    <col width="28" customWidth="1" min="4" max="4"/>
    <col width="32" customWidth="1" min="5" max="5"/>
    <col width="36" customWidth="1" min="6" max="6"/>
    <col width="30" customWidth="1" min="7" max="7"/>
    <col width="28" customWidth="1" min="8" max="8"/>
    <col width="48" customWidth="1" min="9" max="9"/>
    <col width="48" customWidth="1" min="10" max="10"/>
    <col width="36" customWidth="1" min="11" max="11"/>
    <col width="16" customWidth="1" min="12" max="12"/>
    <col width="25" customWidth="1" min="13" max="13"/>
    <col width="14" customWidth="1" min="14" max="14"/>
    <col width="32" customWidth="1" min="15" max="15"/>
  </cols>
  <sheetData>
    <row r="1" ht="28" customHeight="1">
      <c r="A1" s="1" t="inlineStr">
        <is>
          <t>ID</t>
        </is>
      </c>
      <c r="B1" s="1" t="inlineStr">
        <is>
          <t>Module</t>
        </is>
      </c>
      <c r="C1" s="1" t="inlineStr">
        <is>
          <t>Feature ID</t>
        </is>
      </c>
      <c r="D1" s="1" t="inlineStr">
        <is>
          <t>Feature Name</t>
        </is>
      </c>
      <c r="E1" s="1" t="inlineStr">
        <is>
          <t>Title</t>
        </is>
      </c>
      <c r="F1" s="1" t="inlineStr">
        <is>
          <t>Objective</t>
        </is>
      </c>
      <c r="G1" s="1" t="inlineStr">
        <is>
          <t>Preconditions</t>
        </is>
      </c>
      <c r="H1" s="1" t="inlineStr">
        <is>
          <t>TestData</t>
        </is>
      </c>
      <c r="I1" s="1" t="inlineStr">
        <is>
          <t>Steps</t>
        </is>
      </c>
      <c r="J1" s="1" t="inlineStr">
        <is>
          <t>ExpectedResult</t>
        </is>
      </c>
      <c r="K1" s="1" t="inlineStr">
        <is>
          <t>Actual Result</t>
        </is>
      </c>
      <c r="L1" s="1" t="inlineStr">
        <is>
          <t>Status</t>
        </is>
      </c>
      <c r="M1" s="1" t="inlineStr">
        <is>
          <t>Evidence</t>
        </is>
      </c>
      <c r="N1" s="1" t="inlineStr">
        <is>
          <t>Priority</t>
        </is>
      </c>
      <c r="O1" s="1" t="inlineStr">
        <is>
          <t>Notes</t>
        </is>
      </c>
    </row>
    <row r="2" ht="105" customHeight="1">
      <c r="A2" s="2" t="inlineStr">
        <is>
          <t>TC-M07-001</t>
        </is>
      </c>
      <c r="B2" s="2" t="inlineStr">
        <is>
          <t>Module 07 - Training Materials</t>
        </is>
      </c>
      <c r="C2" s="3" t="inlineStr">
        <is>
          <t>M07-F02</t>
        </is>
      </c>
      <c r="D2" s="4" t="inlineStr">
        <is>
          <t>Category Management</t>
        </is>
      </c>
      <c r="E2" s="4" t="inlineStr">
        <is>
          <t>Rename Category with a Valid Name</t>
        </is>
      </c>
      <c r="F2" s="4" t="inlineStr">
        <is>
          <t>Verify functionality for renaming a category when entering a valid new name.</t>
        </is>
      </c>
      <c r="G2" s="4" t="inlineStr">
        <is>
          <t>User is logged in as Staff.
Currently on Training Materials Management interface.</t>
        </is>
      </c>
      <c r="H2" s="4" t="inlineStr">
        <is>
          <t>OldCategoryName="General"; NewCategoryName="Foundations"</t>
        </is>
      </c>
      <c r="I2" s="4" t="inlineStr">
        <is>
          <t>1. Select Category "General";
2. Click Rename Category button;
3. Enter new name as "Foundations";
4. Click Save button.</t>
        </is>
      </c>
      <c r="J2" s="4" t="inlineStr">
        <is>
          <t>Category renamed successfully.
New category name "Foundations" is updated and displayed on UI.</t>
        </is>
      </c>
      <c r="K2" s="4" t="inlineStr"/>
      <c r="L2" s="5" t="inlineStr">
        <is>
          <t>Not Run</t>
        </is>
      </c>
      <c r="M2" s="2" t="inlineStr"/>
      <c r="N2" s="6" t="inlineStr">
        <is>
          <t>High</t>
        </is>
      </c>
      <c r="O2" s="4" t="inlineStr">
        <is>
          <t>Related Requirement: M07-F02, Rule 6.2</t>
        </is>
      </c>
    </row>
    <row r="3" ht="60" customHeight="1">
      <c r="A3" s="7" t="inlineStr">
        <is>
          <t>TC-M07-002</t>
        </is>
      </c>
      <c r="B3" s="7" t="inlineStr">
        <is>
          <t>Module 07 - Training Materials</t>
        </is>
      </c>
      <c r="C3" s="8" t="inlineStr">
        <is>
          <t>M07-F02</t>
        </is>
      </c>
      <c r="D3" s="9" t="inlineStr">
        <is>
          <t>Category Management</t>
        </is>
      </c>
      <c r="E3" s="9" t="inlineStr">
        <is>
          <t>Category Rename Fails Due to Empty Name</t>
        </is>
      </c>
      <c r="F3" s="9" t="inlineStr">
        <is>
          <t>Verify system displays error and prevents renaming category when new name is empty.</t>
        </is>
      </c>
      <c r="G3" s="9" t="inlineStr">
        <is>
          <t>User is logged in as Staff.
Currently on Rename Category dialog.</t>
        </is>
      </c>
      <c r="H3" s="9" t="inlineStr">
        <is>
          <t>NewCategoryName=""</t>
        </is>
      </c>
      <c r="I3" s="9" t="inlineStr">
        <is>
          <t>1. Leave new Category Name field empty;
2. Click Save button.</t>
        </is>
      </c>
      <c r="J3" s="9" t="inlineStr">
        <is>
          <t>System blocks action.
Validation error message appears: "Category Name cannot be empty."</t>
        </is>
      </c>
      <c r="K3" s="9" t="inlineStr"/>
      <c r="L3" s="5" t="inlineStr">
        <is>
          <t>Not Run</t>
        </is>
      </c>
      <c r="M3" s="7" t="inlineStr"/>
      <c r="N3" s="6" t="inlineStr">
        <is>
          <t>High</t>
        </is>
      </c>
      <c r="O3" s="9" t="inlineStr">
        <is>
          <t>Related Requirement: M07-F02, Validation Rules (Section 8)</t>
        </is>
      </c>
    </row>
    <row r="4" ht="60" customHeight="1">
      <c r="A4" s="2" t="inlineStr">
        <is>
          <t>TC-M07-003</t>
        </is>
      </c>
      <c r="B4" s="2" t="inlineStr">
        <is>
          <t>Module 07 - Training Materials</t>
        </is>
      </c>
      <c r="C4" s="3" t="inlineStr">
        <is>
          <t>M07-F02</t>
        </is>
      </c>
      <c r="D4" s="4" t="inlineStr">
        <is>
          <t>Category Management</t>
        </is>
      </c>
      <c r="E4" s="4" t="inlineStr">
        <is>
          <t>Verify Archive and Delete Functions Are Not Supported for Category</t>
        </is>
      </c>
      <c r="F4" s="4" t="inlineStr">
        <is>
          <t>Verify system does not support archive or delete operations on categories.</t>
        </is>
      </c>
      <c r="G4" s="4" t="inlineStr">
        <is>
          <t>User is logged in as Staff.
Viewing Category menu.</t>
        </is>
      </c>
      <c r="H4" s="4" t="inlineStr">
        <is>
          <t>CategoryName="Foundations"</t>
        </is>
      </c>
      <c r="I4" s="4" t="inlineStr">
        <is>
          <t>1. Open options menu for Category "Foundations";
2. Check for Archive or Delete options.</t>
        </is>
      </c>
      <c r="J4" s="4" t="inlineStr">
        <is>
          <t>Archive and Delete buttons are not present in Category context menu.</t>
        </is>
      </c>
      <c r="K4" s="4" t="inlineStr"/>
      <c r="L4" s="5" t="inlineStr">
        <is>
          <t>Not Run</t>
        </is>
      </c>
      <c r="M4" s="2" t="inlineStr"/>
      <c r="N4" s="10" t="inlineStr">
        <is>
          <t>Medium</t>
        </is>
      </c>
      <c r="O4" s="4" t="inlineStr">
        <is>
          <t>Related Requirement: M07-F02, Business Rules 6.2</t>
        </is>
      </c>
    </row>
    <row r="5" ht="45" customHeight="1">
      <c r="A5" s="7" t="inlineStr">
        <is>
          <t>TC-M07-004</t>
        </is>
      </c>
      <c r="B5" s="7" t="inlineStr">
        <is>
          <t>Module 07 - Training Materials</t>
        </is>
      </c>
      <c r="C5" s="8" t="inlineStr">
        <is>
          <t>M07-F02</t>
        </is>
      </c>
      <c r="D5" s="9" t="inlineStr">
        <is>
          <t>Category Management</t>
        </is>
      </c>
      <c r="E5" s="9" t="inlineStr">
        <is>
          <t>Verify Default Categories Exist in System</t>
        </is>
      </c>
      <c r="F5" s="9" t="inlineStr">
        <is>
          <t>Verify system contains default fixed categories upon initialization.</t>
        </is>
      </c>
      <c r="G5" s="9" t="inlineStr">
        <is>
          <t>User is logged in as Staff.</t>
        </is>
      </c>
      <c r="H5" s="9" t="inlineStr">
        <is>
          <t>DefaultCategories=["IT", "English", "Professional Skills"]</t>
        </is>
      </c>
      <c r="I5" s="9" t="inlineStr">
        <is>
          <t>1. Access Training Materials page;
2. Check category sidebar/tabs.</t>
        </is>
      </c>
      <c r="J5" s="9" t="inlineStr">
        <is>
          <t>Default categories "IT", "English", and "Professional Skills" are present in system.</t>
        </is>
      </c>
      <c r="K5" s="9" t="inlineStr"/>
      <c r="L5" s="5" t="inlineStr">
        <is>
          <t>Not Run</t>
        </is>
      </c>
      <c r="M5" s="7" t="inlineStr"/>
      <c r="N5" s="6" t="inlineStr">
        <is>
          <t>High</t>
        </is>
      </c>
      <c r="O5" s="9" t="inlineStr">
        <is>
          <t>Related Requirement: M07-F02, Business Rules 6.2</t>
        </is>
      </c>
    </row>
    <row r="6" ht="105" customHeight="1">
      <c r="A6" s="2" t="inlineStr">
        <is>
          <t>TC-M07-005</t>
        </is>
      </c>
      <c r="B6" s="2" t="inlineStr">
        <is>
          <t>Module 07 - Training Materials</t>
        </is>
      </c>
      <c r="C6" s="3" t="inlineStr">
        <is>
          <t>M07-F03</t>
        </is>
      </c>
      <c r="D6" s="4" t="inlineStr">
        <is>
          <t>Course Management</t>
        </is>
      </c>
      <c r="E6" s="4" t="inlineStr">
        <is>
          <t>Create New Course with Valid Information</t>
        </is>
      </c>
      <c r="F6" s="4" t="inlineStr">
        <is>
          <t>Verify functionality for creating a new course within a category.</t>
        </is>
      </c>
      <c r="G6" s="4" t="inlineStr">
        <is>
          <t>User is logged in as Staff.
Category "IT" exists.</t>
        </is>
      </c>
      <c r="H6" s="4" t="inlineStr">
        <is>
          <t>Category="IT"; CourseName="Web Development"</t>
        </is>
      </c>
      <c r="I6" s="4" t="inlineStr">
        <is>
          <t>1. Select Category "IT";
2. Click Create New Course button;
3. Enter Course Name as "Web Development";
4. Click Save button.</t>
        </is>
      </c>
      <c r="J6" s="4" t="inlineStr">
        <is>
          <t>Course created successfully.
New course "Web Development" appears under category "IT".</t>
        </is>
      </c>
      <c r="K6" s="4" t="inlineStr"/>
      <c r="L6" s="5" t="inlineStr">
        <is>
          <t>Not Run</t>
        </is>
      </c>
      <c r="M6" s="2" t="inlineStr"/>
      <c r="N6" s="6" t="inlineStr">
        <is>
          <t>High</t>
        </is>
      </c>
      <c r="O6" s="4" t="inlineStr">
        <is>
          <t>Related Requirement: M07-F03, Business Rules 6.3</t>
        </is>
      </c>
    </row>
    <row r="7" ht="45" customHeight="1">
      <c r="A7" s="7" t="inlineStr">
        <is>
          <t>TC-M07-006</t>
        </is>
      </c>
      <c r="B7" s="7" t="inlineStr">
        <is>
          <t>Module 07 - Training Materials</t>
        </is>
      </c>
      <c r="C7" s="8" t="inlineStr">
        <is>
          <t>M07-F03</t>
        </is>
      </c>
      <c r="D7" s="9" t="inlineStr">
        <is>
          <t>Course Management</t>
        </is>
      </c>
      <c r="E7" s="9" t="inlineStr">
        <is>
          <t>New Course Creation Fails Due to Empty Name</t>
        </is>
      </c>
      <c r="F7" s="9" t="inlineStr">
        <is>
          <t>Verify system displays error when course name is empty.</t>
        </is>
      </c>
      <c r="G7" s="9" t="inlineStr">
        <is>
          <t>User is logged in as Staff.</t>
        </is>
      </c>
      <c r="H7" s="9" t="inlineStr">
        <is>
          <t>CourseName=""</t>
        </is>
      </c>
      <c r="I7" s="9" t="inlineStr">
        <is>
          <t>1. Leave Course Name field empty;
2. Click Save button.</t>
        </is>
      </c>
      <c r="J7" s="9" t="inlineStr">
        <is>
          <t>System blocks action.
Validation error appears: "Course Name is required."</t>
        </is>
      </c>
      <c r="K7" s="9" t="inlineStr"/>
      <c r="L7" s="5" t="inlineStr">
        <is>
          <t>Not Run</t>
        </is>
      </c>
      <c r="M7" s="7" t="inlineStr"/>
      <c r="N7" s="6" t="inlineStr">
        <is>
          <t>High</t>
        </is>
      </c>
      <c r="O7" s="9" t="inlineStr">
        <is>
          <t>Related Requirement: M07-F03, Validation Rules (Section 8)</t>
        </is>
      </c>
    </row>
    <row r="8" ht="105" customHeight="1">
      <c r="A8" s="2" t="inlineStr">
        <is>
          <t>TC-M07-007</t>
        </is>
      </c>
      <c r="B8" s="2" t="inlineStr">
        <is>
          <t>Module 07 - Training Materials</t>
        </is>
      </c>
      <c r="C8" s="3" t="inlineStr">
        <is>
          <t>M07-F03</t>
        </is>
      </c>
      <c r="D8" s="4" t="inlineStr">
        <is>
          <t>Course Management</t>
        </is>
      </c>
      <c r="E8" s="4" t="inlineStr">
        <is>
          <t>Edit Course Name with Valid Information</t>
        </is>
      </c>
      <c r="F8" s="4" t="inlineStr">
        <is>
          <t>Verify functionality for updating course name.</t>
        </is>
      </c>
      <c r="G8" s="4" t="inlineStr">
        <is>
          <t>User is logged in as Staff.
Course "Web Development" exists.</t>
        </is>
      </c>
      <c r="H8" s="4" t="inlineStr">
        <is>
          <t>OldCourseName="Web Development"; NewCourseName="Frontend Development"</t>
        </is>
      </c>
      <c r="I8" s="4" t="inlineStr">
        <is>
          <t>1. Select Course "Web Development";
2. Click Edit Course button;
3. Change name to "Frontend Development";
4. Click Save button.</t>
        </is>
      </c>
      <c r="J8" s="4" t="inlineStr">
        <is>
          <t>Course name updated successfully to "Frontend Development".</t>
        </is>
      </c>
      <c r="K8" s="4" t="inlineStr"/>
      <c r="L8" s="5" t="inlineStr">
        <is>
          <t>Not Run</t>
        </is>
      </c>
      <c r="M8" s="2" t="inlineStr"/>
      <c r="N8" s="6" t="inlineStr">
        <is>
          <t>High</t>
        </is>
      </c>
      <c r="O8" s="4" t="inlineStr">
        <is>
          <t>Related Requirement: M07-F03, Business Rules 6.3</t>
        </is>
      </c>
    </row>
    <row r="9" ht="60" customHeight="1">
      <c r="A9" s="7" t="inlineStr">
        <is>
          <t>TC-M07-008</t>
        </is>
      </c>
      <c r="B9" s="7" t="inlineStr">
        <is>
          <t>Module 07 - Training Materials</t>
        </is>
      </c>
      <c r="C9" s="8" t="inlineStr">
        <is>
          <t>M07-F03</t>
        </is>
      </c>
      <c r="D9" s="9" t="inlineStr">
        <is>
          <t>Course Management</t>
        </is>
      </c>
      <c r="E9" s="9" t="inlineStr">
        <is>
          <t>Archive Active Course</t>
        </is>
      </c>
      <c r="F9" s="9" t="inlineStr">
        <is>
          <t>Verify functionality for archiving an active course.</t>
        </is>
      </c>
      <c r="G9" s="9" t="inlineStr">
        <is>
          <t>User is logged in as Staff.
Course "Frontend Development" is Active.</t>
        </is>
      </c>
      <c r="H9" s="9" t="inlineStr">
        <is>
          <t>CourseName="Frontend Development"</t>
        </is>
      </c>
      <c r="I9" s="9" t="inlineStr">
        <is>
          <t>1. Click Archive button for course "Frontend Development";
2. Confirm archiving in popup dialog.</t>
        </is>
      </c>
      <c r="J9" s="9" t="inlineStr">
        <is>
          <t>Course status changes to Archived.
Course is hidden from Active list and moved to Archived tab.</t>
        </is>
      </c>
      <c r="K9" s="9" t="inlineStr"/>
      <c r="L9" s="5" t="inlineStr">
        <is>
          <t>Not Run</t>
        </is>
      </c>
      <c r="M9" s="7" t="inlineStr"/>
      <c r="N9" s="6" t="inlineStr">
        <is>
          <t>High</t>
        </is>
      </c>
      <c r="O9" s="9" t="inlineStr">
        <is>
          <t>Related Requirement: M07-F03, Business Rules 6.3</t>
        </is>
      </c>
    </row>
    <row r="10" ht="75" customHeight="1">
      <c r="A10" s="2" t="inlineStr">
        <is>
          <t>TC-M07-009</t>
        </is>
      </c>
      <c r="B10" s="2" t="inlineStr">
        <is>
          <t>Module 07 - Training Materials</t>
        </is>
      </c>
      <c r="C10" s="3" t="inlineStr">
        <is>
          <t>M07-F03</t>
        </is>
      </c>
      <c r="D10" s="4" t="inlineStr">
        <is>
          <t>Course Management</t>
        </is>
      </c>
      <c r="E10" s="4" t="inlineStr">
        <is>
          <t>Restore Archived Course</t>
        </is>
      </c>
      <c r="F10" s="4" t="inlineStr">
        <is>
          <t>Verify functionality for restoring a previously archived course.</t>
        </is>
      </c>
      <c r="G10" s="4" t="inlineStr">
        <is>
          <t>User is logged in as Staff.
Course "Frontend Development" is Archived.</t>
        </is>
      </c>
      <c r="H10" s="4" t="inlineStr">
        <is>
          <t>CourseName="Frontend Development"</t>
        </is>
      </c>
      <c r="I10" s="4" t="inlineStr">
        <is>
          <t>1. Navigate to Archived Courses tab;
2. Click Restore button for course "Frontend Development";
3. Confirm restoration.</t>
        </is>
      </c>
      <c r="J10" s="4" t="inlineStr">
        <is>
          <t>Course status changes back to Active.
Course reappears in active course list.</t>
        </is>
      </c>
      <c r="K10" s="4" t="inlineStr"/>
      <c r="L10" s="5" t="inlineStr">
        <is>
          <t>Not Run</t>
        </is>
      </c>
      <c r="M10" s="2" t="inlineStr"/>
      <c r="N10" s="6" t="inlineStr">
        <is>
          <t>High</t>
        </is>
      </c>
      <c r="O10" s="4" t="inlineStr">
        <is>
          <t>Related Requirement: M07-F03, Business Rules 6.3</t>
        </is>
      </c>
    </row>
    <row r="11" ht="45" customHeight="1">
      <c r="A11" s="7" t="inlineStr">
        <is>
          <t>TC-M07-010</t>
        </is>
      </c>
      <c r="B11" s="7" t="inlineStr">
        <is>
          <t>Module 07 - Training Materials</t>
        </is>
      </c>
      <c r="C11" s="8" t="inlineStr">
        <is>
          <t>M07-F03</t>
        </is>
      </c>
      <c r="D11" s="9" t="inlineStr">
        <is>
          <t>Course Management</t>
        </is>
      </c>
      <c r="E11" s="9" t="inlineStr">
        <is>
          <t>Verify Permanent Deletion Is Not Supported for Course</t>
        </is>
      </c>
      <c r="F11" s="9" t="inlineStr">
        <is>
          <t>Verify system does not provide permanent deletion for courses.</t>
        </is>
      </c>
      <c r="G11" s="9" t="inlineStr">
        <is>
          <t>User is logged in as Staff.
Viewing course options menu.</t>
        </is>
      </c>
      <c r="H11" s="9" t="inlineStr">
        <is>
          <t>CourseName="Frontend Development"</t>
        </is>
      </c>
      <c r="I11" s="9" t="inlineStr">
        <is>
          <t>1. Open course action menu;
2. Check available options.</t>
        </is>
      </c>
      <c r="J11" s="9" t="inlineStr">
        <is>
          <t>Permanent Delete button is not present for courses (only Archive is supported).</t>
        </is>
      </c>
      <c r="K11" s="9" t="inlineStr"/>
      <c r="L11" s="5" t="inlineStr">
        <is>
          <t>Not Run</t>
        </is>
      </c>
      <c r="M11" s="7" t="inlineStr"/>
      <c r="N11" s="10" t="inlineStr">
        <is>
          <t>Medium</t>
        </is>
      </c>
      <c r="O11" s="9" t="inlineStr">
        <is>
          <t>Related Requirement: M07-F03, Business Rules 6.3</t>
        </is>
      </c>
    </row>
    <row r="12" ht="105" customHeight="1">
      <c r="A12" s="2" t="inlineStr">
        <is>
          <t>TC-M07-011</t>
        </is>
      </c>
      <c r="B12" s="2" t="inlineStr">
        <is>
          <t>Module 07 - Training Materials</t>
        </is>
      </c>
      <c r="C12" s="3" t="inlineStr">
        <is>
          <t>M07-F04</t>
        </is>
      </c>
      <c r="D12" s="4" t="inlineStr">
        <is>
          <t>Session Management</t>
        </is>
      </c>
      <c r="E12" s="4" t="inlineStr">
        <is>
          <t>Create New Session with Valid Information</t>
        </is>
      </c>
      <c r="F12" s="4" t="inlineStr">
        <is>
          <t>Verify functionality for creating a new learning session inside a course.</t>
        </is>
      </c>
      <c r="G12" s="4" t="inlineStr">
        <is>
          <t>User is logged in as Staff.
Course "Web Development" exists.</t>
        </is>
      </c>
      <c r="H12" s="4" t="inlineStr">
        <is>
          <t>CourseName="Web Development"; SessionName="Session 1: HTML Basics"</t>
        </is>
      </c>
      <c r="I12" s="4" t="inlineStr">
        <is>
          <t>1. Open Course "Web Development";
2. Click Add Session button;
3. Enter Session Name as "Session 1: HTML Basics";
4. Click Save button.</t>
        </is>
      </c>
      <c r="J12" s="4" t="inlineStr">
        <is>
          <t>Session created successfully.
"Session 1: HTML Basics" appears inside course.</t>
        </is>
      </c>
      <c r="K12" s="4" t="inlineStr"/>
      <c r="L12" s="5" t="inlineStr">
        <is>
          <t>Not Run</t>
        </is>
      </c>
      <c r="M12" s="2" t="inlineStr"/>
      <c r="N12" s="6" t="inlineStr">
        <is>
          <t>High</t>
        </is>
      </c>
      <c r="O12" s="4" t="inlineStr">
        <is>
          <t>Related Requirement: M07-F04, Business Rules 6.4</t>
        </is>
      </c>
    </row>
    <row r="13" ht="45" customHeight="1">
      <c r="A13" s="7" t="inlineStr">
        <is>
          <t>TC-M07-012</t>
        </is>
      </c>
      <c r="B13" s="7" t="inlineStr">
        <is>
          <t>Module 07 - Training Materials</t>
        </is>
      </c>
      <c r="C13" s="8" t="inlineStr">
        <is>
          <t>M07-F04</t>
        </is>
      </c>
      <c r="D13" s="9" t="inlineStr">
        <is>
          <t>Session Management</t>
        </is>
      </c>
      <c r="E13" s="9" t="inlineStr">
        <is>
          <t>New Session Creation Fails Due to Empty Session Name</t>
        </is>
      </c>
      <c r="F13" s="9" t="inlineStr">
        <is>
          <t>Verify system displays error when session name is empty.</t>
        </is>
      </c>
      <c r="G13" s="9" t="inlineStr">
        <is>
          <t>User is logged in as Staff.</t>
        </is>
      </c>
      <c r="H13" s="9" t="inlineStr">
        <is>
          <t>SessionName=""</t>
        </is>
      </c>
      <c r="I13" s="9" t="inlineStr">
        <is>
          <t>1. Leave Session Name field empty;
2. Click Save button.</t>
        </is>
      </c>
      <c r="J13" s="9" t="inlineStr">
        <is>
          <t>System blocks action.
Validation error appears: "Session Name is required."</t>
        </is>
      </c>
      <c r="K13" s="9" t="inlineStr"/>
      <c r="L13" s="5" t="inlineStr">
        <is>
          <t>Not Run</t>
        </is>
      </c>
      <c r="M13" s="7" t="inlineStr"/>
      <c r="N13" s="6" t="inlineStr">
        <is>
          <t>High</t>
        </is>
      </c>
      <c r="O13" s="9" t="inlineStr">
        <is>
          <t>Related Requirement: M07-F04, Validation Rules (Section 8)</t>
        </is>
      </c>
    </row>
    <row r="14" ht="75" customHeight="1">
      <c r="A14" s="2" t="inlineStr">
        <is>
          <t>TC-M07-013</t>
        </is>
      </c>
      <c r="B14" s="2" t="inlineStr">
        <is>
          <t>Module 07 - Training Materials</t>
        </is>
      </c>
      <c r="C14" s="3" t="inlineStr">
        <is>
          <t>M07-F04</t>
        </is>
      </c>
      <c r="D14" s="4" t="inlineStr">
        <is>
          <t>Session Management</t>
        </is>
      </c>
      <c r="E14" s="4" t="inlineStr">
        <is>
          <t>Edit Session Details</t>
        </is>
      </c>
      <c r="F14" s="4" t="inlineStr">
        <is>
          <t>Verify functionality for updating session title/details.</t>
        </is>
      </c>
      <c r="G14" s="4" t="inlineStr">
        <is>
          <t>User is logged in as Staff.
Session "Session 1: HTML Basics" exists.</t>
        </is>
      </c>
      <c r="H14" s="4" t="inlineStr">
        <is>
          <t>OldSessionName="Session 1: HTML Basics"; NewSessionName="Session 1: HTML &amp; CSS Fundamentals"</t>
        </is>
      </c>
      <c r="I14" s="4" t="inlineStr">
        <is>
          <t>1. Click Edit icon on session;
2. Update Session Name to "Session 1: HTML &amp; CSS Fundamentals";
3. Click Save button.</t>
        </is>
      </c>
      <c r="J14" s="4" t="inlineStr">
        <is>
          <t>Session details updated successfully.</t>
        </is>
      </c>
      <c r="K14" s="4" t="inlineStr"/>
      <c r="L14" s="5" t="inlineStr">
        <is>
          <t>Not Run</t>
        </is>
      </c>
      <c r="M14" s="2" t="inlineStr"/>
      <c r="N14" s="6" t="inlineStr">
        <is>
          <t>High</t>
        </is>
      </c>
      <c r="O14" s="4" t="inlineStr">
        <is>
          <t>Related Requirement: M07-F04, Business Rules 6.4</t>
        </is>
      </c>
    </row>
    <row r="15" ht="60" customHeight="1">
      <c r="A15" s="7" t="inlineStr">
        <is>
          <t>TC-M07-014</t>
        </is>
      </c>
      <c r="B15" s="7" t="inlineStr">
        <is>
          <t>Module 07 - Training Materials</t>
        </is>
      </c>
      <c r="C15" s="8" t="inlineStr">
        <is>
          <t>M07-F04</t>
        </is>
      </c>
      <c r="D15" s="9" t="inlineStr">
        <is>
          <t>Session Management</t>
        </is>
      </c>
      <c r="E15" s="9" t="inlineStr">
        <is>
          <t>Permanently Delete Session</t>
        </is>
      </c>
      <c r="F15" s="9" t="inlineStr">
        <is>
          <t>Verify functionality for permanently deleting a session.</t>
        </is>
      </c>
      <c r="G15" s="9" t="inlineStr">
        <is>
          <t>User is logged in as Staff.
Session "Session 1" exists.</t>
        </is>
      </c>
      <c r="H15" s="9" t="inlineStr">
        <is>
          <t>SessionName="Session 1"</t>
        </is>
      </c>
      <c r="I15" s="9" t="inlineStr">
        <is>
          <t>1. Click Delete icon on session;
2. Confirm permanent deletion in confirmation dialog.</t>
        </is>
      </c>
      <c r="J15" s="9" t="inlineStr">
        <is>
          <t>Session and all attached materials are permanently deleted from system.</t>
        </is>
      </c>
      <c r="K15" s="9" t="inlineStr"/>
      <c r="L15" s="5" t="inlineStr">
        <is>
          <t>Not Run</t>
        </is>
      </c>
      <c r="M15" s="7" t="inlineStr"/>
      <c r="N15" s="6" t="inlineStr">
        <is>
          <t>High</t>
        </is>
      </c>
      <c r="O15" s="9" t="inlineStr">
        <is>
          <t>Related Requirement: M07-F04, Business Rules 6.4</t>
        </is>
      </c>
    </row>
    <row r="16" ht="60" customHeight="1">
      <c r="A16" s="2" t="inlineStr">
        <is>
          <t>TC-M07-015</t>
        </is>
      </c>
      <c r="B16" s="2" t="inlineStr">
        <is>
          <t>Module 07 - Training Materials</t>
        </is>
      </c>
      <c r="C16" s="3" t="inlineStr">
        <is>
          <t>M07-F04</t>
        </is>
      </c>
      <c r="D16" s="4" t="inlineStr">
        <is>
          <t>Session Management</t>
        </is>
      </c>
      <c r="E16" s="4" t="inlineStr">
        <is>
          <t>Cancel Session Deletion Operation</t>
        </is>
      </c>
      <c r="F16" s="4" t="inlineStr">
        <is>
          <t>Verify clicking Cancel in session deletion dialog preserves session without deleting.</t>
        </is>
      </c>
      <c r="G16" s="4" t="inlineStr">
        <is>
          <t>User is logged in as Staff.
Session deletion modal open.</t>
        </is>
      </c>
      <c r="H16" s="4" t="inlineStr">
        <is>
          <t>Action="Cancel Deletion"</t>
        </is>
      </c>
      <c r="I16" s="4" t="inlineStr">
        <is>
          <t>1. Click Delete icon on session;
2. In confirmation dialog, click Cancel button.</t>
        </is>
      </c>
      <c r="J16" s="4" t="inlineStr">
        <is>
          <t>Dialog closes.
Session remains intact in course.</t>
        </is>
      </c>
      <c r="K16" s="4" t="inlineStr"/>
      <c r="L16" s="5" t="inlineStr">
        <is>
          <t>Not Run</t>
        </is>
      </c>
      <c r="M16" s="2" t="inlineStr"/>
      <c r="N16" s="10" t="inlineStr">
        <is>
          <t>Medium</t>
        </is>
      </c>
      <c r="O16" s="4" t="inlineStr">
        <is>
          <t>Related Requirement: M07-F04, UI Standards</t>
        </is>
      </c>
    </row>
    <row r="17" ht="30" customHeight="1">
      <c r="A17" s="7" t="inlineStr">
        <is>
          <t>TC-M07-016</t>
        </is>
      </c>
      <c r="B17" s="7" t="inlineStr">
        <is>
          <t>Module 07 - Training Materials</t>
        </is>
      </c>
      <c r="C17" s="8" t="inlineStr">
        <is>
          <t>M07-F04</t>
        </is>
      </c>
      <c r="D17" s="9" t="inlineStr">
        <is>
          <t>Session Management</t>
        </is>
      </c>
      <c r="E17" s="9" t="inlineStr">
        <is>
          <t>Verify Archive Operation Is Not Supported for Session</t>
        </is>
      </c>
      <c r="F17" s="9" t="inlineStr">
        <is>
          <t>Verify system does not support archiving individual sessions.</t>
        </is>
      </c>
      <c r="G17" s="9" t="inlineStr">
        <is>
          <t>User is logged in as Staff.</t>
        </is>
      </c>
      <c r="H17" s="9" t="inlineStr">
        <is>
          <t>SessionName="Session 1"</t>
        </is>
      </c>
      <c r="I17" s="9" t="inlineStr">
        <is>
          <t>1. Check available actions on session.</t>
        </is>
      </c>
      <c r="J17" s="9" t="inlineStr">
        <is>
          <t>Archive button is not available for sessions (only Delete is supported).</t>
        </is>
      </c>
      <c r="K17" s="9" t="inlineStr"/>
      <c r="L17" s="5" t="inlineStr">
        <is>
          <t>Not Run</t>
        </is>
      </c>
      <c r="M17" s="7" t="inlineStr"/>
      <c r="N17" s="10" t="inlineStr">
        <is>
          <t>Medium</t>
        </is>
      </c>
      <c r="O17" s="9" t="inlineStr">
        <is>
          <t>Related Requirement: M07-F04, Business Rules 6.4</t>
        </is>
      </c>
    </row>
    <row r="18" ht="90" customHeight="1">
      <c r="A18" s="2" t="inlineStr">
        <is>
          <t>TC-M07-017</t>
        </is>
      </c>
      <c r="B18" s="2" t="inlineStr">
        <is>
          <t>Module 07 - Training Materials</t>
        </is>
      </c>
      <c r="C18" s="3" t="inlineStr">
        <is>
          <t>M07-F05</t>
        </is>
      </c>
      <c r="D18" s="4" t="inlineStr">
        <is>
          <t>Exam Management</t>
        </is>
      </c>
      <c r="E18" s="4" t="inlineStr">
        <is>
          <t>Create New Exam with Valid Information</t>
        </is>
      </c>
      <c r="F18" s="4" t="inlineStr">
        <is>
          <t>Verify functionality for creating a new exam item inside a course.</t>
        </is>
      </c>
      <c r="G18" s="4" t="inlineStr">
        <is>
          <t>User is logged in as Staff.
Course "Web Development" exists.</t>
        </is>
      </c>
      <c r="H18" s="4" t="inlineStr">
        <is>
          <t>CourseName="Web Development"; ExamName="Midterm Exam"</t>
        </is>
      </c>
      <c r="I18" s="4" t="inlineStr">
        <is>
          <t>1. Open Course "Web Development";
2. Click Add Exam button;
3. Enter Exam Name as "Midterm Exam";
4. Click Save button.</t>
        </is>
      </c>
      <c r="J18" s="4" t="inlineStr">
        <is>
          <t>Exam created successfully.
"Midterm Exam" displays in exam section of course.</t>
        </is>
      </c>
      <c r="K18" s="4" t="inlineStr"/>
      <c r="L18" s="5" t="inlineStr">
        <is>
          <t>Not Run</t>
        </is>
      </c>
      <c r="M18" s="2" t="inlineStr"/>
      <c r="N18" s="6" t="inlineStr">
        <is>
          <t>High</t>
        </is>
      </c>
      <c r="O18" s="4" t="inlineStr">
        <is>
          <t>Related Requirement: M07-F05, Business Rules 6.5</t>
        </is>
      </c>
    </row>
    <row r="19" ht="45" customHeight="1">
      <c r="A19" s="7" t="inlineStr">
        <is>
          <t>TC-M07-018</t>
        </is>
      </c>
      <c r="B19" s="7" t="inlineStr">
        <is>
          <t>Module 07 - Training Materials</t>
        </is>
      </c>
      <c r="C19" s="8" t="inlineStr">
        <is>
          <t>M07-F05</t>
        </is>
      </c>
      <c r="D19" s="9" t="inlineStr">
        <is>
          <t>Exam Management</t>
        </is>
      </c>
      <c r="E19" s="9" t="inlineStr">
        <is>
          <t>New Exam Creation Fails Due to Empty Name</t>
        </is>
      </c>
      <c r="F19" s="9" t="inlineStr">
        <is>
          <t>Verify system displays error when exam name is empty.</t>
        </is>
      </c>
      <c r="G19" s="9" t="inlineStr">
        <is>
          <t>User is logged in as Staff.</t>
        </is>
      </c>
      <c r="H19" s="9" t="inlineStr">
        <is>
          <t>ExamName=""</t>
        </is>
      </c>
      <c r="I19" s="9" t="inlineStr">
        <is>
          <t>1. Leave Exam Name field empty;
2. Click Save button.</t>
        </is>
      </c>
      <c r="J19" s="9" t="inlineStr">
        <is>
          <t>System blocks action.
Validation error appears: "Exam Name is required."</t>
        </is>
      </c>
      <c r="K19" s="9" t="inlineStr"/>
      <c r="L19" s="5" t="inlineStr">
        <is>
          <t>Not Run</t>
        </is>
      </c>
      <c r="M19" s="7" t="inlineStr"/>
      <c r="N19" s="6" t="inlineStr">
        <is>
          <t>High</t>
        </is>
      </c>
      <c r="O19" s="9" t="inlineStr">
        <is>
          <t>Related Requirement: M07-F05, Validation Rules (Section 8)</t>
        </is>
      </c>
    </row>
    <row r="20" ht="75" customHeight="1">
      <c r="A20" s="2" t="inlineStr">
        <is>
          <t>TC-M07-019</t>
        </is>
      </c>
      <c r="B20" s="2" t="inlineStr">
        <is>
          <t>Module 07 - Training Materials</t>
        </is>
      </c>
      <c r="C20" s="3" t="inlineStr">
        <is>
          <t>M07-F05</t>
        </is>
      </c>
      <c r="D20" s="4" t="inlineStr">
        <is>
          <t>Exam Management</t>
        </is>
      </c>
      <c r="E20" s="4" t="inlineStr">
        <is>
          <t>Edit Exam Details</t>
        </is>
      </c>
      <c r="F20" s="4" t="inlineStr">
        <is>
          <t>Verify functionality for updating exam title/details.</t>
        </is>
      </c>
      <c r="G20" s="4" t="inlineStr">
        <is>
          <t>User is logged in as Staff.
Exam "Midterm Exam" exists.</t>
        </is>
      </c>
      <c r="H20" s="4" t="inlineStr">
        <is>
          <t>OldExamName="Midterm Exam"; NewExamName="Midterm Practical Exam"</t>
        </is>
      </c>
      <c r="I20" s="4" t="inlineStr">
        <is>
          <t>1. Click Edit icon on exam;
2. Update Exam Name to "Midterm Practical Exam";
3. Click Save button.</t>
        </is>
      </c>
      <c r="J20" s="4" t="inlineStr">
        <is>
          <t>Exam details updated successfully.</t>
        </is>
      </c>
      <c r="K20" s="4" t="inlineStr"/>
      <c r="L20" s="5" t="inlineStr">
        <is>
          <t>Not Run</t>
        </is>
      </c>
      <c r="M20" s="2" t="inlineStr"/>
      <c r="N20" s="6" t="inlineStr">
        <is>
          <t>High</t>
        </is>
      </c>
      <c r="O20" s="4" t="inlineStr">
        <is>
          <t>Related Requirement: M07-F05, Business Rules 6.5</t>
        </is>
      </c>
    </row>
    <row r="21" ht="60" customHeight="1">
      <c r="A21" s="7" t="inlineStr">
        <is>
          <t>TC-M07-020</t>
        </is>
      </c>
      <c r="B21" s="7" t="inlineStr">
        <is>
          <t>Module 07 - Training Materials</t>
        </is>
      </c>
      <c r="C21" s="8" t="inlineStr">
        <is>
          <t>M07-F05</t>
        </is>
      </c>
      <c r="D21" s="9" t="inlineStr">
        <is>
          <t>Exam Management</t>
        </is>
      </c>
      <c r="E21" s="9" t="inlineStr">
        <is>
          <t>Permanently Delete Exam</t>
        </is>
      </c>
      <c r="F21" s="9" t="inlineStr">
        <is>
          <t>Verify functionality for permanently deleting an exam.</t>
        </is>
      </c>
      <c r="G21" s="9" t="inlineStr">
        <is>
          <t>User is logged in as Staff.
Exam "Midterm Exam" exists.</t>
        </is>
      </c>
      <c r="H21" s="9" t="inlineStr">
        <is>
          <t>ExamName="Midterm Exam"</t>
        </is>
      </c>
      <c r="I21" s="9" t="inlineStr">
        <is>
          <t>1. Click Delete icon on exam;
2. Confirm permanent deletion in confirmation dialog.</t>
        </is>
      </c>
      <c r="J21" s="9" t="inlineStr">
        <is>
          <t>Exam and all attached exam materials are permanently deleted from system.</t>
        </is>
      </c>
      <c r="K21" s="9" t="inlineStr"/>
      <c r="L21" s="5" t="inlineStr">
        <is>
          <t>Not Run</t>
        </is>
      </c>
      <c r="M21" s="7" t="inlineStr"/>
      <c r="N21" s="6" t="inlineStr">
        <is>
          <t>High</t>
        </is>
      </c>
      <c r="O21" s="9" t="inlineStr">
        <is>
          <t>Related Requirement: M07-F05, Business Rules 6.5</t>
        </is>
      </c>
    </row>
    <row r="22" ht="45" customHeight="1">
      <c r="A22" s="2" t="inlineStr">
        <is>
          <t>TC-M07-021</t>
        </is>
      </c>
      <c r="B22" s="2" t="inlineStr">
        <is>
          <t>Module 07 - Training Materials</t>
        </is>
      </c>
      <c r="C22" s="3" t="inlineStr">
        <is>
          <t>M07-F05</t>
        </is>
      </c>
      <c r="D22" s="4" t="inlineStr">
        <is>
          <t>Exam Management</t>
        </is>
      </c>
      <c r="E22" s="4" t="inlineStr">
        <is>
          <t>Cancel Exam Deletion Operation</t>
        </is>
      </c>
      <c r="F22" s="4" t="inlineStr">
        <is>
          <t>Verify clicking Cancel in exam deletion dialog preserves exam without deleting.</t>
        </is>
      </c>
      <c r="G22" s="4" t="inlineStr">
        <is>
          <t>User is logged in as Staff.
Exam deletion modal open.</t>
        </is>
      </c>
      <c r="H22" s="4" t="inlineStr">
        <is>
          <t>Action="Cancel Deletion"</t>
        </is>
      </c>
      <c r="I22" s="4" t="inlineStr">
        <is>
          <t>1. Click Delete icon on exam;
2. In confirmation dialog, click Cancel button.</t>
        </is>
      </c>
      <c r="J22" s="4" t="inlineStr">
        <is>
          <t>Dialog closes.
Exam remains intact in course.</t>
        </is>
      </c>
      <c r="K22" s="4" t="inlineStr"/>
      <c r="L22" s="5" t="inlineStr">
        <is>
          <t>Not Run</t>
        </is>
      </c>
      <c r="M22" s="2" t="inlineStr"/>
      <c r="N22" s="10" t="inlineStr">
        <is>
          <t>Medium</t>
        </is>
      </c>
      <c r="O22" s="4" t="inlineStr">
        <is>
          <t>Related Requirement: M07-F05, UI Standards</t>
        </is>
      </c>
    </row>
    <row r="23" ht="30" customHeight="1">
      <c r="A23" s="7" t="inlineStr">
        <is>
          <t>TC-M07-022</t>
        </is>
      </c>
      <c r="B23" s="7" t="inlineStr">
        <is>
          <t>Module 07 - Training Materials</t>
        </is>
      </c>
      <c r="C23" s="8" t="inlineStr">
        <is>
          <t>M07-F05</t>
        </is>
      </c>
      <c r="D23" s="9" t="inlineStr">
        <is>
          <t>Exam Management</t>
        </is>
      </c>
      <c r="E23" s="9" t="inlineStr">
        <is>
          <t>Verify Archive Operation Is Not Supported for Exam</t>
        </is>
      </c>
      <c r="F23" s="9" t="inlineStr">
        <is>
          <t>Verify system does not support archiving individual exams.</t>
        </is>
      </c>
      <c r="G23" s="9" t="inlineStr">
        <is>
          <t>User is logged in as Staff.</t>
        </is>
      </c>
      <c r="H23" s="9" t="inlineStr">
        <is>
          <t>ExamName="Midterm Exam"</t>
        </is>
      </c>
      <c r="I23" s="9" t="inlineStr">
        <is>
          <t>1. Check available actions on exam.</t>
        </is>
      </c>
      <c r="J23" s="9" t="inlineStr">
        <is>
          <t>Archive button is not available for exams (only Delete is supported).</t>
        </is>
      </c>
      <c r="K23" s="9" t="inlineStr"/>
      <c r="L23" s="5" t="inlineStr">
        <is>
          <t>Not Run</t>
        </is>
      </c>
      <c r="M23" s="7" t="inlineStr"/>
      <c r="N23" s="10" t="inlineStr">
        <is>
          <t>Medium</t>
        </is>
      </c>
      <c r="O23" s="9" t="inlineStr">
        <is>
          <t>Related Requirement: M07-F05, Business Rules 6.5</t>
        </is>
      </c>
    </row>
    <row r="24" ht="120" customHeight="1">
      <c r="A24" s="2" t="inlineStr">
        <is>
          <t>TC-M07-023</t>
        </is>
      </c>
      <c r="B24" s="2" t="inlineStr">
        <is>
          <t>Module 07 - Training Materials</t>
        </is>
      </c>
      <c r="C24" s="3" t="inlineStr">
        <is>
          <t>M07-F06</t>
        </is>
      </c>
      <c r="D24" s="4" t="inlineStr">
        <is>
          <t>Material Link Attachment</t>
        </is>
      </c>
      <c r="E24" s="4" t="inlineStr">
        <is>
          <t>Attach a Valid Document Link to Session/Exam</t>
        </is>
      </c>
      <c r="F24" s="4" t="inlineStr">
        <is>
          <t>Verify functionality for attaching a valid Google Drive material link with a label.</t>
        </is>
      </c>
      <c r="G24" s="4" t="inlineStr">
        <is>
          <t>User is logged in as Staff.
Session or Exam exists.</t>
        </is>
      </c>
      <c r="H24" s="4" t="inlineStr">
        <is>
          <t>Label="Lecture Slides"; Url="https://drive.google.com/file/d/123/view"</t>
        </is>
      </c>
      <c r="I24" s="4" t="inlineStr">
        <is>
          <t>1. Open Attach Material dialog for Session/Exam;
2. Enter Label as "Lecture Slides";
3. Enter URL as "https://drive.google.com/file/d/123/view";
4. Click Save button.</t>
        </is>
      </c>
      <c r="J24" s="4" t="inlineStr">
        <is>
          <t>Material link is attached successfully and clickable on UI.</t>
        </is>
      </c>
      <c r="K24" s="4" t="inlineStr"/>
      <c r="L24" s="5" t="inlineStr">
        <is>
          <t>Not Run</t>
        </is>
      </c>
      <c r="M24" s="2" t="inlineStr"/>
      <c r="N24" s="6" t="inlineStr">
        <is>
          <t>High</t>
        </is>
      </c>
      <c r="O24" s="4" t="inlineStr">
        <is>
          <t>Related Requirement: M07-F06, Business Rules 6.6</t>
        </is>
      </c>
    </row>
    <row r="25" ht="75" customHeight="1">
      <c r="A25" s="7" t="inlineStr">
        <is>
          <t>TC-M07-024</t>
        </is>
      </c>
      <c r="B25" s="7" t="inlineStr">
        <is>
          <t>Module 07 - Training Materials</t>
        </is>
      </c>
      <c r="C25" s="8" t="inlineStr">
        <is>
          <t>M07-F06</t>
        </is>
      </c>
      <c r="D25" s="9" t="inlineStr">
        <is>
          <t>Material Link Attachment</t>
        </is>
      </c>
      <c r="E25" s="9" t="inlineStr">
        <is>
          <t>Attach Multiple Valid Document Links to Session/Exam</t>
        </is>
      </c>
      <c r="F25" s="9" t="inlineStr">
        <is>
          <t>Verify functionality for attaching multiple document links simultaneously.</t>
        </is>
      </c>
      <c r="G25" s="9" t="inlineStr">
        <is>
          <t>User is logged in as Staff.</t>
        </is>
      </c>
      <c r="H25" s="9" t="inlineStr">
        <is>
          <t>Materials=[{Label: "Slides", Url: "https://drive.google.com/file/1"}, {Label: "Exercise", Url: "https://drive.google.com/file/2"}]</t>
        </is>
      </c>
      <c r="I25" s="9" t="inlineStr">
        <is>
          <t>1. Add multiple material rows;
2. Enter valid Labels and Google Drive URLs;
3. Click Save button.</t>
        </is>
      </c>
      <c r="J25" s="9" t="inlineStr">
        <is>
          <t>All material links are attached and displayed under session/exam.</t>
        </is>
      </c>
      <c r="K25" s="9" t="inlineStr"/>
      <c r="L25" s="5" t="inlineStr">
        <is>
          <t>Not Run</t>
        </is>
      </c>
      <c r="M25" s="7" t="inlineStr"/>
      <c r="N25" s="6" t="inlineStr">
        <is>
          <t>High</t>
        </is>
      </c>
      <c r="O25" s="9" t="inlineStr">
        <is>
          <t>Related Requirement: M07-F06, Business Rules 6.6</t>
        </is>
      </c>
    </row>
    <row r="26" ht="75" customHeight="1">
      <c r="A26" s="2" t="inlineStr">
        <is>
          <t>TC-M07-025</t>
        </is>
      </c>
      <c r="B26" s="2" t="inlineStr">
        <is>
          <t>Module 07 - Training Materials</t>
        </is>
      </c>
      <c r="C26" s="3" t="inlineStr">
        <is>
          <t>M07-F06</t>
        </is>
      </c>
      <c r="D26" s="4" t="inlineStr">
        <is>
          <t>Material Link Attachment</t>
        </is>
      </c>
      <c r="E26" s="4" t="inlineStr">
        <is>
          <t>Attach Material with Completely Empty Row (Ignore Blank Rows)</t>
        </is>
      </c>
      <c r="F26" s="4" t="inlineStr">
        <is>
          <t>Verify system ignores completely blank material rows without raising error.</t>
        </is>
      </c>
      <c r="G26" s="4" t="inlineStr">
        <is>
          <t>User is logged in as Staff.</t>
        </is>
      </c>
      <c r="H26" s="4" t="inlineStr">
        <is>
          <t>Row1={Label: "Slides", Url: "https://drive.google.com/..."}; Row2={Label: "", Url: ""}</t>
        </is>
      </c>
      <c r="I26" s="4" t="inlineStr">
        <is>
          <t>1. Fill Row 1 with valid label and URL;
2. Leave Row 2 completely empty;
3. Click Save button.</t>
        </is>
      </c>
      <c r="J26" s="4" t="inlineStr">
        <is>
          <t>System saves Row 1 successfully and ignores blank Row 2 without error.</t>
        </is>
      </c>
      <c r="K26" s="4" t="inlineStr"/>
      <c r="L26" s="5" t="inlineStr">
        <is>
          <t>Not Run</t>
        </is>
      </c>
      <c r="M26" s="2" t="inlineStr"/>
      <c r="N26" s="10" t="inlineStr">
        <is>
          <t>Medium</t>
        </is>
      </c>
      <c r="O26" s="4" t="inlineStr">
        <is>
          <t>Related Requirement: M07-F06, Business Rules 6.6</t>
        </is>
      </c>
    </row>
    <row r="27" ht="75" customHeight="1">
      <c r="A27" s="7" t="inlineStr">
        <is>
          <t>TC-M07-026</t>
        </is>
      </c>
      <c r="B27" s="7" t="inlineStr">
        <is>
          <t>Module 07 - Training Materials</t>
        </is>
      </c>
      <c r="C27" s="8" t="inlineStr">
        <is>
          <t>M07-F06</t>
        </is>
      </c>
      <c r="D27" s="9" t="inlineStr">
        <is>
          <t>Material Link Attachment</t>
        </is>
      </c>
      <c r="E27" s="9" t="inlineStr">
        <is>
          <t>Attach Material Fails Due to Label Provided with Empty URL</t>
        </is>
      </c>
      <c r="F27" s="9" t="inlineStr">
        <is>
          <t>Verify system displays error when Label is filled but URL is empty.</t>
        </is>
      </c>
      <c r="G27" s="9" t="inlineStr">
        <is>
          <t>User is logged in as Staff.</t>
        </is>
      </c>
      <c r="H27" s="9" t="inlineStr">
        <is>
          <t>Label="Lecture Slides"; Url=""</t>
        </is>
      </c>
      <c r="I27" s="9" t="inlineStr">
        <is>
          <t>1. Enter Label as "Lecture Slides";
2. Leave URL field empty;
3. Click Save button.</t>
        </is>
      </c>
      <c r="J27" s="9" t="inlineStr">
        <is>
          <t>System blocks action.
Validation error appears: "URL is required when Label is specified."</t>
        </is>
      </c>
      <c r="K27" s="9" t="inlineStr"/>
      <c r="L27" s="5" t="inlineStr">
        <is>
          <t>Not Run</t>
        </is>
      </c>
      <c r="M27" s="7" t="inlineStr"/>
      <c r="N27" s="6" t="inlineStr">
        <is>
          <t>High</t>
        </is>
      </c>
      <c r="O27" s="9" t="inlineStr">
        <is>
          <t>Related Requirement: M07-F06, Validation Rules (Section 8)</t>
        </is>
      </c>
    </row>
    <row r="28" ht="75" customHeight="1">
      <c r="A28" s="2" t="inlineStr">
        <is>
          <t>TC-M07-027</t>
        </is>
      </c>
      <c r="B28" s="2" t="inlineStr">
        <is>
          <t>Module 07 - Training Materials</t>
        </is>
      </c>
      <c r="C28" s="3" t="inlineStr">
        <is>
          <t>M07-F06</t>
        </is>
      </c>
      <c r="D28" s="4" t="inlineStr">
        <is>
          <t>Material Link Attachment</t>
        </is>
      </c>
      <c r="E28" s="4" t="inlineStr">
        <is>
          <t>Attach Material Fails Due to URL Provided with Empty Label</t>
        </is>
      </c>
      <c r="F28" s="4" t="inlineStr">
        <is>
          <t>Verify system displays error when URL is filled but Label is empty.</t>
        </is>
      </c>
      <c r="G28" s="4" t="inlineStr">
        <is>
          <t>User is logged in as Staff.</t>
        </is>
      </c>
      <c r="H28" s="4" t="inlineStr">
        <is>
          <t>Label=""; Url="https://drive.google.com/file/d/123/view"</t>
        </is>
      </c>
      <c r="I28" s="4" t="inlineStr">
        <is>
          <t>1. Leave Label field empty;
2. Enter valid Google Drive URL;
3. Click Save button.</t>
        </is>
      </c>
      <c r="J28" s="4" t="inlineStr">
        <is>
          <t>System blocks action.
Validation error appears: "Label is required when URL is specified."</t>
        </is>
      </c>
      <c r="K28" s="4" t="inlineStr"/>
      <c r="L28" s="5" t="inlineStr">
        <is>
          <t>Not Run</t>
        </is>
      </c>
      <c r="M28" s="2" t="inlineStr"/>
      <c r="N28" s="6" t="inlineStr">
        <is>
          <t>High</t>
        </is>
      </c>
      <c r="O28" s="4" t="inlineStr">
        <is>
          <t>Related Requirement: M07-F06, Validation Rules (Section 8)</t>
        </is>
      </c>
    </row>
    <row r="29" ht="75" customHeight="1">
      <c r="A29" s="7" t="inlineStr">
        <is>
          <t>TC-M07-028</t>
        </is>
      </c>
      <c r="B29" s="7" t="inlineStr">
        <is>
          <t>Module 07 - Training Materials</t>
        </is>
      </c>
      <c r="C29" s="8" t="inlineStr">
        <is>
          <t>M07-F06</t>
        </is>
      </c>
      <c r="D29" s="9" t="inlineStr">
        <is>
          <t>Material Link Attachment</t>
        </is>
      </c>
      <c r="E29" s="9" t="inlineStr">
        <is>
          <t>Attach Material Fails Due to Non-Google Drive Link Domain</t>
        </is>
      </c>
      <c r="F29" s="9" t="inlineStr">
        <is>
          <t>Verify system restricts material links to Google Drive domain.</t>
        </is>
      </c>
      <c r="G29" s="9" t="inlineStr">
        <is>
          <t>User is logged in as Staff.</t>
        </is>
      </c>
      <c r="H29" s="9" t="inlineStr">
        <is>
          <t>Label="External Site"; Url="https://example.com/file.pdf"</t>
        </is>
      </c>
      <c r="I29" s="9" t="inlineStr">
        <is>
          <t>1. Enter Label as "External Site";
2. Enter non-Google Drive URL "https://example.com/file.pdf";
3. Click Save button.</t>
        </is>
      </c>
      <c r="J29" s="9" t="inlineStr">
        <is>
          <t>System blocks action.
Validation error appears: "Material link must be a valid Google Drive URL."</t>
        </is>
      </c>
      <c r="K29" s="9" t="inlineStr"/>
      <c r="L29" s="5" t="inlineStr">
        <is>
          <t>Not Run</t>
        </is>
      </c>
      <c r="M29" s="7" t="inlineStr"/>
      <c r="N29" s="6" t="inlineStr">
        <is>
          <t>High</t>
        </is>
      </c>
      <c r="O29" s="9" t="inlineStr">
        <is>
          <t>Related Requirement: M07-F06, Validation Rules (Section 8)</t>
        </is>
      </c>
    </row>
    <row r="30" ht="45" customHeight="1">
      <c r="A30" s="2" t="inlineStr">
        <is>
          <t>TC-M07-029</t>
        </is>
      </c>
      <c r="B30" s="2" t="inlineStr">
        <is>
          <t>Module 07 - Training Materials</t>
        </is>
      </c>
      <c r="C30" s="3" t="inlineStr">
        <is>
          <t>M07-F07</t>
        </is>
      </c>
      <c r="D30" s="4" t="inlineStr">
        <is>
          <t>CSV Export &amp; Import</t>
        </is>
      </c>
      <c r="E30" s="4" t="inlineStr">
        <is>
          <t>Export Session List to CSV File (Export CSV)</t>
        </is>
      </c>
      <c r="F30" s="4" t="inlineStr">
        <is>
          <t>Verify functionality for exporting course session list to a downloadable CSV file.</t>
        </is>
      </c>
      <c r="G30" s="4" t="inlineStr">
        <is>
          <t>User is logged in as Staff.
Course contains sessions.</t>
        </is>
      </c>
      <c r="H30" s="4" t="inlineStr">
        <is>
          <t>CourseName="Web Development"</t>
        </is>
      </c>
      <c r="I30" s="4" t="inlineStr">
        <is>
          <t>1. Open Course "Web Development";
2. Click Export CSV button.</t>
        </is>
      </c>
      <c r="J30" s="4" t="inlineStr">
        <is>
          <t>CSV file downloads successfully containing Session ID, Session Name, and Material details.</t>
        </is>
      </c>
      <c r="K30" s="4" t="inlineStr"/>
      <c r="L30" s="5" t="inlineStr">
        <is>
          <t>Not Run</t>
        </is>
      </c>
      <c r="M30" s="2" t="inlineStr"/>
      <c r="N30" s="6" t="inlineStr">
        <is>
          <t>High</t>
        </is>
      </c>
      <c r="O30" s="4" t="inlineStr">
        <is>
          <t>Related Requirement: M07-F07, Business Rules 6.7</t>
        </is>
      </c>
    </row>
    <row r="31" ht="45" customHeight="1">
      <c r="A31" s="7" t="inlineStr">
        <is>
          <t>TC-M07-030</t>
        </is>
      </c>
      <c r="B31" s="7" t="inlineStr">
        <is>
          <t>Module 07 - Training Materials</t>
        </is>
      </c>
      <c r="C31" s="8" t="inlineStr">
        <is>
          <t>M07-F07</t>
        </is>
      </c>
      <c r="D31" s="9" t="inlineStr">
        <is>
          <t>CSV Export &amp; Import</t>
        </is>
      </c>
      <c r="E31" s="9" t="inlineStr">
        <is>
          <t>Import CSV - Update Information of Existing Session</t>
        </is>
      </c>
      <c r="F31" s="9" t="inlineStr">
        <is>
          <t>Verify importing CSV with matching Session ID updates existing session details.</t>
        </is>
      </c>
      <c r="G31" s="9" t="inlineStr">
        <is>
          <t>User is logged in as Staff.
Session ID "SES-001" exists in system.</t>
        </is>
      </c>
      <c r="H31" s="9" t="inlineStr">
        <is>
          <t>CsvFile="SessionID=SES-001, SessionName=Updated HTML Basics"</t>
        </is>
      </c>
      <c r="I31" s="9" t="inlineStr">
        <is>
          <t>1. Upload CSV containing updated name for SES-001;
2. Click Import CSV button.</t>
        </is>
      </c>
      <c r="J31" s="9" t="inlineStr">
        <is>
          <t>Session SES-001 is updated with new name "Updated HTML Basics".</t>
        </is>
      </c>
      <c r="K31" s="9" t="inlineStr"/>
      <c r="L31" s="5" t="inlineStr">
        <is>
          <t>Not Run</t>
        </is>
      </c>
      <c r="M31" s="7" t="inlineStr"/>
      <c r="N31" s="6" t="inlineStr">
        <is>
          <t>High</t>
        </is>
      </c>
      <c r="O31" s="9" t="inlineStr">
        <is>
          <t>Related Requirement: M07-F07, Business Rules 6.7</t>
        </is>
      </c>
    </row>
    <row r="32" ht="45" customHeight="1">
      <c r="A32" s="2" t="inlineStr">
        <is>
          <t>TC-M07-031</t>
        </is>
      </c>
      <c r="B32" s="2" t="inlineStr">
        <is>
          <t>Module 07 - Training Materials</t>
        </is>
      </c>
      <c r="C32" s="3" t="inlineStr">
        <is>
          <t>M07-F07</t>
        </is>
      </c>
      <c r="D32" s="4" t="inlineStr">
        <is>
          <t>CSV Export &amp; Import</t>
        </is>
      </c>
      <c r="E32" s="4" t="inlineStr">
        <is>
          <t>Import CSV - Create New Session when Session ID Is Blank</t>
        </is>
      </c>
      <c r="F32" s="4" t="inlineStr">
        <is>
          <t>Verify importing CSV row with empty Session ID creates a brand new session.</t>
        </is>
      </c>
      <c r="G32" s="4" t="inlineStr">
        <is>
          <t>User is logged in as Staff.</t>
        </is>
      </c>
      <c r="H32" s="4" t="inlineStr">
        <is>
          <t>CsvFile="SessionID=, SessionName=New CSS Grid Session"</t>
        </is>
      </c>
      <c r="I32" s="4" t="inlineStr">
        <is>
          <t>1. Upload CSV containing blank Session ID row;
2. Click Import CSV button.</t>
        </is>
      </c>
      <c r="J32" s="4" t="inlineStr">
        <is>
          <t>New session "New CSS Grid Session" is created with auto-generated Session ID.</t>
        </is>
      </c>
      <c r="K32" s="4" t="inlineStr"/>
      <c r="L32" s="5" t="inlineStr">
        <is>
          <t>Not Run</t>
        </is>
      </c>
      <c r="M32" s="2" t="inlineStr"/>
      <c r="N32" s="6" t="inlineStr">
        <is>
          <t>High</t>
        </is>
      </c>
      <c r="O32" s="4" t="inlineStr">
        <is>
          <t>Related Requirement: M07-F07, Business Rules 6.7</t>
        </is>
      </c>
    </row>
    <row r="33" ht="45" customHeight="1">
      <c r="A33" s="7" t="inlineStr">
        <is>
          <t>TC-M07-032</t>
        </is>
      </c>
      <c r="B33" s="7" t="inlineStr">
        <is>
          <t>Module 07 - Training Materials</t>
        </is>
      </c>
      <c r="C33" s="8" t="inlineStr">
        <is>
          <t>M07-F07</t>
        </is>
      </c>
      <c r="D33" s="9" t="inlineStr">
        <is>
          <t>CSV Export &amp; Import</t>
        </is>
      </c>
      <c r="E33" s="9" t="inlineStr">
        <is>
          <t>Import CSV - Create New Session when Session ID Does Not Exist in System</t>
        </is>
      </c>
      <c r="F33" s="9" t="inlineStr">
        <is>
          <t>Verify importing CSV row with non-existent Session ID creates a new session.</t>
        </is>
      </c>
      <c r="G33" s="9" t="inlineStr">
        <is>
          <t>User is logged in as Staff.
Session ID "SES-999" does not exist.</t>
        </is>
      </c>
      <c r="H33" s="9" t="inlineStr">
        <is>
          <t>CsvFile="SessionID=SES-999, SessionName=Flexbox Guide"</t>
        </is>
      </c>
      <c r="I33" s="9" t="inlineStr">
        <is>
          <t>1. Upload CSV containing non-existent Session ID;
2. Click Import CSV button.</t>
        </is>
      </c>
      <c r="J33" s="9" t="inlineStr">
        <is>
          <t>New session "Flexbox Guide" is created in system.</t>
        </is>
      </c>
      <c r="K33" s="9" t="inlineStr"/>
      <c r="L33" s="5" t="inlineStr">
        <is>
          <t>Not Run</t>
        </is>
      </c>
      <c r="M33" s="7" t="inlineStr"/>
      <c r="N33" s="10" t="inlineStr">
        <is>
          <t>Medium</t>
        </is>
      </c>
      <c r="O33" s="9" t="inlineStr">
        <is>
          <t>Related Requirement: M07-F07, Business Rules 6.7</t>
        </is>
      </c>
    </row>
    <row r="34" ht="45" customHeight="1">
      <c r="A34" s="2" t="inlineStr">
        <is>
          <t>TC-M07-033</t>
        </is>
      </c>
      <c r="B34" s="2" t="inlineStr">
        <is>
          <t>Module 07 - Training Materials</t>
        </is>
      </c>
      <c r="C34" s="3" t="inlineStr">
        <is>
          <t>M07-F07</t>
        </is>
      </c>
      <c r="D34" s="4" t="inlineStr">
        <is>
          <t>CSV Export &amp; Import</t>
        </is>
      </c>
      <c r="E34" s="4" t="inlineStr">
        <is>
          <t>Import CSV - Existing Sessions Omitted from CSV Are Retained</t>
        </is>
      </c>
      <c r="F34" s="4" t="inlineStr">
        <is>
          <t>Verify importing CSV does not delete existing sessions that are absent from the CSV file.</t>
        </is>
      </c>
      <c r="G34" s="4" t="inlineStr">
        <is>
          <t>User is logged in as Staff.
Sessions SES-001 and SES-002 exist.</t>
        </is>
      </c>
      <c r="H34" s="4" t="inlineStr">
        <is>
          <t>CsvFile="SessionID=SES-001, SessionName=HTML Basics"</t>
        </is>
      </c>
      <c r="I34" s="4" t="inlineStr">
        <is>
          <t>1. Upload CSV containing only SES-001;
2. Perform CSV import.</t>
        </is>
      </c>
      <c r="J34" s="4" t="inlineStr">
        <is>
          <t>SES-001 is processed, and omitted session SES-002 remains unchanged in system without being deleted.</t>
        </is>
      </c>
      <c r="K34" s="4" t="inlineStr"/>
      <c r="L34" s="5" t="inlineStr">
        <is>
          <t>Not Run</t>
        </is>
      </c>
      <c r="M34" s="2" t="inlineStr"/>
      <c r="N34" s="6" t="inlineStr">
        <is>
          <t>High</t>
        </is>
      </c>
      <c r="O34" s="4" t="inlineStr">
        <is>
          <t>Related Requirement: M07-F07, Business Rules 6.7</t>
        </is>
      </c>
    </row>
    <row r="35" ht="45" customHeight="1">
      <c r="A35" s="7" t="inlineStr">
        <is>
          <t>TC-M07-034</t>
        </is>
      </c>
      <c r="B35" s="7" t="inlineStr">
        <is>
          <t>Module 07 - Training Materials</t>
        </is>
      </c>
      <c r="C35" s="8" t="inlineStr">
        <is>
          <t>M07-F07</t>
        </is>
      </c>
      <c r="D35" s="9" t="inlineStr">
        <is>
          <t>CSV Export &amp; Import</t>
        </is>
      </c>
      <c r="E35" s="9" t="inlineStr">
        <is>
          <t>Import CSV - Skip Materials Column in Uploaded CSV File</t>
        </is>
      </c>
      <c r="F35" s="9" t="inlineStr">
        <is>
          <t>Verify system ignores Materials column when importing session CSV file.</t>
        </is>
      </c>
      <c r="G35" s="9" t="inlineStr">
        <is>
          <t>User is logged in as Staff.</t>
        </is>
      </c>
      <c r="H35" s="9" t="inlineStr">
        <is>
          <t>CsvFile="SessionID=SES-001, SessionName=HTML, Materials=http://..."</t>
        </is>
      </c>
      <c r="I35" s="9" t="inlineStr">
        <is>
          <t>1. Upload CSV containing Materials column;
2. Click Import CSV button.</t>
        </is>
      </c>
      <c r="J35" s="9" t="inlineStr">
        <is>
          <t>Sessions are updated/created, and Materials column is safely ignored per business rule.</t>
        </is>
      </c>
      <c r="K35" s="9" t="inlineStr"/>
      <c r="L35" s="5" t="inlineStr">
        <is>
          <t>Not Run</t>
        </is>
      </c>
      <c r="M35" s="7" t="inlineStr"/>
      <c r="N35" s="10" t="inlineStr">
        <is>
          <t>Medium</t>
        </is>
      </c>
      <c r="O35" s="9" t="inlineStr">
        <is>
          <t>Related Requirement: M07-F07, Business Rules 6.7</t>
        </is>
      </c>
    </row>
    <row r="36" ht="60" customHeight="1">
      <c r="A36" s="2" t="inlineStr">
        <is>
          <t>TC-M07-035</t>
        </is>
      </c>
      <c r="B36" s="2" t="inlineStr">
        <is>
          <t>Module 07 - Training Materials</t>
        </is>
      </c>
      <c r="C36" s="3" t="inlineStr">
        <is>
          <t>M07-F07</t>
        </is>
      </c>
      <c r="D36" s="4" t="inlineStr">
        <is>
          <t>CSV Export &amp; Import</t>
        </is>
      </c>
      <c r="E36" s="4" t="inlineStr">
        <is>
          <t>Import CSV Fails Due to Incorrect File Format (Non-CSV File)</t>
        </is>
      </c>
      <c r="F36" s="4" t="inlineStr">
        <is>
          <t>Verify system rejects non-CSV file formats during import.</t>
        </is>
      </c>
      <c r="G36" s="4" t="inlineStr">
        <is>
          <t>User is logged in as Staff.</t>
        </is>
      </c>
      <c r="H36" s="4" t="inlineStr">
        <is>
          <t>FileName="materials.pdf"</t>
        </is>
      </c>
      <c r="I36" s="4" t="inlineStr">
        <is>
          <t>1. Select non-CSV file "materials.pdf" in import dialog;
2. Click Import CSV button.</t>
        </is>
      </c>
      <c r="J36" s="4" t="inlineStr">
        <is>
          <t>System blocks import.
Error message appears: "Invalid file format. Please upload a CSV file."</t>
        </is>
      </c>
      <c r="K36" s="4" t="inlineStr"/>
      <c r="L36" s="5" t="inlineStr">
        <is>
          <t>Not Run</t>
        </is>
      </c>
      <c r="M36" s="2" t="inlineStr"/>
      <c r="N36" s="6" t="inlineStr">
        <is>
          <t>High</t>
        </is>
      </c>
      <c r="O36" s="4" t="inlineStr">
        <is>
          <t>Related Requirement: M07-F07, Validation Rules (Section 8)</t>
        </is>
      </c>
    </row>
    <row r="37" ht="60" customHeight="1">
      <c r="A37" s="7" t="inlineStr">
        <is>
          <t>TC-M07-036</t>
        </is>
      </c>
      <c r="B37" s="7" t="inlineStr">
        <is>
          <t>Module 07 - Training Materials</t>
        </is>
      </c>
      <c r="C37" s="8" t="inlineStr">
        <is>
          <t>M07-F07</t>
        </is>
      </c>
      <c r="D37" s="9" t="inlineStr">
        <is>
          <t>CSV Export &amp; Import</t>
        </is>
      </c>
      <c r="E37" s="9" t="inlineStr">
        <is>
          <t>Import CSV Fails for Rows Missing Session Name</t>
        </is>
      </c>
      <c r="F37" s="9" t="inlineStr">
        <is>
          <t>Verify system skips or flags error for CSV rows missing mandatory Session Name.</t>
        </is>
      </c>
      <c r="G37" s="9" t="inlineStr">
        <is>
          <t>User is logged in as Staff.</t>
        </is>
      </c>
      <c r="H37" s="9" t="inlineStr">
        <is>
          <t>CsvFile="SessionID=SES-003, SessionName="</t>
        </is>
      </c>
      <c r="I37" s="9" t="inlineStr">
        <is>
          <t>1. Upload CSV containing row with empty Session Name;
2. Click Import CSV button.</t>
        </is>
      </c>
      <c r="J37" s="9" t="inlineStr">
        <is>
          <t>System flags error for row or skips invalid row with warning message: "Session Name is required."</t>
        </is>
      </c>
      <c r="K37" s="9" t="inlineStr"/>
      <c r="L37" s="5" t="inlineStr">
        <is>
          <t>Not Run</t>
        </is>
      </c>
      <c r="M37" s="7" t="inlineStr"/>
      <c r="N37" s="6" t="inlineStr">
        <is>
          <t>High</t>
        </is>
      </c>
      <c r="O37" s="9" t="inlineStr">
        <is>
          <t>Related Requirement: M07-F07, Validation Rules (Section 8)</t>
        </is>
      </c>
    </row>
    <row r="38" ht="60" customHeight="1">
      <c r="A38" s="2" t="inlineStr">
        <is>
          <t>TC-M07-037</t>
        </is>
      </c>
      <c r="B38" s="2" t="inlineStr">
        <is>
          <t>Module 07 - Training Materials</t>
        </is>
      </c>
      <c r="C38" s="3" t="inlineStr">
        <is>
          <t>M07-F08</t>
        </is>
      </c>
      <c r="D38" s="4" t="inlineStr">
        <is>
          <t>Role Permissions &amp; Access Control</t>
        </is>
      </c>
      <c r="E38" s="4" t="inlineStr">
        <is>
          <t>Access Control - Staff Role Has Full Management Access</t>
        </is>
      </c>
      <c r="F38" s="4" t="inlineStr">
        <is>
          <t>Verify Staff users have full CRUD permissions for categories, courses, sessions, exams, and materials.</t>
        </is>
      </c>
      <c r="G38" s="4" t="inlineStr">
        <is>
          <t>User is logged in as Staff.</t>
        </is>
      </c>
      <c r="H38" s="4" t="inlineStr">
        <is>
          <t>StaffEmail="staff@passerellesnumeriques.org"</t>
        </is>
      </c>
      <c r="I38" s="4" t="inlineStr">
        <is>
          <t>1. Access Training Materials module;
2. Verify presence of Create, Edit, Archive, and Delete buttons.</t>
        </is>
      </c>
      <c r="J38" s="4" t="inlineStr">
        <is>
          <t>Staff user can perform all management operations cleanly.</t>
        </is>
      </c>
      <c r="K38" s="4" t="inlineStr"/>
      <c r="L38" s="5" t="inlineStr">
        <is>
          <t>Not Run</t>
        </is>
      </c>
      <c r="M38" s="2" t="inlineStr"/>
      <c r="N38" s="6" t="inlineStr">
        <is>
          <t>High</t>
        </is>
      </c>
      <c r="O38" s="4" t="inlineStr">
        <is>
          <t>Related Requirement: M07-F08, User Roles</t>
        </is>
      </c>
    </row>
    <row r="39" ht="75" customHeight="1">
      <c r="A39" s="7" t="inlineStr">
        <is>
          <t>TC-M07-038</t>
        </is>
      </c>
      <c r="B39" s="7" t="inlineStr">
        <is>
          <t>Module 07 - Training Materials</t>
        </is>
      </c>
      <c r="C39" s="8" t="inlineStr">
        <is>
          <t>M07-F08</t>
        </is>
      </c>
      <c r="D39" s="9" t="inlineStr">
        <is>
          <t>Role Permissions &amp; Access Control</t>
        </is>
      </c>
      <c r="E39" s="9" t="inlineStr">
        <is>
          <t>Access Control - Student Role Has Read-Only Access</t>
        </is>
      </c>
      <c r="F39" s="9" t="inlineStr">
        <is>
          <t>Verify Student users can view training materials but cannot create, edit, or delete items.</t>
        </is>
      </c>
      <c r="G39" s="9" t="inlineStr">
        <is>
          <t>User is logged in as Student.</t>
        </is>
      </c>
      <c r="H39" s="9" t="inlineStr">
        <is>
          <t>StudentEmail="student@student.passerellesnumeriques.org"</t>
        </is>
      </c>
      <c r="I39" s="9" t="inlineStr">
        <is>
          <t>1. Access Training Materials module as Student;
2. Check for management buttons.</t>
        </is>
      </c>
      <c r="J39" s="9" t="inlineStr">
        <is>
          <t>Create, Edit, Archive, Delete, and CSV Import buttons are completely hidden.
Student can view and open material links in Read-Only mode.</t>
        </is>
      </c>
      <c r="K39" s="9" t="inlineStr"/>
      <c r="L39" s="5" t="inlineStr">
        <is>
          <t>Not Run</t>
        </is>
      </c>
      <c r="M39" s="7" t="inlineStr"/>
      <c r="N39" s="6" t="inlineStr">
        <is>
          <t>High</t>
        </is>
      </c>
      <c r="O39" s="9" t="inlineStr">
        <is>
          <t>Related Requirement: M07-F08, User Roles</t>
        </is>
      </c>
    </row>
    <row r="40" ht="30" customHeight="1">
      <c r="A40" s="2" t="inlineStr">
        <is>
          <t>TC-M07-039</t>
        </is>
      </c>
      <c r="B40" s="2" t="inlineStr">
        <is>
          <t>Module 07 - Training Materials</t>
        </is>
      </c>
      <c r="C40" s="3" t="inlineStr">
        <is>
          <t>M07-F08</t>
        </is>
      </c>
      <c r="D40" s="4" t="inlineStr">
        <is>
          <t>Role Permissions &amp; Access Control</t>
        </is>
      </c>
      <c r="E40" s="4" t="inlineStr">
        <is>
          <t>Access Control - External Domain Accounts Are Denied Access</t>
        </is>
      </c>
      <c r="F40" s="4" t="inlineStr">
        <is>
          <t>Verify accounts outside organizational domains are denied access.</t>
        </is>
      </c>
      <c r="G40" s="4" t="inlineStr">
        <is>
          <t>User attempts access with external personal account.</t>
        </is>
      </c>
      <c r="H40" s="4" t="inlineStr">
        <is>
          <t>UserEmail="user@gmail.com"</t>
        </is>
      </c>
      <c r="I40" s="4" t="inlineStr">
        <is>
          <t>1. Attempt to access Training Materials URL with external email.</t>
        </is>
      </c>
      <c r="J40" s="4" t="inlineStr">
        <is>
          <t>Access denied page or login redirect is displayed.</t>
        </is>
      </c>
      <c r="K40" s="4" t="inlineStr"/>
      <c r="L40" s="5" t="inlineStr">
        <is>
          <t>Not Run</t>
        </is>
      </c>
      <c r="M40" s="2" t="inlineStr"/>
      <c r="N40" s="6" t="inlineStr">
        <is>
          <t>High</t>
        </is>
      </c>
      <c r="O40" s="4" t="inlineStr">
        <is>
          <t>Related Requirement: M07-F08, User Roles</t>
        </is>
      </c>
    </row>
    <row r="41" ht="60" customHeight="1">
      <c r="A41" s="7" t="inlineStr">
        <is>
          <t>TC-M07-040</t>
        </is>
      </c>
      <c r="B41" s="7" t="inlineStr">
        <is>
          <t>Module 07 - Training Materials</t>
        </is>
      </c>
      <c r="C41" s="8" t="inlineStr">
        <is>
          <t>M07-F03</t>
        </is>
      </c>
      <c r="D41" s="9" t="inlineStr">
        <is>
          <t>Course Management</t>
        </is>
      </c>
      <c r="E41" s="9" t="inlineStr">
        <is>
          <t>Verify Auto-hiding All Child Sessions/Exams When Course Is Archived</t>
        </is>
      </c>
      <c r="F41" s="9" t="inlineStr">
        <is>
          <t>Verify archiving a course automatically hides all nested sessions and exams.</t>
        </is>
      </c>
      <c r="G41" s="9" t="inlineStr">
        <is>
          <t>User is logged in as Staff.
Course "Web Development" contains 3 sessions and 1 exam.</t>
        </is>
      </c>
      <c r="H41" s="9" t="inlineStr">
        <is>
          <t>CourseName="Web Development"</t>
        </is>
      </c>
      <c r="I41" s="9" t="inlineStr">
        <is>
          <t>1. Archive course "Web Development";
2. View course list as Student.</t>
        </is>
      </c>
      <c r="J41" s="9" t="inlineStr">
        <is>
          <t>Course and all its child sessions and exams are hidden from active view.</t>
        </is>
      </c>
      <c r="K41" s="9" t="inlineStr"/>
      <c r="L41" s="5" t="inlineStr">
        <is>
          <t>Not Run</t>
        </is>
      </c>
      <c r="M41" s="7" t="inlineStr"/>
      <c r="N41" s="6" t="inlineStr">
        <is>
          <t>High</t>
        </is>
      </c>
      <c r="O41" s="9" t="inlineStr">
        <is>
          <t>Related Requirement: M07-F03, Business Rules 6.3</t>
        </is>
      </c>
    </row>
    <row r="42" ht="45" customHeight="1">
      <c r="A42" s="2" t="inlineStr">
        <is>
          <t>TC-M07-041</t>
        </is>
      </c>
      <c r="B42" s="2" t="inlineStr">
        <is>
          <t>Module 07 - Training Materials</t>
        </is>
      </c>
      <c r="C42" s="3" t="inlineStr">
        <is>
          <t>M07-F03</t>
        </is>
      </c>
      <c r="D42" s="4" t="inlineStr">
        <is>
          <t>Course Management</t>
        </is>
      </c>
      <c r="E42" s="4" t="inlineStr">
        <is>
          <t>Verify Restoring All Child Sessions/Exams When Course Is Restored</t>
        </is>
      </c>
      <c r="F42" s="4" t="inlineStr">
        <is>
          <t>Verify restoring an archived course restores visibility of all nested sessions and exams.</t>
        </is>
      </c>
      <c r="G42" s="4" t="inlineStr">
        <is>
          <t>User is logged in as Staff.
Course "Web Development" is Archived.</t>
        </is>
      </c>
      <c r="H42" s="4" t="inlineStr">
        <is>
          <t>CourseName="Web Development"</t>
        </is>
      </c>
      <c r="I42" s="4" t="inlineStr">
        <is>
          <t>1. Restore course "Web Development";
2. View active course list.</t>
        </is>
      </c>
      <c r="J42" s="4" t="inlineStr">
        <is>
          <t>Course and all child sessions and exams reappear in active view.</t>
        </is>
      </c>
      <c r="K42" s="4" t="inlineStr"/>
      <c r="L42" s="5" t="inlineStr">
        <is>
          <t>Not Run</t>
        </is>
      </c>
      <c r="M42" s="2" t="inlineStr"/>
      <c r="N42" s="6" t="inlineStr">
        <is>
          <t>High</t>
        </is>
      </c>
      <c r="O42" s="4" t="inlineStr">
        <is>
          <t>Related Requirement: M07-F03, Business Rules 6.3</t>
        </is>
      </c>
    </row>
  </sheetData>
  <autoFilter ref="A1:O42"/>
  <dataValidations count="2">
    <dataValidation sqref="L2:L142" showDropDown="0" showInputMessage="0" showErrorMessage="0" allowBlank="1" errorTitle="Invalid Status" error="Please select a valid state: Passed, Failed, or Not Run" type="list">
      <formula1>"Passed,Failed,Not Run"</formula1>
    </dataValidation>
    <dataValidation sqref="N2:N142" showDropDown="0" showInputMessage="0" showErrorMessage="0" allowBlank="1" errorTitle="Invalid Priority" error="Please select a valid priority: High, Medium, or Low" type="list">
      <formula1>"High,Medium,Low"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2026-07-24T04:11:16Z</dcterms:created>
  <dcterms:modified xmlns:dcterms="http://purl.org/dc/terms/" xmlns:xsi="http://www.w3.org/2001/XMLSchema-instance" xsi:type="dcterms:W3CDTF">2026-07-24T04:11:17Z</dcterms:modified>
</cp:coreProperties>
</file>