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1" autoFilterDateGrouping="1"/>
  </bookViews>
  <sheets>
    <sheet name="Report" sheetId="1" state="visible" r:id="rId1"/>
    <sheet name="Module07" sheetId="2" state="visible" r:id="rId2"/>
  </sheets>
  <definedNames>
    <definedName name="_xlnm._FilterDatabase" localSheetId="1" hidden="1">'Module07'!$A$1:$N$41</definedName>
  </definedNames>
  <calcPr calcId="191029" fullCalcOnLoad="1"/>
</workbook>
</file>

<file path=xl/styles.xml><?xml version="1.0" encoding="utf-8"?>
<styleSheet xmlns="http://schemas.openxmlformats.org/spreadsheetml/2006/main">
  <numFmts count="0"/>
  <fonts count="34">
    <font>
      <name val="Calibri"/>
      <family val="2"/>
      <color theme="1"/>
      <sz val="11"/>
      <scheme val="minor"/>
    </font>
    <font>
      <name val="Segoe UI"/>
      <b val="1"/>
      <color rgb="FFFFFFFF"/>
      <sz val="11"/>
    </font>
    <font>
      <name val="Segoe UI"/>
      <color rgb="FF000000"/>
      <sz val="10"/>
    </font>
    <font>
      <name val="Segoe UI"/>
      <b val="1"/>
      <color rgb="FF1F4E78"/>
      <sz val="10"/>
    </font>
    <font>
      <name val="Segoe UI"/>
      <b val="1"/>
      <color rgb="FF64748B"/>
      <sz val="10"/>
    </font>
    <font>
      <name val="Segoe UI"/>
      <b val="1"/>
      <color rgb="FFA50E0E"/>
      <sz val="10"/>
    </font>
    <font>
      <name val="Segoe UI"/>
      <b val="1"/>
      <color rgb="FFB06000"/>
      <sz val="10"/>
    </font>
    <font>
      <name val="Segoe UI"/>
      <b val="1"/>
      <color rgb="FF1F4E78"/>
      <sz val="16"/>
    </font>
    <font>
      <name val="Segoe UI"/>
      <i val="1"/>
      <color rgb="FF555555"/>
      <sz val="10"/>
    </font>
    <font>
      <name val="Segoe UI"/>
      <b val="1"/>
      <color rgb="FF137333"/>
      <sz val="10"/>
    </font>
    <font>
      <name val="Segoe UI"/>
      <b val="1"/>
      <color rgb="FF000000"/>
      <sz val="10"/>
    </font>
    <font>
      <name val="Segoe UI"/>
      <b val="1"/>
      <color rgb="FF64748B"/>
      <sz val="9"/>
    </font>
    <font>
      <name val="Segoe UI"/>
      <b val="1"/>
      <color rgb="FF1E293B"/>
      <sz val="18"/>
    </font>
    <font>
      <name val="Segoe UI"/>
      <b val="1"/>
      <color rgb="FF1F4E78"/>
      <sz val="18"/>
    </font>
    <font>
      <name val="Segoe UI"/>
      <b val="1"/>
      <color rgb="FFA50E0E"/>
      <sz val="18"/>
    </font>
    <font>
      <name val="Segoe UI"/>
      <b val="1"/>
      <color rgb="FFB06000"/>
      <sz val="18"/>
    </font>
    <font>
      <name val="Segoe UI"/>
      <b val="1"/>
      <color rgb="FF137333"/>
      <sz val="18"/>
    </font>
    <font>
      <name val="Segoe UI"/>
      <b val="1"/>
      <color rgb="FF1F4E78"/>
      <sz val="12"/>
    </font>
    <font>
      <name val="Segoe UI"/>
      <b val="1"/>
      <color rgb="00137333"/>
      <sz val="10"/>
    </font>
    <font>
      <name val="Segoe UI"/>
      <b val="1"/>
      <color rgb="00A50E0E"/>
      <sz val="10"/>
    </font>
    <font>
      <name val="Segoe UI"/>
      <b val="1"/>
      <color rgb="001F4E78"/>
      <sz val="16"/>
    </font>
    <font>
      <name val="Segoe UI"/>
      <i val="1"/>
      <color rgb="00555555"/>
      <sz val="10"/>
    </font>
    <font>
      <name val="Segoe UI"/>
      <b val="1"/>
      <color rgb="00FFFFFF"/>
      <sz val="11"/>
    </font>
    <font>
      <name val="Segoe UI"/>
      <color rgb="00000000"/>
      <sz val="10"/>
    </font>
    <font>
      <name val="Segoe UI"/>
      <b val="1"/>
      <color rgb="001F4E78"/>
      <sz val="10"/>
    </font>
    <font>
      <name val="Segoe UI"/>
      <b val="1"/>
      <color rgb="00B06000"/>
      <sz val="10"/>
    </font>
    <font>
      <name val="Segoe UI"/>
      <b val="1"/>
      <color rgb="00000000"/>
      <sz val="10"/>
    </font>
    <font>
      <name val="Segoe UI"/>
      <b val="1"/>
      <color rgb="0064748B"/>
      <sz val="9"/>
    </font>
    <font>
      <name val="Segoe UI"/>
      <b val="1"/>
      <color rgb="001E293B"/>
      <sz val="18"/>
    </font>
    <font>
      <name val="Segoe UI"/>
      <b val="1"/>
      <color rgb="001F4E78"/>
      <sz val="18"/>
    </font>
    <font>
      <name val="Segoe UI"/>
      <b val="1"/>
      <color rgb="00A50E0E"/>
      <sz val="18"/>
    </font>
    <font>
      <name val="Segoe UI"/>
      <b val="1"/>
      <color rgb="00B06000"/>
      <sz val="18"/>
    </font>
    <font>
      <name val="Segoe UI"/>
      <b val="1"/>
      <color rgb="00137333"/>
      <sz val="18"/>
    </font>
    <font>
      <name val="Segoe UI"/>
      <b val="1"/>
      <color rgb="001F4E78"/>
      <sz val="12"/>
    </font>
  </fonts>
  <fills count="16">
    <fill>
      <patternFill/>
    </fill>
    <fill>
      <patternFill patternType="gray125"/>
    </fill>
    <fill>
      <patternFill patternType="solid">
        <fgColor rgb="FF1F4E78"/>
        <bgColor rgb="FF1F4E78"/>
      </patternFill>
    </fill>
    <fill>
      <patternFill patternType="solid">
        <fgColor rgb="FFF1F5F9"/>
        <bgColor rgb="FFF1F5F9"/>
      </patternFill>
    </fill>
    <fill>
      <patternFill patternType="solid">
        <fgColor rgb="FFFCE8E6"/>
        <bgColor rgb="FFFCE8E6"/>
      </patternFill>
    </fill>
    <fill>
      <patternFill patternType="solid">
        <fgColor rgb="FFF8FAFC"/>
        <bgColor rgb="FFF8FAFC"/>
      </patternFill>
    </fill>
    <fill>
      <patternFill patternType="solid">
        <fgColor rgb="FFFEF7E0"/>
        <bgColor rgb="FFFEF7E0"/>
      </patternFill>
    </fill>
    <fill>
      <patternFill patternType="solid">
        <fgColor rgb="FFE2E8F0"/>
        <bgColor rgb="FFE2E8F0"/>
      </patternFill>
    </fill>
    <fill>
      <patternFill patternType="solid">
        <fgColor rgb="FFE6F4EA"/>
        <bgColor rgb="FFE6F4EA"/>
      </patternFill>
    </fill>
    <fill>
      <patternFill patternType="solid">
        <fgColor rgb="00E6F4EA"/>
        <bgColor rgb="00E6F4EA"/>
      </patternFill>
    </fill>
    <fill>
      <patternFill patternType="solid">
        <fgColor rgb="00FCE8E6"/>
        <bgColor rgb="00FCE8E6"/>
      </patternFill>
    </fill>
    <fill>
      <patternFill patternType="solid">
        <fgColor rgb="001F4E78"/>
        <bgColor rgb="001F4E78"/>
      </patternFill>
    </fill>
    <fill>
      <patternFill patternType="solid">
        <fgColor rgb="00F8FAFC"/>
        <bgColor rgb="00F8FAFC"/>
      </patternFill>
    </fill>
    <fill>
      <patternFill patternType="solid">
        <fgColor rgb="00E2E8F0"/>
        <bgColor rgb="00E2E8F0"/>
      </patternFill>
    </fill>
    <fill>
      <patternFill patternType="solid">
        <fgColor rgb="00F1F5F9"/>
        <bgColor rgb="00F1F5F9"/>
      </patternFill>
    </fill>
    <fill>
      <patternFill patternType="solid">
        <fgColor rgb="00FEF7E0"/>
        <bgColor rgb="00FEF7E0"/>
      </patternFill>
    </fill>
  </fills>
  <borders count="7">
    <border>
      <left/>
      <right/>
      <top/>
      <bottom/>
      <diagonal/>
    </border>
    <border>
      <left style="thin">
        <color rgb="FFCBD5E1"/>
      </left>
      <right style="thin">
        <color rgb="FFCBD5E1"/>
      </right>
      <top style="thin">
        <color rgb="FFCBD5E1"/>
      </top>
      <bottom style="thin">
        <color rgb="FFCBD5E1"/>
      </bottom>
      <diagonal/>
    </border>
    <border>
      <left style="thin">
        <color rgb="FFCBD5E1"/>
      </left>
      <right style="thin">
        <color rgb="FFCBD5E1"/>
      </right>
      <top style="medium">
        <color rgb="FF1E293B"/>
      </top>
      <bottom style="double">
        <color rgb="FF1E293B"/>
      </bottom>
      <diagonal/>
    </border>
    <border>
      <left style="thin">
        <color rgb="FFCBD5E1"/>
      </left>
      <right style="thin">
        <color rgb="FFCBD5E1"/>
      </right>
      <top/>
      <bottom/>
      <diagonal/>
    </border>
    <border>
      <left style="thin">
        <color rgb="FFCBD5E1"/>
      </left>
      <right/>
      <top/>
      <bottom/>
      <diagonal/>
    </border>
    <border>
      <left style="thin">
        <color rgb="00CBD5E1"/>
      </left>
      <right style="thin">
        <color rgb="00CBD5E1"/>
      </right>
      <top style="thin">
        <color rgb="00CBD5E1"/>
      </top>
      <bottom style="thin">
        <color rgb="00CBD5E1"/>
      </bottom>
    </border>
    <border>
      <left style="thin">
        <color rgb="00CBD5E1"/>
      </left>
      <right style="thin">
        <color rgb="00CBD5E1"/>
      </right>
      <top style="medium">
        <color rgb="001E293B"/>
      </top>
      <bottom style="double">
        <color rgb="001E293B"/>
      </bottom>
    </border>
  </borders>
  <cellStyleXfs count="1">
    <xf numFmtId="0" fontId="0" fillId="0" borderId="0"/>
  </cellStyleXfs>
  <cellXfs count="6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3"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3" borderId="1" applyAlignment="1" pivotButton="0" quotePrefix="0" xfId="0">
      <alignment horizontal="center" vertical="top" wrapText="1"/>
    </xf>
    <xf numFmtId="0" fontId="5" fillId="4" borderId="1" applyAlignment="1" pivotButton="0" quotePrefix="0" xfId="0">
      <alignment horizontal="center" vertical="top" wrapText="1"/>
    </xf>
    <xf numFmtId="0" fontId="2" fillId="5" borderId="1" applyAlignment="1" pivotButton="0" quotePrefix="0" xfId="0">
      <alignment horizontal="center" vertical="top" wrapText="1"/>
    </xf>
    <xf numFmtId="0" fontId="3" fillId="5" borderId="1" applyAlignment="1" pivotButton="0" quotePrefix="0" xfId="0">
      <alignment horizontal="center" vertical="top" wrapText="1"/>
    </xf>
    <xf numFmtId="0" fontId="2" fillId="5" borderId="1" applyAlignment="1" pivotButton="0" quotePrefix="0" xfId="0">
      <alignment horizontal="left" vertical="top" wrapText="1"/>
    </xf>
    <xf numFmtId="0" fontId="6" fillId="6" borderId="1" applyAlignment="1" pivotButton="0" quotePrefix="0" xfId="0">
      <alignment horizontal="center" vertical="top" wrapText="1"/>
    </xf>
    <xf numFmtId="0" fontId="7" fillId="0" borderId="0" pivotButton="0" quotePrefix="0" xfId="0"/>
    <xf numFmtId="0" fontId="8" fillId="0" borderId="0" pivotButton="0" quotePrefix="0" xfId="0"/>
    <xf numFmtId="0" fontId="11" fillId="0" borderId="0" applyAlignment="1" pivotButton="0" quotePrefix="0" xfId="0">
      <alignment horizontal="center" vertical="center"/>
    </xf>
    <xf numFmtId="0" fontId="12" fillId="3" borderId="1" applyAlignment="1" pivotButton="0" quotePrefix="0" xfId="0">
      <alignment horizontal="center" vertical="center"/>
    </xf>
    <xf numFmtId="0" fontId="13" fillId="7" borderId="1" applyAlignment="1" pivotButton="0" quotePrefix="0" xfId="0">
      <alignment horizontal="center" vertical="center"/>
    </xf>
    <xf numFmtId="0" fontId="14" fillId="4" borderId="1" applyAlignment="1" pivotButton="0" quotePrefix="0" xfId="0">
      <alignment horizontal="center" vertical="center"/>
    </xf>
    <xf numFmtId="0" fontId="15" fillId="6" borderId="1" applyAlignment="1" pivotButton="0" quotePrefix="0" xfId="0">
      <alignment horizontal="center" vertical="center"/>
    </xf>
    <xf numFmtId="0" fontId="16" fillId="8" borderId="1" applyAlignment="1" pivotButton="0" quotePrefix="0" xfId="0">
      <alignment horizontal="center" vertical="center"/>
    </xf>
    <xf numFmtId="0" fontId="17"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left" vertical="center"/>
    </xf>
    <xf numFmtId="0" fontId="3" fillId="5" borderId="1" applyAlignment="1" pivotButton="0" quotePrefix="0" xfId="0">
      <alignment horizontal="center" vertical="center"/>
    </xf>
    <xf numFmtId="0" fontId="2" fillId="5" borderId="1" applyAlignment="1" pivotButton="0" quotePrefix="0" xfId="0">
      <alignment horizontal="left" vertical="center"/>
    </xf>
    <xf numFmtId="0" fontId="5" fillId="5" borderId="1" applyAlignment="1" pivotButton="0" quotePrefix="0" xfId="0">
      <alignment horizontal="center" vertical="center"/>
    </xf>
    <xf numFmtId="0" fontId="6" fillId="5" borderId="1" applyAlignment="1" pivotButton="0" quotePrefix="0" xfId="0">
      <alignment horizontal="center" vertical="center"/>
    </xf>
    <xf numFmtId="0" fontId="9" fillId="5" borderId="1" applyAlignment="1" pivotButton="0" quotePrefix="0" xfId="0">
      <alignment horizontal="center" vertical="center"/>
    </xf>
    <xf numFmtId="0" fontId="2" fillId="5" borderId="1" applyAlignment="1" pivotButton="0" quotePrefix="0" xfId="0">
      <alignment horizontal="center" vertical="center"/>
    </xf>
    <xf numFmtId="0" fontId="3"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2" fillId="0" borderId="1" applyAlignment="1" pivotButton="0" quotePrefix="0" xfId="0">
      <alignment horizontal="center" vertical="center"/>
    </xf>
    <xf numFmtId="0" fontId="10" fillId="7" borderId="2" applyAlignment="1" pivotButton="0" quotePrefix="0" xfId="0">
      <alignment horizontal="center" vertical="center"/>
    </xf>
    <xf numFmtId="0" fontId="10" fillId="7" borderId="2" applyAlignment="1" pivotButton="0" quotePrefix="0" xfId="0">
      <alignment horizontal="left" vertical="center"/>
    </xf>
    <xf numFmtId="0" fontId="2" fillId="5" borderId="3" applyAlignment="1" pivotButton="0" quotePrefix="0" xfId="0">
      <alignment horizontal="left" vertical="top" wrapText="1"/>
    </xf>
    <xf numFmtId="0" fontId="2" fillId="0" borderId="3" applyAlignment="1" pivotButton="0" quotePrefix="0" xfId="0">
      <alignment horizontal="left" vertical="top" wrapText="1"/>
    </xf>
    <xf numFmtId="0" fontId="2" fillId="0" borderId="4" applyAlignment="1" pivotButton="0" quotePrefix="0" xfId="0">
      <alignment horizontal="left" vertical="top" wrapText="1"/>
    </xf>
    <xf numFmtId="0" fontId="18" fillId="9" borderId="1" applyAlignment="1" pivotButton="0" quotePrefix="0" xfId="0">
      <alignment horizontal="center" vertical="top" wrapText="1"/>
    </xf>
    <xf numFmtId="0" fontId="19" fillId="10" borderId="1" applyAlignment="1" pivotButton="0" quotePrefix="0" xfId="0">
      <alignment horizontal="center" vertical="top" wrapText="1"/>
    </xf>
    <xf numFmtId="0" fontId="20" fillId="0" borderId="0" pivotButton="0" quotePrefix="0" xfId="0"/>
    <xf numFmtId="0" fontId="21" fillId="0" borderId="0" pivotButton="0" quotePrefix="0" xfId="0"/>
    <xf numFmtId="0" fontId="27" fillId="0" borderId="0" applyAlignment="1" pivotButton="0" quotePrefix="0" xfId="0">
      <alignment horizontal="center" vertical="center"/>
    </xf>
    <xf numFmtId="0" fontId="28" fillId="14" borderId="5" applyAlignment="1" pivotButton="0" quotePrefix="0" xfId="0">
      <alignment horizontal="center" vertical="center"/>
    </xf>
    <xf numFmtId="0" fontId="29" fillId="13" borderId="5" applyAlignment="1" pivotButton="0" quotePrefix="0" xfId="0">
      <alignment horizontal="center" vertical="center"/>
    </xf>
    <xf numFmtId="0" fontId="30" fillId="10" borderId="5" applyAlignment="1" pivotButton="0" quotePrefix="0" xfId="0">
      <alignment horizontal="center" vertical="center"/>
    </xf>
    <xf numFmtId="0" fontId="31" fillId="15" borderId="5" applyAlignment="1" pivotButton="0" quotePrefix="0" xfId="0">
      <alignment horizontal="center" vertical="center"/>
    </xf>
    <xf numFmtId="0" fontId="32" fillId="9" borderId="5" applyAlignment="1" pivotButton="0" quotePrefix="0" xfId="0">
      <alignment horizontal="center" vertical="center"/>
    </xf>
    <xf numFmtId="0" fontId="33" fillId="0" borderId="0" pivotButton="0" quotePrefix="0" xfId="0"/>
    <xf numFmtId="0" fontId="22" fillId="11" borderId="5" applyAlignment="1" pivotButton="0" quotePrefix="0" xfId="0">
      <alignment horizontal="center" vertical="center"/>
    </xf>
    <xf numFmtId="0" fontId="22" fillId="11" borderId="5" applyAlignment="1" pivotButton="0" quotePrefix="0" xfId="0">
      <alignment horizontal="left" vertical="center"/>
    </xf>
    <xf numFmtId="0" fontId="24" fillId="12" borderId="5" applyAlignment="1" pivotButton="0" quotePrefix="0" xfId="0">
      <alignment horizontal="center" vertical="center"/>
    </xf>
    <xf numFmtId="0" fontId="23" fillId="12" borderId="5" applyAlignment="1" pivotButton="0" quotePrefix="0" xfId="0">
      <alignment horizontal="left" vertical="center"/>
    </xf>
    <xf numFmtId="0" fontId="19" fillId="12" borderId="5" applyAlignment="1" pivotButton="0" quotePrefix="0" xfId="0">
      <alignment horizontal="center" vertical="center"/>
    </xf>
    <xf numFmtId="0" fontId="25" fillId="12" borderId="5" applyAlignment="1" pivotButton="0" quotePrefix="0" xfId="0">
      <alignment horizontal="center" vertical="center"/>
    </xf>
    <xf numFmtId="0" fontId="18" fillId="12" borderId="5" applyAlignment="1" pivotButton="0" quotePrefix="0" xfId="0">
      <alignment horizontal="center" vertical="center"/>
    </xf>
    <xf numFmtId="0" fontId="23" fillId="12" borderId="5" applyAlignment="1" pivotButton="0" quotePrefix="0" xfId="0">
      <alignment horizontal="center" vertical="center"/>
    </xf>
    <xf numFmtId="0" fontId="24" fillId="0" borderId="5" applyAlignment="1" pivotButton="0" quotePrefix="0" xfId="0">
      <alignment horizontal="center" vertical="center"/>
    </xf>
    <xf numFmtId="0" fontId="23" fillId="0" borderId="5" applyAlignment="1" pivotButton="0" quotePrefix="0" xfId="0">
      <alignment horizontal="left" vertical="center"/>
    </xf>
    <xf numFmtId="0" fontId="19" fillId="0" borderId="5" applyAlignment="1" pivotButton="0" quotePrefix="0" xfId="0">
      <alignment horizontal="center" vertical="center"/>
    </xf>
    <xf numFmtId="0" fontId="25" fillId="0" borderId="5" applyAlignment="1" pivotButton="0" quotePrefix="0" xfId="0">
      <alignment horizontal="center" vertical="center"/>
    </xf>
    <xf numFmtId="0" fontId="18" fillId="0" borderId="5" applyAlignment="1" pivotButton="0" quotePrefix="0" xfId="0">
      <alignment horizontal="center" vertical="center"/>
    </xf>
    <xf numFmtId="0" fontId="23" fillId="0" borderId="5" applyAlignment="1" pivotButton="0" quotePrefix="0" xfId="0">
      <alignment horizontal="center" vertical="center"/>
    </xf>
    <xf numFmtId="0" fontId="26" fillId="13" borderId="6" applyAlignment="1" pivotButton="0" quotePrefix="0" xfId="0">
      <alignment horizontal="center" vertical="center"/>
    </xf>
    <xf numFmtId="0" fontId="26" fillId="13" borderId="6" applyAlignment="1" pivotButton="0" quotePrefix="0" xfId="0">
      <alignment horizontal="left" vertical="center"/>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style val="10"/>
  <chart>
    <title>
      <tx>
        <rich>
          <a:bodyPr/>
          <a:p>
            <a:pPr>
              <a:defRPr/>
            </a:pPr>
            <a:r>
              <a:t>Test Cases by Feature (Grouped by Priority)</a:t>
            </a:r>
          </a:p>
        </rich>
      </tx>
    </title>
    <plotArea>
      <barChart>
        <barDir val="col"/>
        <grouping val="clustered"/>
        <ser>
          <idx val="0"/>
          <order val="0"/>
          <tx>
            <strRef>
              <f>'Report'!C8</f>
            </strRef>
          </tx>
          <spPr>
            <a:solidFill>
              <a:srgbClr val="FF0000"/>
            </a:solidFill>
            <a:ln>
              <a:prstDash val="solid"/>
            </a:ln>
          </spPr>
          <cat>
            <numRef>
              <f>'Report'!$A$9:$A$15</f>
            </numRef>
          </cat>
          <val>
            <numRef>
              <f>'Report'!$C$9:$C$15</f>
            </numRef>
          </val>
        </ser>
        <ser>
          <idx val="1"/>
          <order val="1"/>
          <tx>
            <strRef>
              <f>'Report'!D8</f>
            </strRef>
          </tx>
          <spPr>
            <a:solidFill>
              <a:srgbClr val="FFFF00"/>
            </a:solidFill>
            <a:ln>
              <a:prstDash val="solid"/>
            </a:ln>
          </spPr>
          <cat>
            <numRef>
              <f>'Report'!$A$9:$A$15</f>
            </numRef>
          </cat>
          <val>
            <numRef>
              <f>'Report'!$D$9:$D$15</f>
            </numRef>
          </val>
        </ser>
        <ser>
          <idx val="2"/>
          <order val="2"/>
          <tx>
            <strRef>
              <f>'Report'!E8</f>
            </strRef>
          </tx>
          <spPr>
            <a:solidFill>
              <a:srgbClr val="00FF00"/>
            </a:solidFill>
            <a:ln>
              <a:prstDash val="solid"/>
            </a:ln>
          </spPr>
          <cat>
            <numRef>
              <f>'Report'!$A$9:$A$15</f>
            </numRef>
          </cat>
          <val>
            <numRef>
              <f>'Report'!$E$9:$E$15</f>
            </numRef>
          </val>
        </ser>
        <gapWidth val="150"/>
        <overlap val="-20"/>
        <axId val="10"/>
        <axId val="100"/>
      </barChart>
      <catAx>
        <axId val="10"/>
        <scaling>
          <orientation val="minMax"/>
        </scaling>
        <axPos val="l"/>
        <title>
          <tx>
            <rich>
              <a:bodyPr/>
              <a:p>
                <a:pPr>
                  <a:defRPr/>
                </a:pPr>
                <a:r>
                  <a:t>Feature ID</a:t>
                </a:r>
              </a:p>
            </rich>
          </tx>
        </title>
        <majorTickMark val="none"/>
        <minorTickMark val="none"/>
        <crossAx val="100"/>
        <lblOffset val="100"/>
      </catAx>
      <valAx>
        <axId val="100"/>
        <scaling>
          <orientation val="minMax"/>
        </scaling>
        <axPos val="l"/>
        <majorGridlines/>
        <title>
          <tx>
            <rich>
              <a:bodyPr/>
              <a:p>
                <a:pPr>
                  <a:defRPr/>
                </a:pPr>
                <a:r>
                  <a:t>Number of Test Cases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3</row>
      <rowOff>0</rowOff>
    </from>
    <ext cx="792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16"/>
  <sheetViews>
    <sheetView showGridLines="1" workbookViewId="0">
      <selection activeCell="A1" sqref="A1"/>
    </sheetView>
  </sheetViews>
  <sheetFormatPr baseColWidth="8" defaultRowHeight="15"/>
  <cols>
    <col width="16" customWidth="1" min="1" max="1"/>
    <col width="32" customWidth="1" min="2" max="2"/>
    <col width="16" customWidth="1" min="3" max="3"/>
    <col width="16" customWidth="1" min="4" max="4"/>
    <col width="16" customWidth="1" min="5" max="5"/>
    <col width="16" customWidth="1" min="6" max="6"/>
  </cols>
  <sheetData>
    <row r="1">
      <c r="A1" s="41" t="inlineStr">
        <is>
          <t>Module 07 - Feature &amp; Priority Summary Report</t>
        </is>
      </c>
    </row>
    <row r="2">
      <c r="A2" s="42" t="inlineStr">
        <is>
          <t>Summary of test cases per feature, calculated via Excel formulas</t>
        </is>
      </c>
    </row>
    <row r="4" ht="18" customHeight="1">
      <c r="A4" s="43" t="inlineStr">
        <is>
          <t>Total Features</t>
        </is>
      </c>
      <c r="B4" s="43" t="inlineStr">
        <is>
          <t>Total Test Cases</t>
        </is>
      </c>
      <c r="C4" s="43" t="inlineStr">
        <is>
          <t>High Priority Features</t>
        </is>
      </c>
      <c r="D4" s="43" t="inlineStr">
        <is>
          <t>Medium Priority Features</t>
        </is>
      </c>
      <c r="E4" s="43" t="inlineStr">
        <is>
          <t>Low Priority Features</t>
        </is>
      </c>
    </row>
    <row r="5" ht="32" customHeight="1">
      <c r="A5" s="44">
        <f>COUNTA(A9:A15)</f>
        <v/>
      </c>
      <c r="B5" s="45">
        <f>F16</f>
        <v/>
      </c>
      <c r="C5" s="46">
        <f>COUNTIF(C9:C15, "&gt;0")</f>
        <v/>
      </c>
      <c r="D5" s="47">
        <f>COUNTIFS(C9:C15, 0, D9:D15, "&gt;0")</f>
        <v/>
      </c>
      <c r="E5" s="48">
        <f>COUNTIFS(C9:C15, 0, D9:D15, 0, E9:E15, "&gt;0")</f>
        <v/>
      </c>
    </row>
    <row r="7">
      <c r="A7" s="49" t="inlineStr">
        <is>
          <t>Feature Categorization &amp; Priority Breakdown</t>
        </is>
      </c>
    </row>
    <row r="8" ht="26" customHeight="1">
      <c r="A8" s="50" t="inlineStr">
        <is>
          <t>Feature ID</t>
        </is>
      </c>
      <c r="B8" s="51" t="inlineStr">
        <is>
          <t>Feature Name</t>
        </is>
      </c>
      <c r="C8" s="50" t="inlineStr">
        <is>
          <t>High Priority</t>
        </is>
      </c>
      <c r="D8" s="50" t="inlineStr">
        <is>
          <t>Medium Priority</t>
        </is>
      </c>
      <c r="E8" s="50" t="inlineStr">
        <is>
          <t>Low Priority</t>
        </is>
      </c>
      <c r="F8" s="50" t="inlineStr">
        <is>
          <t>Total TCs</t>
        </is>
      </c>
    </row>
    <row r="9" ht="22" customHeight="1">
      <c r="A9" s="52" t="inlineStr">
        <is>
          <t>M07-F02</t>
        </is>
      </c>
      <c r="B9" s="53" t="inlineStr">
        <is>
          <t>Category Management</t>
        </is>
      </c>
      <c r="C9" s="54">
        <f>COUNTIFS('Module07'!$C$2:$C$41, A9, 'Module07'!$M$2:$M$41, "High")</f>
        <v/>
      </c>
      <c r="D9" s="55">
        <f>COUNTIFS('Module07'!$C$2:$C$41, A9, 'Module07'!$M$2:$M$41, "Medium")</f>
        <v/>
      </c>
      <c r="E9" s="56">
        <f>COUNTIFS('Module07'!$C$2:$C$41, A9, 'Module07'!$M$2:$M$41, "Low")</f>
        <v/>
      </c>
      <c r="F9" s="57">
        <f>SUM(C9:E9)</f>
        <v/>
      </c>
    </row>
    <row r="10" ht="22" customHeight="1">
      <c r="A10" s="58" t="inlineStr">
        <is>
          <t>M07-F03</t>
        </is>
      </c>
      <c r="B10" s="59" t="inlineStr">
        <is>
          <t>Course Management</t>
        </is>
      </c>
      <c r="C10" s="60">
        <f>COUNTIFS('Module07'!$C$2:$C$41, A10, 'Module07'!$M$2:$M$41, "High")</f>
        <v/>
      </c>
      <c r="D10" s="61">
        <f>COUNTIFS('Module07'!$C$2:$C$41, A10, 'Module07'!$M$2:$M$41, "Medium")</f>
        <v/>
      </c>
      <c r="E10" s="62">
        <f>COUNTIFS('Module07'!$C$2:$C$41, A10, 'Module07'!$M$2:$M$41, "Low")</f>
        <v/>
      </c>
      <c r="F10" s="63">
        <f>SUM(C10:E10)</f>
        <v/>
      </c>
    </row>
    <row r="11" ht="22" customHeight="1">
      <c r="A11" s="52" t="inlineStr">
        <is>
          <t>M07-F04</t>
        </is>
      </c>
      <c r="B11" s="53" t="inlineStr">
        <is>
          <t>Session Management</t>
        </is>
      </c>
      <c r="C11" s="54">
        <f>COUNTIFS('Module07'!$C$2:$C$41, A11, 'Module07'!$M$2:$M$41, "High")</f>
        <v/>
      </c>
      <c r="D11" s="55">
        <f>COUNTIFS('Module07'!$C$2:$C$41, A11, 'Module07'!$M$2:$M$41, "Medium")</f>
        <v/>
      </c>
      <c r="E11" s="56">
        <f>COUNTIFS('Module07'!$C$2:$C$41, A11, 'Module07'!$M$2:$M$41, "Low")</f>
        <v/>
      </c>
      <c r="F11" s="57">
        <f>SUM(C11:E11)</f>
        <v/>
      </c>
    </row>
    <row r="12" ht="22" customHeight="1">
      <c r="A12" s="58" t="inlineStr">
        <is>
          <t>M07-F05</t>
        </is>
      </c>
      <c r="B12" s="59" t="inlineStr">
        <is>
          <t>Exam Management</t>
        </is>
      </c>
      <c r="C12" s="60">
        <f>COUNTIFS('Module07'!$C$2:$C$41, A12, 'Module07'!$M$2:$M$41, "High")</f>
        <v/>
      </c>
      <c r="D12" s="61">
        <f>COUNTIFS('Module07'!$C$2:$C$41, A12, 'Module07'!$M$2:$M$41, "Medium")</f>
        <v/>
      </c>
      <c r="E12" s="62">
        <f>COUNTIFS('Module07'!$C$2:$C$41, A12, 'Module07'!$M$2:$M$41, "Low")</f>
        <v/>
      </c>
      <c r="F12" s="63">
        <f>SUM(C12:E12)</f>
        <v/>
      </c>
    </row>
    <row r="13" ht="22" customHeight="1">
      <c r="A13" s="52" t="inlineStr">
        <is>
          <t>M07-F06</t>
        </is>
      </c>
      <c r="B13" s="53" t="inlineStr">
        <is>
          <t>Material Link Attachment</t>
        </is>
      </c>
      <c r="C13" s="54">
        <f>COUNTIFS('Module07'!$C$2:$C$41, A13, 'Module07'!$M$2:$M$41, "High")</f>
        <v/>
      </c>
      <c r="D13" s="55">
        <f>COUNTIFS('Module07'!$C$2:$C$41, A13, 'Module07'!$M$2:$M$41, "Medium")</f>
        <v/>
      </c>
      <c r="E13" s="56">
        <f>COUNTIFS('Module07'!$C$2:$C$41, A13, 'Module07'!$M$2:$M$41, "Low")</f>
        <v/>
      </c>
      <c r="F13" s="57">
        <f>SUM(C13:E13)</f>
        <v/>
      </c>
    </row>
    <row r="14" ht="22" customHeight="1">
      <c r="A14" s="58" t="inlineStr">
        <is>
          <t>M07-F07</t>
        </is>
      </c>
      <c r="B14" s="59" t="inlineStr">
        <is>
          <t>CSV Export &amp; Import</t>
        </is>
      </c>
      <c r="C14" s="60">
        <f>COUNTIFS('Module07'!$C$2:$C$41, A14, 'Module07'!$M$2:$M$41, "High")</f>
        <v/>
      </c>
      <c r="D14" s="61">
        <f>COUNTIFS('Module07'!$C$2:$C$41, A14, 'Module07'!$M$2:$M$41, "Medium")</f>
        <v/>
      </c>
      <c r="E14" s="62">
        <f>COUNTIFS('Module07'!$C$2:$C$41, A14, 'Module07'!$M$2:$M$41, "Low")</f>
        <v/>
      </c>
      <c r="F14" s="63">
        <f>SUM(C14:E14)</f>
        <v/>
      </c>
    </row>
    <row r="15" ht="22" customHeight="1">
      <c r="A15" s="52" t="inlineStr">
        <is>
          <t>M07-F08</t>
        </is>
      </c>
      <c r="B15" s="53" t="inlineStr">
        <is>
          <t>Role Permissions &amp; Access Control</t>
        </is>
      </c>
      <c r="C15" s="54">
        <f>COUNTIFS('Module07'!$C$2:$C$41, A15, 'Module07'!$M$2:$M$41, "High")</f>
        <v/>
      </c>
      <c r="D15" s="55">
        <f>COUNTIFS('Module07'!$C$2:$C$41, A15, 'Module07'!$M$2:$M$41, "Medium")</f>
        <v/>
      </c>
      <c r="E15" s="56">
        <f>COUNTIFS('Module07'!$C$2:$C$41, A15, 'Module07'!$M$2:$M$41, "Low")</f>
        <v/>
      </c>
      <c r="F15" s="57">
        <f>SUM(C15:E15)</f>
        <v/>
      </c>
    </row>
    <row r="16" ht="24" customHeight="1">
      <c r="A16" s="64" t="inlineStr">
        <is>
          <t>Total</t>
        </is>
      </c>
      <c r="B16" s="65">
        <f>COUNTA(A9:A15)&amp;" Features"</f>
        <v/>
      </c>
      <c r="C16" s="64">
        <f>SUM(C9:C15)</f>
        <v/>
      </c>
      <c r="D16" s="64">
        <f>SUM(D9:D15)</f>
        <v/>
      </c>
      <c r="E16" s="64">
        <f>SUM(E9:E15)</f>
        <v/>
      </c>
      <c r="F16" s="64">
        <f>SUM(F9:F15)</f>
        <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O41"/>
  <sheetViews>
    <sheetView tabSelected="1" topLeftCell="A37" workbookViewId="0">
      <selection activeCell="A42" sqref="A42"/>
    </sheetView>
  </sheetViews>
  <sheetFormatPr baseColWidth="8" defaultRowHeight="15"/>
  <cols>
    <col width="15" customWidth="1" min="1" max="1"/>
    <col width="14" customWidth="1" min="2" max="3"/>
    <col width="28" customWidth="1" min="4" max="4"/>
    <col width="32" customWidth="1" min="5" max="5"/>
    <col width="36" customWidth="1" min="6" max="6"/>
    <col width="30" customWidth="1" min="7" max="7"/>
    <col width="28" customWidth="1" min="8" max="8"/>
    <col width="48" customWidth="1" min="9" max="10"/>
    <col width="36" customWidth="1" min="11" max="11"/>
    <col width="16" customWidth="1" min="12" max="12"/>
    <col width="14" customWidth="1" min="13" max="13"/>
    <col width="32" customWidth="1" min="14" max="14"/>
  </cols>
  <sheetData>
    <row r="1" ht="27.95" customHeight="1">
      <c r="A1" s="1" t="inlineStr">
        <is>
          <t>ID</t>
        </is>
      </c>
      <c r="B1" s="1" t="inlineStr">
        <is>
          <t>Module</t>
        </is>
      </c>
      <c r="C1" s="1" t="inlineStr">
        <is>
          <t>Feature ID</t>
        </is>
      </c>
      <c r="D1" s="1" t="inlineStr">
        <is>
          <t>Feature Name</t>
        </is>
      </c>
      <c r="E1" s="1" t="inlineStr">
        <is>
          <t>Title</t>
        </is>
      </c>
      <c r="F1" s="1" t="inlineStr">
        <is>
          <t>Objective</t>
        </is>
      </c>
      <c r="G1" s="1" t="inlineStr">
        <is>
          <t>Preconditions</t>
        </is>
      </c>
      <c r="H1" s="1" t="inlineStr">
        <is>
          <t>TestData</t>
        </is>
      </c>
      <c r="I1" s="1" t="inlineStr">
        <is>
          <t>Steps</t>
        </is>
      </c>
      <c r="J1" s="1" t="inlineStr">
        <is>
          <t>ExpectedResult</t>
        </is>
      </c>
      <c r="K1" s="1" t="inlineStr">
        <is>
          <t>Actual Result</t>
        </is>
      </c>
      <c r="L1" s="1" t="inlineStr">
        <is>
          <t>Status</t>
        </is>
      </c>
      <c r="M1" s="1" t="inlineStr">
        <is>
          <t>Priority</t>
        </is>
      </c>
      <c r="N1" s="1" t="inlineStr">
        <is>
          <t>Notes</t>
        </is>
      </c>
    </row>
    <row r="2" ht="105" customHeight="1">
      <c r="A2" s="2" t="inlineStr">
        <is>
          <t>TC-M07-001</t>
        </is>
      </c>
      <c r="B2" s="2" t="inlineStr">
        <is>
          <t>Module 07 - Training Materials</t>
        </is>
      </c>
      <c r="C2" s="3" t="inlineStr">
        <is>
          <t>M07-F02</t>
        </is>
      </c>
      <c r="D2" s="4" t="inlineStr">
        <is>
          <t>Category Management</t>
        </is>
      </c>
      <c r="E2" s="4" t="inlineStr">
        <is>
          <t>Rename Category with a Valid Name</t>
        </is>
      </c>
      <c r="F2" s="4" t="inlineStr">
        <is>
          <t>Verify functionality for renaming a category when entering a valid new name.</t>
        </is>
      </c>
      <c r="G2" s="4" t="inlineStr">
        <is>
          <t>User is logged in as Staff.
Currently on Training Materials Management interface.</t>
        </is>
      </c>
      <c r="H2" s="4" t="inlineStr">
        <is>
          <t>OldCategoryName="General"; NewCategoryName="Foundations"</t>
        </is>
      </c>
      <c r="I2" s="4" t="inlineStr">
        <is>
          <t>1. Select Category "General";
2. Click Rename Category button;
3. Enter new name as "Foundations";
4. Click Save button.</t>
        </is>
      </c>
      <c r="J2" s="4" t="inlineStr">
        <is>
          <t>Category renamed successfully.
New category name "Foundations" is updated and displayed on UI.</t>
        </is>
      </c>
      <c r="K2" s="4" t="inlineStr">
        <is>
          <t>Category renamed successfully. New category name "Foundations" was updated and displayed on UI.</t>
        </is>
      </c>
      <c r="L2" s="39" t="inlineStr">
        <is>
          <t>Passed</t>
        </is>
      </c>
      <c r="M2" s="6" t="inlineStr">
        <is>
          <t>High</t>
        </is>
      </c>
      <c r="N2" s="4" t="inlineStr">
        <is>
          <t>Related Requirement: M07-F02, Rule 6.2</t>
        </is>
      </c>
    </row>
    <row r="3" ht="60" customHeight="1">
      <c r="A3" s="7" t="inlineStr">
        <is>
          <t>TC-M07-002</t>
        </is>
      </c>
      <c r="B3" s="7" t="inlineStr">
        <is>
          <t>Module 07 - Training Materials</t>
        </is>
      </c>
      <c r="C3" s="8" t="inlineStr">
        <is>
          <t>M07-F02</t>
        </is>
      </c>
      <c r="D3" s="9" t="inlineStr">
        <is>
          <t>Category Management</t>
        </is>
      </c>
      <c r="E3" s="9" t="inlineStr">
        <is>
          <t>Category Rename Fails Due to Empty Name</t>
        </is>
      </c>
      <c r="F3" s="9" t="inlineStr">
        <is>
          <t>Verify system displays error and prevents renaming category when new name is empty.</t>
        </is>
      </c>
      <c r="G3" s="9" t="inlineStr">
        <is>
          <t>User is logged in as Staff.
Currently on Rename Category dialog.</t>
        </is>
      </c>
      <c r="H3" s="9" t="inlineStr">
        <is>
          <t>NewCategoryName=""</t>
        </is>
      </c>
      <c r="I3" s="9" t="inlineStr">
        <is>
          <t>1. Leave new Category Name field empty;
2. Click Save button.</t>
        </is>
      </c>
      <c r="J3" s="9" t="inlineStr">
        <is>
          <t>System blocks action.
Validation error message appears: "Category Name cannot be empty."</t>
        </is>
      </c>
      <c r="K3" s="9" t="inlineStr">
        <is>
          <t>System blocked action and displayed validation error message: "Category Name cannot be empty."</t>
        </is>
      </c>
      <c r="L3" s="39" t="inlineStr">
        <is>
          <t>Passed</t>
        </is>
      </c>
      <c r="M3" s="6" t="inlineStr">
        <is>
          <t>High</t>
        </is>
      </c>
      <c r="N3" s="9" t="inlineStr">
        <is>
          <t>Related Requirement: M07-F02, Validation Rules (Section 8)</t>
        </is>
      </c>
    </row>
    <row r="4" ht="60" customHeight="1">
      <c r="A4" s="2" t="inlineStr">
        <is>
          <t>TC-M07-003</t>
        </is>
      </c>
      <c r="B4" s="2" t="inlineStr">
        <is>
          <t>Module 07 - Training Materials</t>
        </is>
      </c>
      <c r="C4" s="3" t="inlineStr">
        <is>
          <t>M07-F02</t>
        </is>
      </c>
      <c r="D4" s="4" t="inlineStr">
        <is>
          <t>Category Management</t>
        </is>
      </c>
      <c r="E4" s="4" t="inlineStr">
        <is>
          <t>Verify Archive and Delete Functions Are Not Supported for Category</t>
        </is>
      </c>
      <c r="F4" s="4" t="inlineStr">
        <is>
          <t>Verify system does not support archive or delete operations on categories.</t>
        </is>
      </c>
      <c r="G4" s="4" t="inlineStr">
        <is>
          <t>User is logged in as Staff.
Viewing Category menu.</t>
        </is>
      </c>
      <c r="H4" s="4" t="inlineStr">
        <is>
          <t>CategoryName="Foundations"</t>
        </is>
      </c>
      <c r="I4" s="4" t="inlineStr">
        <is>
          <t>1. Open options menu for Category "Foundations";
2. Check for Archive or Delete options.</t>
        </is>
      </c>
      <c r="J4" s="4" t="inlineStr">
        <is>
          <t>Archive and Delete buttons are not present in Category context menu.</t>
        </is>
      </c>
      <c r="K4" s="4" t="inlineStr">
        <is>
          <t>Archive and Delete options were not present in Category context menu as expected.</t>
        </is>
      </c>
      <c r="L4" s="39" t="inlineStr">
        <is>
          <t>Passed</t>
        </is>
      </c>
      <c r="M4" s="10" t="inlineStr">
        <is>
          <t>Medium</t>
        </is>
      </c>
      <c r="N4" s="4" t="inlineStr">
        <is>
          <t>Related Requirement: M07-F02, Business Rules 6.2</t>
        </is>
      </c>
    </row>
    <row r="5" ht="45" customHeight="1">
      <c r="A5" s="7" t="inlineStr">
        <is>
          <t>TC-M07-004</t>
        </is>
      </c>
      <c r="B5" s="7" t="inlineStr">
        <is>
          <t>Module 07 - Training Materials</t>
        </is>
      </c>
      <c r="C5" s="8" t="inlineStr">
        <is>
          <t>M07-F02</t>
        </is>
      </c>
      <c r="D5" s="9" t="inlineStr">
        <is>
          <t>Category Management</t>
        </is>
      </c>
      <c r="E5" s="9" t="inlineStr">
        <is>
          <t>Verify Default Categories Exist in System</t>
        </is>
      </c>
      <c r="F5" s="9" t="inlineStr">
        <is>
          <t>Verify system contains default fixed categories upon initialization.</t>
        </is>
      </c>
      <c r="G5" s="9" t="inlineStr">
        <is>
          <t>User is logged in as Staff.</t>
        </is>
      </c>
      <c r="H5" s="9" t="inlineStr">
        <is>
          <t>DefaultCategories=["IT", "English", "Professional Skills"]</t>
        </is>
      </c>
      <c r="I5" s="9" t="inlineStr">
        <is>
          <t>1. Access Training Materials page;
2. Check category sidebar/tabs.</t>
        </is>
      </c>
      <c r="J5" s="9" t="inlineStr">
        <is>
          <t>Default categories "IT", "English", and "Professional Skills" are present in system.</t>
        </is>
      </c>
      <c r="K5" s="9" t="inlineStr">
        <is>
          <t>Default categories "IT", "English", and "Professional Skills" were present in system.</t>
        </is>
      </c>
      <c r="L5" s="39" t="inlineStr">
        <is>
          <t>Passed</t>
        </is>
      </c>
      <c r="M5" s="6" t="inlineStr">
        <is>
          <t>High</t>
        </is>
      </c>
      <c r="N5" s="9" t="inlineStr">
        <is>
          <t>Related Requirement: M07-F02, Business Rules 6.2</t>
        </is>
      </c>
    </row>
    <row r="6" ht="105" customHeight="1">
      <c r="A6" s="2" t="inlineStr">
        <is>
          <t>TC-M07-005</t>
        </is>
      </c>
      <c r="B6" s="2" t="inlineStr">
        <is>
          <t>Module 07 - Training Materials</t>
        </is>
      </c>
      <c r="C6" s="3" t="inlineStr">
        <is>
          <t>M07-F03</t>
        </is>
      </c>
      <c r="D6" s="4" t="inlineStr">
        <is>
          <t>Course Management</t>
        </is>
      </c>
      <c r="E6" s="4" t="inlineStr">
        <is>
          <t>Create New Course with Valid Information</t>
        </is>
      </c>
      <c r="F6" s="4" t="inlineStr">
        <is>
          <t>Verify functionality for creating a new course within a category.</t>
        </is>
      </c>
      <c r="G6" s="4" t="inlineStr">
        <is>
          <t>User is logged in as Staff.
Category "IT" exists.</t>
        </is>
      </c>
      <c r="H6" s="4" t="inlineStr">
        <is>
          <t>Category="IT"; CourseName="Web Development"</t>
        </is>
      </c>
      <c r="I6" s="4" t="inlineStr">
        <is>
          <t>1. Select Category "IT";
2. Click Create New Course button;
3. Enter Course Name as "Web Development";
4. Click Save button.</t>
        </is>
      </c>
      <c r="J6" s="4" t="inlineStr">
        <is>
          <t>Course created successfully.
New course "Web Development" appears under category "IT".</t>
        </is>
      </c>
      <c r="K6" s="4" t="inlineStr">
        <is>
          <t>Course created successfully. New course "Web Development" appeared under category "IT".</t>
        </is>
      </c>
      <c r="L6" s="39" t="inlineStr">
        <is>
          <t>Passed</t>
        </is>
      </c>
      <c r="M6" s="6" t="inlineStr">
        <is>
          <t>High</t>
        </is>
      </c>
      <c r="N6" s="4" t="inlineStr">
        <is>
          <t>Related Requirement: M07-F03, Business Rules 6.3</t>
        </is>
      </c>
    </row>
    <row r="7" ht="45" customHeight="1">
      <c r="A7" s="7" t="inlineStr">
        <is>
          <t>TC-M07-006</t>
        </is>
      </c>
      <c r="B7" s="7" t="inlineStr">
        <is>
          <t>Module 07 - Training Materials</t>
        </is>
      </c>
      <c r="C7" s="8" t="inlineStr">
        <is>
          <t>M07-F03</t>
        </is>
      </c>
      <c r="D7" s="9" t="inlineStr">
        <is>
          <t>Course Management</t>
        </is>
      </c>
      <c r="E7" s="9" t="inlineStr">
        <is>
          <t>New Course Creation Fails Due to Empty Name</t>
        </is>
      </c>
      <c r="F7" s="9" t="inlineStr">
        <is>
          <t>Verify system displays error when course name is empty.</t>
        </is>
      </c>
      <c r="G7" s="9" t="inlineStr">
        <is>
          <t>User is logged in as Staff.</t>
        </is>
      </c>
      <c r="H7" s="9" t="inlineStr">
        <is>
          <t>CourseName=""</t>
        </is>
      </c>
      <c r="I7" s="9" t="inlineStr">
        <is>
          <t>1. Leave Course Name field empty;
2. Click Save button.</t>
        </is>
      </c>
      <c r="J7" s="9" t="inlineStr">
        <is>
          <t>System blocks action.
Validation error appears: "Course Name is required."</t>
        </is>
      </c>
      <c r="K7" s="9" t="inlineStr">
        <is>
          <t>System blocked action and displayed validation error: "Course Name is required."</t>
        </is>
      </c>
      <c r="L7" s="39" t="inlineStr">
        <is>
          <t>Passed</t>
        </is>
      </c>
      <c r="M7" s="6" t="inlineStr">
        <is>
          <t>High</t>
        </is>
      </c>
      <c r="N7" s="9" t="inlineStr">
        <is>
          <t>Related Requirement: M07-F03, Validation Rules (Section 8)</t>
        </is>
      </c>
    </row>
    <row r="8" ht="105" customHeight="1">
      <c r="A8" s="2" t="inlineStr">
        <is>
          <t>TC-M07-007</t>
        </is>
      </c>
      <c r="B8" s="2" t="inlineStr">
        <is>
          <t>Module 07 - Training Materials</t>
        </is>
      </c>
      <c r="C8" s="3" t="inlineStr">
        <is>
          <t>M07-F03</t>
        </is>
      </c>
      <c r="D8" s="4" t="inlineStr">
        <is>
          <t>Course Management</t>
        </is>
      </c>
      <c r="E8" s="4" t="inlineStr">
        <is>
          <t>Edit Course Name with Valid Information</t>
        </is>
      </c>
      <c r="F8" s="4" t="inlineStr">
        <is>
          <t>Verify functionality for updating course name.</t>
        </is>
      </c>
      <c r="G8" s="4" t="inlineStr">
        <is>
          <t>User is logged in as Staff.
Course "Web Development" exists.</t>
        </is>
      </c>
      <c r="H8" s="4" t="inlineStr">
        <is>
          <t>OldCourseName="Web Development"; NewCourseName="Frontend Development"</t>
        </is>
      </c>
      <c r="I8" s="4" t="inlineStr">
        <is>
          <t>1. Select Course "Web Development";
2. Click Edit Course button;
3. Change name to "Frontend Development";
4. Click Save button.</t>
        </is>
      </c>
      <c r="J8" s="4" t="inlineStr">
        <is>
          <t>Course name updated successfully to "Frontend Development".</t>
        </is>
      </c>
      <c r="K8" s="4" t="inlineStr">
        <is>
          <t>Course name updated successfully to "Frontend Development".</t>
        </is>
      </c>
      <c r="L8" s="39" t="inlineStr">
        <is>
          <t>Passed</t>
        </is>
      </c>
      <c r="M8" s="6" t="inlineStr">
        <is>
          <t>High</t>
        </is>
      </c>
      <c r="N8" s="4" t="inlineStr">
        <is>
          <t>Related Requirement: M07-F03, Business Rules 6.3</t>
        </is>
      </c>
    </row>
    <row r="9" ht="60" customHeight="1">
      <c r="A9" s="7" t="inlineStr">
        <is>
          <t>TC-M07-008</t>
        </is>
      </c>
      <c r="B9" s="7" t="inlineStr">
        <is>
          <t>Module 07 - Training Materials</t>
        </is>
      </c>
      <c r="C9" s="8" t="inlineStr">
        <is>
          <t>M07-F03</t>
        </is>
      </c>
      <c r="D9" s="9" t="inlineStr">
        <is>
          <t>Course Management</t>
        </is>
      </c>
      <c r="E9" s="9" t="inlineStr">
        <is>
          <t>Archive Active Course</t>
        </is>
      </c>
      <c r="F9" s="9" t="inlineStr">
        <is>
          <t>Verify functionality for archiving an active course.</t>
        </is>
      </c>
      <c r="G9" s="9" t="inlineStr">
        <is>
          <t>User is logged in as Staff.
Course "Frontend Development" is Active.</t>
        </is>
      </c>
      <c r="H9" s="9" t="inlineStr">
        <is>
          <t>CourseName="Frontend Development"</t>
        </is>
      </c>
      <c r="I9" s="9" t="inlineStr">
        <is>
          <t>1. Click Archive button for course "Frontend Development";
2. Confirm archiving in popup dialog.</t>
        </is>
      </c>
      <c r="J9" s="9" t="inlineStr">
        <is>
          <t>Course status changes to Archived.
Course is hidden from Active list and moved to Archived tab.</t>
        </is>
      </c>
      <c r="K9" s="9" t="inlineStr">
        <is>
          <t>Course status changed to Archived. Course was hidden from Active list and moved to Archived tab.</t>
        </is>
      </c>
      <c r="L9" s="39" t="inlineStr">
        <is>
          <t>Passed</t>
        </is>
      </c>
      <c r="M9" s="6" t="inlineStr">
        <is>
          <t>High</t>
        </is>
      </c>
      <c r="N9" s="9" t="inlineStr">
        <is>
          <t>Related Requirement: M07-F03, Business Rules 6.3</t>
        </is>
      </c>
    </row>
    <row r="10" ht="75" customHeight="1">
      <c r="A10" s="2" t="inlineStr">
        <is>
          <t>TC-M07-009</t>
        </is>
      </c>
      <c r="B10" s="2" t="inlineStr">
        <is>
          <t>Module 07 - Training Materials</t>
        </is>
      </c>
      <c r="C10" s="3" t="inlineStr">
        <is>
          <t>M07-F03</t>
        </is>
      </c>
      <c r="D10" s="4" t="inlineStr">
        <is>
          <t>Course Management</t>
        </is>
      </c>
      <c r="E10" s="4" t="inlineStr">
        <is>
          <t>Restore Archived Course</t>
        </is>
      </c>
      <c r="F10" s="4" t="inlineStr">
        <is>
          <t>Verify functionality for restoring a previously archived course.</t>
        </is>
      </c>
      <c r="G10" s="4" t="inlineStr">
        <is>
          <t>User is logged in as Staff.
Course "Frontend Development" is Archived.</t>
        </is>
      </c>
      <c r="H10" s="4" t="inlineStr">
        <is>
          <t>CourseName="Frontend Development"</t>
        </is>
      </c>
      <c r="I10" s="4" t="inlineStr">
        <is>
          <t>1. Navigate to Archived Courses tab;
2. Click Restore button for course "Frontend Development";
3. Confirm restoration.</t>
        </is>
      </c>
      <c r="J10" s="4" t="inlineStr">
        <is>
          <t>Course status changes back to Active.
Course reappears in active course list.</t>
        </is>
      </c>
      <c r="K10" s="4" t="inlineStr">
        <is>
          <t>Course status changed back to Active. Course reappeared in active course list.</t>
        </is>
      </c>
      <c r="L10" s="39" t="inlineStr">
        <is>
          <t>Passed</t>
        </is>
      </c>
      <c r="M10" s="6" t="inlineStr">
        <is>
          <t>High</t>
        </is>
      </c>
      <c r="N10" s="4" t="inlineStr">
        <is>
          <t>Related Requirement: M07-F03, Business Rules 6.3</t>
        </is>
      </c>
    </row>
    <row r="11" ht="45" customHeight="1">
      <c r="A11" s="7" t="inlineStr">
        <is>
          <t>TC-M07-010</t>
        </is>
      </c>
      <c r="B11" s="7" t="inlineStr">
        <is>
          <t>Module 07 - Training Materials</t>
        </is>
      </c>
      <c r="C11" s="8" t="inlineStr">
        <is>
          <t>M07-F03</t>
        </is>
      </c>
      <c r="D11" s="9" t="inlineStr">
        <is>
          <t>Course Management</t>
        </is>
      </c>
      <c r="E11" s="9" t="inlineStr">
        <is>
          <t>Verify Permanent Deletion Is Not Supported for Course</t>
        </is>
      </c>
      <c r="F11" s="9" t="inlineStr">
        <is>
          <t>Verify system does not provide permanent deletion for courses.</t>
        </is>
      </c>
      <c r="G11" s="9" t="inlineStr">
        <is>
          <t>User is logged in as Staff.
Viewing course options menu.</t>
        </is>
      </c>
      <c r="H11" s="9" t="inlineStr">
        <is>
          <t>CourseName="Frontend Development"</t>
        </is>
      </c>
      <c r="I11" s="9" t="inlineStr">
        <is>
          <t>1. Open course action menu;
2. Check available options.</t>
        </is>
      </c>
      <c r="J11" s="9" t="inlineStr">
        <is>
          <t>Permanent Delete button is not present for courses (only Archive is supported).</t>
        </is>
      </c>
      <c r="K11" s="9" t="inlineStr">
        <is>
          <t>Permanent Delete button was not present for courses; only Archive option was supported.</t>
        </is>
      </c>
      <c r="L11" s="39" t="inlineStr">
        <is>
          <t>Passed</t>
        </is>
      </c>
      <c r="M11" s="10" t="inlineStr">
        <is>
          <t>Medium</t>
        </is>
      </c>
      <c r="N11" s="9" t="inlineStr">
        <is>
          <t>Related Requirement: M07-F03, Business Rules 6.3</t>
        </is>
      </c>
    </row>
    <row r="12" ht="105" customHeight="1">
      <c r="A12" s="2" t="inlineStr">
        <is>
          <t>TC-M07-011</t>
        </is>
      </c>
      <c r="B12" s="2" t="inlineStr">
        <is>
          <t>Module 07 - Training Materials</t>
        </is>
      </c>
      <c r="C12" s="3" t="inlineStr">
        <is>
          <t>M07-F04</t>
        </is>
      </c>
      <c r="D12" s="4" t="inlineStr">
        <is>
          <t>Session Management</t>
        </is>
      </c>
      <c r="E12" s="4" t="inlineStr">
        <is>
          <t>Create New Session with Valid Information</t>
        </is>
      </c>
      <c r="F12" s="4" t="inlineStr">
        <is>
          <t>Verify functionality for creating a new learning session inside a course.</t>
        </is>
      </c>
      <c r="G12" s="4" t="inlineStr">
        <is>
          <t>User is logged in as Staff.
Course "Web Development" exists.</t>
        </is>
      </c>
      <c r="H12" s="4" t="inlineStr">
        <is>
          <t>CourseName="Web Development"; SessionName="Session 1: HTML Basics"</t>
        </is>
      </c>
      <c r="I12" s="4" t="inlineStr">
        <is>
          <t>1. Open Course "Web Development";
2. Click Add Session button;
3. Enter Session Name as "Session 1: HTML Basics";
4. Click Save button.</t>
        </is>
      </c>
      <c r="J12" s="4" t="inlineStr">
        <is>
          <t>Session created successfully.
"Session 1: HTML Basics" appears inside course.</t>
        </is>
      </c>
      <c r="K12" s="4" t="inlineStr">
        <is>
          <t>Session created successfully. "Session 1: HTML Basics" appeared inside course.</t>
        </is>
      </c>
      <c r="L12" s="39" t="inlineStr">
        <is>
          <t>Passed</t>
        </is>
      </c>
      <c r="M12" s="6" t="inlineStr">
        <is>
          <t>High</t>
        </is>
      </c>
      <c r="N12" s="4" t="inlineStr">
        <is>
          <t>Related Requirement: M07-F04, Business Rules 6.4</t>
        </is>
      </c>
    </row>
    <row r="13" ht="45" customHeight="1">
      <c r="A13" s="7" t="inlineStr">
        <is>
          <t>TC-M07-012</t>
        </is>
      </c>
      <c r="B13" s="7" t="inlineStr">
        <is>
          <t>Module 07 - Training Materials</t>
        </is>
      </c>
      <c r="C13" s="8" t="inlineStr">
        <is>
          <t>M07-F04</t>
        </is>
      </c>
      <c r="D13" s="9" t="inlineStr">
        <is>
          <t>Session Management</t>
        </is>
      </c>
      <c r="E13" s="9" t="inlineStr">
        <is>
          <t>New Session Creation Fails Due to Empty Session Name</t>
        </is>
      </c>
      <c r="F13" s="9" t="inlineStr">
        <is>
          <t>Verify system displays error when session name is empty.</t>
        </is>
      </c>
      <c r="G13" s="9" t="inlineStr">
        <is>
          <t>User is logged in as Staff.</t>
        </is>
      </c>
      <c r="H13" s="9" t="inlineStr">
        <is>
          <t>SessionName=""</t>
        </is>
      </c>
      <c r="I13" s="9" t="inlineStr">
        <is>
          <t>1. Leave Session Name field empty;
2. Click Save button.</t>
        </is>
      </c>
      <c r="J13" s="9" t="inlineStr">
        <is>
          <t>System blocks action.
Validation error appears: "Session Name is required."</t>
        </is>
      </c>
      <c r="K13" s="9" t="inlineStr">
        <is>
          <t>System blocked action and displayed validation error: "Session Name is required."</t>
        </is>
      </c>
      <c r="L13" s="39" t="inlineStr">
        <is>
          <t>Passed</t>
        </is>
      </c>
      <c r="M13" s="6" t="inlineStr">
        <is>
          <t>High</t>
        </is>
      </c>
      <c r="N13" s="9" t="inlineStr">
        <is>
          <t>Related Requirement: M07-F04, Validation Rules (Section 8)</t>
        </is>
      </c>
    </row>
    <row r="14" ht="75" customHeight="1">
      <c r="A14" s="2" t="inlineStr">
        <is>
          <t>TC-M07-013</t>
        </is>
      </c>
      <c r="B14" s="2" t="inlineStr">
        <is>
          <t>Module 07 - Training Materials</t>
        </is>
      </c>
      <c r="C14" s="3" t="inlineStr">
        <is>
          <t>M07-F04</t>
        </is>
      </c>
      <c r="D14" s="4" t="inlineStr">
        <is>
          <t>Session Management</t>
        </is>
      </c>
      <c r="E14" s="4" t="inlineStr">
        <is>
          <t>Edit Session Details</t>
        </is>
      </c>
      <c r="F14" s="4" t="inlineStr">
        <is>
          <t>Verify functionality for updating session title/details.</t>
        </is>
      </c>
      <c r="G14" s="4" t="inlineStr">
        <is>
          <t>User is logged in as Staff.
Session "Session 1: HTML Basics" exists.</t>
        </is>
      </c>
      <c r="H14" s="4" t="inlineStr">
        <is>
          <t>OldSessionName="Session 1: HTML Basics"; NewSessionName="Session 1: HTML &amp; CSS Fundamentals"</t>
        </is>
      </c>
      <c r="I14" s="4" t="inlineStr">
        <is>
          <t>1. Click Edit icon on session;
2. Update Session Name to "Session 1: HTML &amp; CSS Fundamentals";
3. Click Save button.</t>
        </is>
      </c>
      <c r="J14" s="4" t="inlineStr">
        <is>
          <t>Session details updated successfully.</t>
        </is>
      </c>
      <c r="K14" s="4" t="inlineStr">
        <is>
          <t>Session details were updated successfully as expected.</t>
        </is>
      </c>
      <c r="L14" s="39" t="inlineStr">
        <is>
          <t>Passed</t>
        </is>
      </c>
      <c r="M14" s="6" t="inlineStr">
        <is>
          <t>High</t>
        </is>
      </c>
      <c r="N14" s="4" t="inlineStr">
        <is>
          <t>Related Requirement: M07-F04, Business Rules 6.4</t>
        </is>
      </c>
    </row>
    <row r="15" ht="60" customHeight="1">
      <c r="A15" s="7" t="inlineStr">
        <is>
          <t>TC-M07-014</t>
        </is>
      </c>
      <c r="B15" s="7" t="inlineStr">
        <is>
          <t>Module 07 - Training Materials</t>
        </is>
      </c>
      <c r="C15" s="8" t="inlineStr">
        <is>
          <t>M07-F04</t>
        </is>
      </c>
      <c r="D15" s="9" t="inlineStr">
        <is>
          <t>Session Management</t>
        </is>
      </c>
      <c r="E15" s="9" t="inlineStr">
        <is>
          <t>Permanently Delete Session</t>
        </is>
      </c>
      <c r="F15" s="9" t="inlineStr">
        <is>
          <t>Verify functionality for permanently deleting a session.</t>
        </is>
      </c>
      <c r="G15" s="9" t="inlineStr">
        <is>
          <t>User is logged in as Staff.
Session "Session 1" exists.</t>
        </is>
      </c>
      <c r="H15" s="9" t="inlineStr">
        <is>
          <t>SessionName="Session 1"</t>
        </is>
      </c>
      <c r="I15" s="9" t="inlineStr">
        <is>
          <t>1. Click Delete icon on session;
2. Confirm permanent deletion in confirmation dialog.</t>
        </is>
      </c>
      <c r="J15" s="9" t="inlineStr">
        <is>
          <t>Session and all attached materials are permanently deleted from system.</t>
        </is>
      </c>
      <c r="K15" s="9" t="inlineStr">
        <is>
          <t>Session and all attached materials were permanently deleted from system.</t>
        </is>
      </c>
      <c r="L15" s="39" t="inlineStr">
        <is>
          <t>Passed</t>
        </is>
      </c>
      <c r="M15" s="6" t="inlineStr">
        <is>
          <t>High</t>
        </is>
      </c>
      <c r="N15" s="9" t="inlineStr">
        <is>
          <t>Related Requirement: M07-F04, Business Rules 6.4</t>
        </is>
      </c>
    </row>
    <row r="16" ht="60" customHeight="1">
      <c r="A16" s="2" t="inlineStr">
        <is>
          <t>TC-M07-015</t>
        </is>
      </c>
      <c r="B16" s="2" t="inlineStr">
        <is>
          <t>Module 07 - Training Materials</t>
        </is>
      </c>
      <c r="C16" s="3" t="inlineStr">
        <is>
          <t>M07-F04</t>
        </is>
      </c>
      <c r="D16" s="4" t="inlineStr">
        <is>
          <t>Session Management</t>
        </is>
      </c>
      <c r="E16" s="4" t="inlineStr">
        <is>
          <t>Cancel Session Deletion Operation</t>
        </is>
      </c>
      <c r="F16" s="4" t="inlineStr">
        <is>
          <t>Verify clicking Cancel in session deletion dialog preserves session without deleting.</t>
        </is>
      </c>
      <c r="G16" s="4" t="inlineStr">
        <is>
          <t>User is logged in as Staff.
Session deletion modal open.</t>
        </is>
      </c>
      <c r="H16" s="4" t="inlineStr">
        <is>
          <t>Action="Cancel Deletion"</t>
        </is>
      </c>
      <c r="I16" s="4" t="inlineStr">
        <is>
          <t>1. Click Delete icon on session;
2. In confirmation dialog, click Cancel button.</t>
        </is>
      </c>
      <c r="J16" s="4" t="inlineStr">
        <is>
          <t>Dialog closes.
Session remains intact in course.</t>
        </is>
      </c>
      <c r="K16" s="4" t="inlineStr">
        <is>
          <t>Confirmation dialog closed and session remained intact in course.</t>
        </is>
      </c>
      <c r="L16" s="39" t="inlineStr">
        <is>
          <t>Passed</t>
        </is>
      </c>
      <c r="M16" s="10" t="inlineStr">
        <is>
          <t>Medium</t>
        </is>
      </c>
      <c r="N16" s="4" t="inlineStr">
        <is>
          <t>Related Requirement: M07-F04, UI Standards</t>
        </is>
      </c>
    </row>
    <row r="17" ht="30" customHeight="1">
      <c r="A17" s="7" t="inlineStr">
        <is>
          <t>TC-M07-016</t>
        </is>
      </c>
      <c r="B17" s="7" t="inlineStr">
        <is>
          <t>Module 07 - Training Materials</t>
        </is>
      </c>
      <c r="C17" s="8" t="inlineStr">
        <is>
          <t>M07-F04</t>
        </is>
      </c>
      <c r="D17" s="9" t="inlineStr">
        <is>
          <t>Session Management</t>
        </is>
      </c>
      <c r="E17" s="9" t="inlineStr">
        <is>
          <t>Verify Archive Operation Is Not Supported for Session</t>
        </is>
      </c>
      <c r="F17" s="9" t="inlineStr">
        <is>
          <t>Verify system does not support archiving individual sessions.</t>
        </is>
      </c>
      <c r="G17" s="9" t="inlineStr">
        <is>
          <t>User is logged in as Staff.</t>
        </is>
      </c>
      <c r="H17" s="9" t="inlineStr">
        <is>
          <t>SessionName="Session 1"</t>
        </is>
      </c>
      <c r="I17" s="9" t="inlineStr">
        <is>
          <t>1. Check available actions on session.</t>
        </is>
      </c>
      <c r="J17" s="9" t="inlineStr">
        <is>
          <t>Archive button is not available for sessions (only Delete is supported).</t>
        </is>
      </c>
      <c r="K17" s="9" t="inlineStr">
        <is>
          <t>Archive button was not available for sessions; only Delete was supported.</t>
        </is>
      </c>
      <c r="L17" s="39" t="inlineStr">
        <is>
          <t>Passed</t>
        </is>
      </c>
      <c r="M17" s="10" t="inlineStr">
        <is>
          <t>Medium</t>
        </is>
      </c>
      <c r="N17" s="9" t="inlineStr">
        <is>
          <t>Related Requirement: M07-F04, Business Rules 6.4</t>
        </is>
      </c>
    </row>
    <row r="18" ht="90" customHeight="1">
      <c r="A18" s="2" t="inlineStr">
        <is>
          <t>TC-M07-017</t>
        </is>
      </c>
      <c r="B18" s="2" t="inlineStr">
        <is>
          <t>Module 07 - Training Materials</t>
        </is>
      </c>
      <c r="C18" s="3" t="inlineStr">
        <is>
          <t>M07-F05</t>
        </is>
      </c>
      <c r="D18" s="4" t="inlineStr">
        <is>
          <t>Exam Management</t>
        </is>
      </c>
      <c r="E18" s="4" t="inlineStr">
        <is>
          <t>Create New Exam with Valid Information</t>
        </is>
      </c>
      <c r="F18" s="4" t="inlineStr">
        <is>
          <t>Verify functionality for creating a new exam item inside a course.</t>
        </is>
      </c>
      <c r="G18" s="4" t="inlineStr">
        <is>
          <t>User is logged in as Staff.
Course "Web Development" exists.</t>
        </is>
      </c>
      <c r="H18" s="4" t="inlineStr">
        <is>
          <t>CourseName="Web Development"; ExamName="Midterm Exam"</t>
        </is>
      </c>
      <c r="I18" s="4" t="inlineStr">
        <is>
          <t>1. Open Course "Web Development";
2. Click Add Exam button;
3. Enter Exam Name as "Midterm Exam";
4. Click Save button.</t>
        </is>
      </c>
      <c r="J18" s="4" t="inlineStr">
        <is>
          <t>Exam created successfully.
"Midterm Exam" displays in exam section of course.</t>
        </is>
      </c>
      <c r="K18" s="4" t="inlineStr">
        <is>
          <t>Exam created successfully. "Midterm Exam" displayed in exam section of course.</t>
        </is>
      </c>
      <c r="L18" s="39" t="inlineStr">
        <is>
          <t>Passed</t>
        </is>
      </c>
      <c r="M18" s="6" t="inlineStr">
        <is>
          <t>High</t>
        </is>
      </c>
      <c r="N18" s="4" t="inlineStr">
        <is>
          <t>Related Requirement: M07-F05, Business Rules 6.5</t>
        </is>
      </c>
    </row>
    <row r="19" ht="45" customHeight="1">
      <c r="A19" s="7" t="inlineStr">
        <is>
          <t>TC-M07-018</t>
        </is>
      </c>
      <c r="B19" s="7" t="inlineStr">
        <is>
          <t>Module 07 - Training Materials</t>
        </is>
      </c>
      <c r="C19" s="8" t="inlineStr">
        <is>
          <t>M07-F05</t>
        </is>
      </c>
      <c r="D19" s="9" t="inlineStr">
        <is>
          <t>Exam Management</t>
        </is>
      </c>
      <c r="E19" s="9" t="inlineStr">
        <is>
          <t>New Exam Creation Fails Due to Empty Name</t>
        </is>
      </c>
      <c r="F19" s="9" t="inlineStr">
        <is>
          <t>Verify system displays error when exam name is empty.</t>
        </is>
      </c>
      <c r="G19" s="9" t="inlineStr">
        <is>
          <t>User is logged in as Staff.</t>
        </is>
      </c>
      <c r="H19" s="9" t="inlineStr">
        <is>
          <t>ExamName=""</t>
        </is>
      </c>
      <c r="I19" s="9" t="inlineStr">
        <is>
          <t>1. Leave Exam Name field empty;
2. Click Save button.</t>
        </is>
      </c>
      <c r="J19" s="9" t="inlineStr">
        <is>
          <t>System blocks action.
Validation error appears: "Exam Name is required."</t>
        </is>
      </c>
      <c r="K19" s="9" t="inlineStr">
        <is>
          <t>System blocked action and displayed validation error: "Exam Name is required."</t>
        </is>
      </c>
      <c r="L19" s="39" t="inlineStr">
        <is>
          <t>Passed</t>
        </is>
      </c>
      <c r="M19" s="6" t="inlineStr">
        <is>
          <t>High</t>
        </is>
      </c>
      <c r="N19" s="9" t="inlineStr">
        <is>
          <t>Related Requirement: M07-F05, Validation Rules (Section 8)</t>
        </is>
      </c>
    </row>
    <row r="20" ht="75" customHeight="1">
      <c r="A20" s="2" t="inlineStr">
        <is>
          <t>TC-M07-019</t>
        </is>
      </c>
      <c r="B20" s="2" t="inlineStr">
        <is>
          <t>Module 07 - Training Materials</t>
        </is>
      </c>
      <c r="C20" s="3" t="inlineStr">
        <is>
          <t>M07-F05</t>
        </is>
      </c>
      <c r="D20" s="4" t="inlineStr">
        <is>
          <t>Exam Management</t>
        </is>
      </c>
      <c r="E20" s="4" t="inlineStr">
        <is>
          <t>Edit Exam Details</t>
        </is>
      </c>
      <c r="F20" s="4" t="inlineStr">
        <is>
          <t>Verify functionality for updating exam title/details.</t>
        </is>
      </c>
      <c r="G20" s="4" t="inlineStr">
        <is>
          <t>User is logged in as Staff.
Exam "Midterm Exam" exists.</t>
        </is>
      </c>
      <c r="H20" s="4" t="inlineStr">
        <is>
          <t>OldExamName="Midterm Exam"; NewExamName="Midterm Practical Exam"</t>
        </is>
      </c>
      <c r="I20" s="4" t="inlineStr">
        <is>
          <t>1. Click Edit icon on exam;
2. Update Exam Name to "Midterm Practical Exam";
3. Click Save button.</t>
        </is>
      </c>
      <c r="J20" s="4" t="inlineStr">
        <is>
          <t>Exam details updated successfully.</t>
        </is>
      </c>
      <c r="K20" s="4" t="inlineStr">
        <is>
          <t>Exam details were updated successfully as expected.</t>
        </is>
      </c>
      <c r="L20" s="39" t="inlineStr">
        <is>
          <t>Passed</t>
        </is>
      </c>
      <c r="M20" s="6" t="inlineStr">
        <is>
          <t>High</t>
        </is>
      </c>
      <c r="N20" s="4" t="inlineStr">
        <is>
          <t>Related Requirement: M07-F05, Business Rules 6.5</t>
        </is>
      </c>
    </row>
    <row r="21" ht="60" customHeight="1">
      <c r="A21" s="7" t="inlineStr">
        <is>
          <t>TC-M07-020</t>
        </is>
      </c>
      <c r="B21" s="7" t="inlineStr">
        <is>
          <t>Module 07 - Training Materials</t>
        </is>
      </c>
      <c r="C21" s="8" t="inlineStr">
        <is>
          <t>M07-F05</t>
        </is>
      </c>
      <c r="D21" s="9" t="inlineStr">
        <is>
          <t>Exam Management</t>
        </is>
      </c>
      <c r="E21" s="9" t="inlineStr">
        <is>
          <t>Permanently Delete Exam</t>
        </is>
      </c>
      <c r="F21" s="9" t="inlineStr">
        <is>
          <t>Verify functionality for permanently deleting an exam.</t>
        </is>
      </c>
      <c r="G21" s="9" t="inlineStr">
        <is>
          <t>User is logged in as Staff.
Exam "Midterm Exam" exists.</t>
        </is>
      </c>
      <c r="H21" s="9" t="inlineStr">
        <is>
          <t>ExamName="Midterm Exam"</t>
        </is>
      </c>
      <c r="I21" s="9" t="inlineStr">
        <is>
          <t>1. Click Delete icon on exam;
2. Confirm permanent deletion in confirmation dialog.</t>
        </is>
      </c>
      <c r="J21" s="9" t="inlineStr">
        <is>
          <t>Exam and all attached exam materials are permanently deleted from system.</t>
        </is>
      </c>
      <c r="K21" s="9" t="inlineStr">
        <is>
          <t>Exam and all attached exam materials were permanently deleted from system.</t>
        </is>
      </c>
      <c r="L21" s="39" t="inlineStr">
        <is>
          <t>Passed</t>
        </is>
      </c>
      <c r="M21" s="6" t="inlineStr">
        <is>
          <t>High</t>
        </is>
      </c>
      <c r="N21" s="9" t="inlineStr">
        <is>
          <t>Related Requirement: M07-F05, Business Rules 6.5</t>
        </is>
      </c>
    </row>
    <row r="22" ht="45" customHeight="1">
      <c r="A22" s="2" t="inlineStr">
        <is>
          <t>TC-M07-021</t>
        </is>
      </c>
      <c r="B22" s="2" t="inlineStr">
        <is>
          <t>Module 07 - Training Materials</t>
        </is>
      </c>
      <c r="C22" s="3" t="inlineStr">
        <is>
          <t>M07-F05</t>
        </is>
      </c>
      <c r="D22" s="4" t="inlineStr">
        <is>
          <t>Exam Management</t>
        </is>
      </c>
      <c r="E22" s="4" t="inlineStr">
        <is>
          <t>Cancel Exam Deletion Operation</t>
        </is>
      </c>
      <c r="F22" s="4" t="inlineStr">
        <is>
          <t>Verify clicking Cancel in exam deletion dialog preserves exam without deleting.</t>
        </is>
      </c>
      <c r="G22" s="4" t="inlineStr">
        <is>
          <t>User is logged in as Staff.
Exam deletion modal open.</t>
        </is>
      </c>
      <c r="H22" s="4" t="inlineStr">
        <is>
          <t>Action="Cancel Deletion"</t>
        </is>
      </c>
      <c r="I22" s="4" t="inlineStr">
        <is>
          <t>1. Click Delete icon on exam;
2. In confirmation dialog, click Cancel button.</t>
        </is>
      </c>
      <c r="J22" s="4" t="inlineStr">
        <is>
          <t>Dialog closes.
Exam remains intact in course.</t>
        </is>
      </c>
      <c r="K22" s="4" t="inlineStr">
        <is>
          <t>Confirmation dialog closed and exam remained intact in course.</t>
        </is>
      </c>
      <c r="L22" s="39" t="inlineStr">
        <is>
          <t>Passed</t>
        </is>
      </c>
      <c r="M22" s="10" t="inlineStr">
        <is>
          <t>Medium</t>
        </is>
      </c>
      <c r="N22" s="4" t="inlineStr">
        <is>
          <t>Related Requirement: M07-F05, UI Standards</t>
        </is>
      </c>
    </row>
    <row r="23" ht="30" customHeight="1">
      <c r="A23" s="7" t="inlineStr">
        <is>
          <t>TC-M07-022</t>
        </is>
      </c>
      <c r="B23" s="7" t="inlineStr">
        <is>
          <t>Module 07 - Training Materials</t>
        </is>
      </c>
      <c r="C23" s="8" t="inlineStr">
        <is>
          <t>M07-F05</t>
        </is>
      </c>
      <c r="D23" s="9" t="inlineStr">
        <is>
          <t>Exam Management</t>
        </is>
      </c>
      <c r="E23" s="9" t="inlineStr">
        <is>
          <t>Verify Archive Operation Is Not Supported for Exam</t>
        </is>
      </c>
      <c r="F23" s="9" t="inlineStr">
        <is>
          <t>Verify system does not support archiving individual exams.</t>
        </is>
      </c>
      <c r="G23" s="9" t="inlineStr">
        <is>
          <t>User is logged in as Staff.</t>
        </is>
      </c>
      <c r="H23" s="9" t="inlineStr">
        <is>
          <t>ExamName="Midterm Exam"</t>
        </is>
      </c>
      <c r="I23" s="9" t="inlineStr">
        <is>
          <t>1. Check available actions on exam.</t>
        </is>
      </c>
      <c r="J23" s="9" t="inlineStr">
        <is>
          <t>Archive button is not available for exams (only Delete is supported).</t>
        </is>
      </c>
      <c r="K23" s="9" t="inlineStr">
        <is>
          <t>Archive button was not available for exams; only Delete was supported.</t>
        </is>
      </c>
      <c r="L23" s="39" t="inlineStr">
        <is>
          <t>Passed</t>
        </is>
      </c>
      <c r="M23" s="10" t="inlineStr">
        <is>
          <t>Medium</t>
        </is>
      </c>
      <c r="N23" s="9" t="inlineStr">
        <is>
          <t>Related Requirement: M07-F05, Business Rules 6.5</t>
        </is>
      </c>
    </row>
    <row r="24" ht="120" customHeight="1">
      <c r="A24" s="2" t="inlineStr">
        <is>
          <t>TC-M07-023</t>
        </is>
      </c>
      <c r="B24" s="2" t="inlineStr">
        <is>
          <t>Module 07 - Training Materials</t>
        </is>
      </c>
      <c r="C24" s="3" t="inlineStr">
        <is>
          <t>M07-F06</t>
        </is>
      </c>
      <c r="D24" s="4" t="inlineStr">
        <is>
          <t>Material Link Attachment</t>
        </is>
      </c>
      <c r="E24" s="4" t="inlineStr">
        <is>
          <t>Attach a Valid Document Link to Session/Exam</t>
        </is>
      </c>
      <c r="F24" s="4" t="inlineStr">
        <is>
          <t>Verify functionality for attaching a valid Google Drive material link with a label.</t>
        </is>
      </c>
      <c r="G24" s="4" t="inlineStr">
        <is>
          <t>User is logged in as Staff.
Session or Exam exists.</t>
        </is>
      </c>
      <c r="H24" s="4" t="inlineStr">
        <is>
          <t>Label="Lecture Slides"; Url="https://drive.google.com/file/d/123/view"</t>
        </is>
      </c>
      <c r="I24" s="4" t="inlineStr">
        <is>
          <t>1. Open Attach Material dialog for Session/Exam;
2. Enter Label as "Lecture Slides";
3. Enter URL as "https://drive.google.com/file/d/123/view";
4. Click Save button.</t>
        </is>
      </c>
      <c r="J24" s="4" t="inlineStr">
        <is>
          <t>Material link is attached successfully and clickable on UI.</t>
        </is>
      </c>
      <c r="K24" s="4" t="inlineStr">
        <is>
          <t>Material link was attached successfully and clickable on UI as expected.</t>
        </is>
      </c>
      <c r="L24" s="39" t="inlineStr">
        <is>
          <t>Passed</t>
        </is>
      </c>
      <c r="M24" s="6" t="inlineStr">
        <is>
          <t>High</t>
        </is>
      </c>
      <c r="N24" s="4" t="inlineStr">
        <is>
          <t>Related Requirement: M07-F06, Business Rules 6.6</t>
        </is>
      </c>
    </row>
    <row r="25" ht="75" customHeight="1">
      <c r="A25" s="7" t="inlineStr">
        <is>
          <t>TC-M07-024</t>
        </is>
      </c>
      <c r="B25" s="7" t="inlineStr">
        <is>
          <t>Module 07 - Training Materials</t>
        </is>
      </c>
      <c r="C25" s="8" t="inlineStr">
        <is>
          <t>M07-F06</t>
        </is>
      </c>
      <c r="D25" s="9" t="inlineStr">
        <is>
          <t>Material Link Attachment</t>
        </is>
      </c>
      <c r="E25" s="9" t="inlineStr">
        <is>
          <t>Attach Multiple Valid Document Links to Session/Exam</t>
        </is>
      </c>
      <c r="F25" s="9" t="inlineStr">
        <is>
          <t>Verify functionality for attaching multiple document links simultaneously.</t>
        </is>
      </c>
      <c r="G25" s="9" t="inlineStr">
        <is>
          <t>User is logged in as Staff.</t>
        </is>
      </c>
      <c r="H25" s="9" t="inlineStr">
        <is>
          <t>Materials=[{Label: "Slides", Url: "https://drive.google.com/file/1"}, {Label: "Exercise", Url: "https://drive.google.com/file/2"}]</t>
        </is>
      </c>
      <c r="I25" s="9" t="inlineStr">
        <is>
          <t>1. Add multiple material rows;
2. Enter valid Labels and Google Drive URLs;
3. Click Save button.</t>
        </is>
      </c>
      <c r="J25" s="9" t="inlineStr">
        <is>
          <t>All material links are attached and displayed under session/exam.</t>
        </is>
      </c>
      <c r="K25" s="9" t="inlineStr">
        <is>
          <t>All material links were attached and displayed under session/exam as expected.</t>
        </is>
      </c>
      <c r="L25" s="39" t="inlineStr">
        <is>
          <t>Passed</t>
        </is>
      </c>
      <c r="M25" s="6" t="inlineStr">
        <is>
          <t>High</t>
        </is>
      </c>
      <c r="N25" s="9" t="inlineStr">
        <is>
          <t>Related Requirement: M07-F06, Business Rules 6.6</t>
        </is>
      </c>
    </row>
    <row r="26" ht="75" customHeight="1">
      <c r="A26" s="2" t="inlineStr">
        <is>
          <t>TC-M07-025</t>
        </is>
      </c>
      <c r="B26" s="2" t="inlineStr">
        <is>
          <t>Module 07 - Training Materials</t>
        </is>
      </c>
      <c r="C26" s="3" t="inlineStr">
        <is>
          <t>M07-F06</t>
        </is>
      </c>
      <c r="D26" s="4" t="inlineStr">
        <is>
          <t>Material Link Attachment</t>
        </is>
      </c>
      <c r="E26" s="4" t="inlineStr">
        <is>
          <t>Attach Material with Completely Empty Row (Ignore Blank Rows)</t>
        </is>
      </c>
      <c r="F26" s="4" t="inlineStr">
        <is>
          <t>Verify system ignores completely blank material rows without raising error.</t>
        </is>
      </c>
      <c r="G26" s="4" t="inlineStr">
        <is>
          <t>User is logged in as Staff.</t>
        </is>
      </c>
      <c r="H26" s="4" t="inlineStr">
        <is>
          <t>Row1={Label: "Slides", Url: "https://drive.google.com/..."}; Row2={Label: "", Url: ""}</t>
        </is>
      </c>
      <c r="I26" s="4" t="inlineStr">
        <is>
          <t>1. Fill Row 1 with valid label and URL;
2. Leave Row 2 completely empty;
3. Click Save button.</t>
        </is>
      </c>
      <c r="J26" s="4" t="inlineStr">
        <is>
          <t>System saves Row 1 successfully and ignores blank Row 2 without error.</t>
        </is>
      </c>
      <c r="K26" s="4" t="inlineStr">
        <is>
          <t>System saved Row 1 successfully and ignored blank Row 2 without error.</t>
        </is>
      </c>
      <c r="L26" s="39" t="inlineStr">
        <is>
          <t>Passed</t>
        </is>
      </c>
      <c r="M26" s="10" t="inlineStr">
        <is>
          <t>Medium</t>
        </is>
      </c>
      <c r="N26" s="4" t="inlineStr">
        <is>
          <t>Related Requirement: M07-F06, Business Rules 6.6</t>
        </is>
      </c>
    </row>
    <row r="27" ht="75" customHeight="1">
      <c r="A27" s="7" t="inlineStr">
        <is>
          <t>TC-M07-026</t>
        </is>
      </c>
      <c r="B27" s="7" t="inlineStr">
        <is>
          <t>Module 07 - Training Materials</t>
        </is>
      </c>
      <c r="C27" s="8" t="inlineStr">
        <is>
          <t>M07-F06</t>
        </is>
      </c>
      <c r="D27" s="9" t="inlineStr">
        <is>
          <t>Material Link Attachment</t>
        </is>
      </c>
      <c r="E27" s="9" t="inlineStr">
        <is>
          <t>Attach Material Fails Due to Label Provided with Empty URL</t>
        </is>
      </c>
      <c r="F27" s="9" t="inlineStr">
        <is>
          <t>Verify system displays error when Label is filled but URL is empty.</t>
        </is>
      </c>
      <c r="G27" s="9" t="inlineStr">
        <is>
          <t>User is logged in as Staff.</t>
        </is>
      </c>
      <c r="H27" s="9" t="inlineStr">
        <is>
          <t>Label="Lecture Slides"; Url=""</t>
        </is>
      </c>
      <c r="I27" s="9" t="inlineStr">
        <is>
          <t>1. Enter Label as "Lecture Slides";
2. Leave URL field empty;
3. Click Save button.</t>
        </is>
      </c>
      <c r="J27" s="9" t="inlineStr">
        <is>
          <t>System blocks action.
Validation error appears: "URL is required when Label is specified."</t>
        </is>
      </c>
      <c r="K27" s="9" t="inlineStr">
        <is>
          <t>The system saves the document link successfully even though the URL field is empty. No validation error message is displayed, and the attached document link does not appear in the document list after saving.</t>
        </is>
      </c>
      <c r="L27" s="40" t="inlineStr">
        <is>
          <t>Failed</t>
        </is>
      </c>
      <c r="M27" s="6" t="inlineStr">
        <is>
          <t>High</t>
        </is>
      </c>
      <c r="N27" s="9" t="inlineStr">
        <is>
          <t>Related Requirement: M07-F06, Validation Rules (Section 8)</t>
        </is>
      </c>
      <c r="O27" s="36" t="n"/>
    </row>
    <row r="28" ht="90.75" customHeight="1">
      <c r="A28" s="2" t="inlineStr">
        <is>
          <t>TC-M07-027</t>
        </is>
      </c>
      <c r="B28" s="2" t="inlineStr">
        <is>
          <t>Module 07 - Training Materials</t>
        </is>
      </c>
      <c r="C28" s="3" t="inlineStr">
        <is>
          <t>M07-F06</t>
        </is>
      </c>
      <c r="D28" s="4" t="inlineStr">
        <is>
          <t>Material Link Attachment</t>
        </is>
      </c>
      <c r="E28" s="4" t="inlineStr">
        <is>
          <t>Attach Material Fails Due to URL Provided with Empty Label</t>
        </is>
      </c>
      <c r="F28" s="4" t="inlineStr">
        <is>
          <t>Verify system displays error when URL is filled but Label is empty.</t>
        </is>
      </c>
      <c r="G28" s="4" t="inlineStr">
        <is>
          <t>User is logged in as Staff.</t>
        </is>
      </c>
      <c r="H28" s="4" t="inlineStr">
        <is>
          <t>Label=""; Url="https://drive.google.com/file/d/123/view"</t>
        </is>
      </c>
      <c r="I28" s="4" t="inlineStr">
        <is>
          <t>1. Leave Label field empty;
2. Enter valid Google Drive URL;
3. Click Save button.</t>
        </is>
      </c>
      <c r="J28" s="4" t="inlineStr">
        <is>
          <t>System blocks action.
Validation error appears: "Label is required when URL is specified."</t>
        </is>
      </c>
      <c r="K28" s="4" t="inlineStr">
        <is>
          <t>The system saves the document link successfully even though the Label field is empty. No validation error message is displayed, and the attached document link does not appear in the document list after saving.</t>
        </is>
      </c>
      <c r="L28" s="40" t="inlineStr">
        <is>
          <t>Failed</t>
        </is>
      </c>
      <c r="M28" s="6" t="inlineStr">
        <is>
          <t>High</t>
        </is>
      </c>
      <c r="N28" s="4" t="inlineStr">
        <is>
          <t>Related Requirement: M07-F06, Validation Rules (Section 8)</t>
        </is>
      </c>
      <c r="O28" s="37" t="n"/>
    </row>
    <row r="29" ht="75" customHeight="1">
      <c r="A29" s="7" t="inlineStr">
        <is>
          <t>TC-M07-028</t>
        </is>
      </c>
      <c r="B29" s="7" t="inlineStr">
        <is>
          <t>Module 07 - Training Materials</t>
        </is>
      </c>
      <c r="C29" s="8" t="inlineStr">
        <is>
          <t>M07-F06</t>
        </is>
      </c>
      <c r="D29" s="9" t="inlineStr">
        <is>
          <t>Material Link Attachment</t>
        </is>
      </c>
      <c r="E29" s="9" t="inlineStr">
        <is>
          <t>Attach Material Fails Due to Non-Google Drive Link Domain</t>
        </is>
      </c>
      <c r="F29" s="9" t="inlineStr">
        <is>
          <t>Verify system restricts material links to Google Drive domain.</t>
        </is>
      </c>
      <c r="G29" s="9" t="inlineStr">
        <is>
          <t>User is logged in as Staff.</t>
        </is>
      </c>
      <c r="H29" s="9" t="inlineStr">
        <is>
          <t>Label="External Site"; Url="https://example.com/file.pdf"</t>
        </is>
      </c>
      <c r="I29" s="9" t="inlineStr">
        <is>
          <t>1. Enter Label as "External Site";
2. Enter non-Google Drive URL "https://example.com/file.pdf";
3. Click Save button.</t>
        </is>
      </c>
      <c r="J29" s="9" t="inlineStr">
        <is>
          <t>System blocks action.
Validation error appears: "Material link must be a valid Google Drive URL."</t>
        </is>
      </c>
      <c r="K29" s="9" t="inlineStr">
        <is>
          <t>System blocked action and displayed validation error: "Material link must be a valid Google Drive URL."</t>
        </is>
      </c>
      <c r="L29" s="39" t="inlineStr">
        <is>
          <t>Passed</t>
        </is>
      </c>
      <c r="M29" s="6" t="inlineStr">
        <is>
          <t>High</t>
        </is>
      </c>
      <c r="N29" s="9" t="inlineStr">
        <is>
          <t>Related Requirement: M07-F06, Validation Rules (Section 8)</t>
        </is>
      </c>
    </row>
    <row r="30" ht="45" customHeight="1">
      <c r="A30" s="2" t="inlineStr">
        <is>
          <t>TC-M07-029</t>
        </is>
      </c>
      <c r="B30" s="2" t="inlineStr">
        <is>
          <t>Module 07 - Training Materials</t>
        </is>
      </c>
      <c r="C30" s="3" t="inlineStr">
        <is>
          <t>M07-F07</t>
        </is>
      </c>
      <c r="D30" s="4" t="inlineStr">
        <is>
          <t>CSV Export &amp; Import</t>
        </is>
      </c>
      <c r="E30" s="4" t="inlineStr">
        <is>
          <t>Export Session List to CSV File (Export CSV)</t>
        </is>
      </c>
      <c r="F30" s="4" t="inlineStr">
        <is>
          <t>Verify functionality for exporting course session list to a downloadable CSV file.</t>
        </is>
      </c>
      <c r="G30" s="4" t="inlineStr">
        <is>
          <t>User is logged in as Staff.
Course contains sessions.</t>
        </is>
      </c>
      <c r="H30" s="4" t="inlineStr">
        <is>
          <t>CourseName="Web Development"</t>
        </is>
      </c>
      <c r="I30" s="4" t="inlineStr">
        <is>
          <t>1. Open Course "Web Development";
2. Click Export CSV button.</t>
        </is>
      </c>
      <c r="J30" s="4" t="inlineStr">
        <is>
          <t>CSV file downloads successfully containing Session ID, Session Name, and Material details.</t>
        </is>
      </c>
      <c r="K30" s="4" t="inlineStr">
        <is>
          <t>CSV file downloaded successfully containing Session ID, Session Name, and Material details.</t>
        </is>
      </c>
      <c r="L30" s="39" t="inlineStr">
        <is>
          <t>Passed</t>
        </is>
      </c>
      <c r="M30" s="6" t="inlineStr">
        <is>
          <t>High</t>
        </is>
      </c>
      <c r="N30" s="4" t="inlineStr">
        <is>
          <t>Related Requirement: M07-F07, Business Rules 6.7</t>
        </is>
      </c>
      <c r="O30" s="37" t="n"/>
    </row>
    <row r="31" ht="45" customHeight="1">
      <c r="A31" s="7" t="inlineStr">
        <is>
          <t>TC-M07-030</t>
        </is>
      </c>
      <c r="B31" s="7" t="inlineStr">
        <is>
          <t>Module 07 - Training Materials</t>
        </is>
      </c>
      <c r="C31" s="8" t="inlineStr">
        <is>
          <t>M07-F07</t>
        </is>
      </c>
      <c r="D31" s="9" t="inlineStr">
        <is>
          <t>CSV Export &amp; Import</t>
        </is>
      </c>
      <c r="E31" s="9" t="inlineStr">
        <is>
          <t>Import CSV - Update Information of Existing Session</t>
        </is>
      </c>
      <c r="F31" s="9" t="inlineStr">
        <is>
          <t>Verify importing CSV with matching Session ID updates existing session details.</t>
        </is>
      </c>
      <c r="G31" s="9" t="inlineStr">
        <is>
          <t>User is logged in as Staff.
Session ID "SES-001" exists in system.</t>
        </is>
      </c>
      <c r="H31" s="9" t="inlineStr">
        <is>
          <t>CsvFile="SessionID=SES-001, SessionName=Updated HTML Basics"</t>
        </is>
      </c>
      <c r="I31" s="9" t="inlineStr">
        <is>
          <t>1. Upload CSV containing updated name for SES-001;
2. Click Import CSV button.</t>
        </is>
      </c>
      <c r="J31" s="9" t="inlineStr">
        <is>
          <t>Session SES-001 is updated with new name "Updated HTML Basics".</t>
        </is>
      </c>
      <c r="K31" s="9" t="inlineStr">
        <is>
          <t>Session SES-001 was updated with new name "Updated HTML Basics".</t>
        </is>
      </c>
      <c r="L31" s="39" t="inlineStr">
        <is>
          <t>Passed</t>
        </is>
      </c>
      <c r="M31" s="6" t="inlineStr">
        <is>
          <t>High</t>
        </is>
      </c>
      <c r="N31" s="9" t="inlineStr">
        <is>
          <t>Related Requirement: M07-F07, Business Rules 6.7</t>
        </is>
      </c>
      <c r="O31" s="36" t="n"/>
    </row>
    <row r="32" ht="45" customHeight="1">
      <c r="A32" s="2" t="inlineStr">
        <is>
          <t>TC-M07-031</t>
        </is>
      </c>
      <c r="B32" s="2" t="inlineStr">
        <is>
          <t>Module 07 - Training Materials</t>
        </is>
      </c>
      <c r="C32" s="3" t="inlineStr">
        <is>
          <t>M07-F07</t>
        </is>
      </c>
      <c r="D32" s="4" t="inlineStr">
        <is>
          <t>CSV Export &amp; Import</t>
        </is>
      </c>
      <c r="E32" s="4" t="inlineStr">
        <is>
          <t>Import CSV - Create New Session when Session ID Is Blank</t>
        </is>
      </c>
      <c r="F32" s="4" t="inlineStr">
        <is>
          <t>Verify importing CSV row with empty Session ID creates a brand new session.</t>
        </is>
      </c>
      <c r="G32" s="4" t="inlineStr">
        <is>
          <t>User is logged in as Staff.</t>
        </is>
      </c>
      <c r="H32" s="4" t="inlineStr">
        <is>
          <t>CsvFile="SessionID=, SessionName=New CSS Grid Session"</t>
        </is>
      </c>
      <c r="I32" s="4" t="inlineStr">
        <is>
          <t>1. Upload CSV containing blank Session ID row;
2. Click Import CSV button.</t>
        </is>
      </c>
      <c r="J32" s="4" t="inlineStr">
        <is>
          <t>New session "New CSS Grid Session" is created with auto-generated Session ID.</t>
        </is>
      </c>
      <c r="K32" s="4" t="inlineStr">
        <is>
          <t>New session "New CSS Grid Session" was created with auto-generated Session ID.</t>
        </is>
      </c>
      <c r="L32" s="39" t="inlineStr">
        <is>
          <t>Passed</t>
        </is>
      </c>
      <c r="M32" s="6" t="inlineStr">
        <is>
          <t>High</t>
        </is>
      </c>
      <c r="N32" s="4" t="inlineStr">
        <is>
          <t>Related Requirement: M07-F07, Business Rules 6.7</t>
        </is>
      </c>
      <c r="O32" s="37" t="n"/>
    </row>
    <row r="33" ht="45" customHeight="1">
      <c r="A33" s="7" t="inlineStr">
        <is>
          <t>TC-M07-032</t>
        </is>
      </c>
      <c r="B33" s="7" t="inlineStr">
        <is>
          <t>Module 07 - Training Materials</t>
        </is>
      </c>
      <c r="C33" s="8" t="inlineStr">
        <is>
          <t>M07-F07</t>
        </is>
      </c>
      <c r="D33" s="9" t="inlineStr">
        <is>
          <t>CSV Export &amp; Import</t>
        </is>
      </c>
      <c r="E33" s="9" t="inlineStr">
        <is>
          <t>Import CSV - Create New Session when Session ID Does Not Exist in System</t>
        </is>
      </c>
      <c r="F33" s="9" t="inlineStr">
        <is>
          <t>Verify importing CSV row with non-existent Session ID creates a new session.</t>
        </is>
      </c>
      <c r="G33" s="9" t="inlineStr">
        <is>
          <t>User is logged in as Staff.
Session ID "SES-999" does not exist.</t>
        </is>
      </c>
      <c r="H33" s="9" t="inlineStr">
        <is>
          <t>CsvFile="SessionID=3, SessionName=Flexbox Guide"</t>
        </is>
      </c>
      <c r="I33" s="9" t="inlineStr">
        <is>
          <t>1. Upload CSV containing non-existent Session ID;
2. Click Import CSV button.</t>
        </is>
      </c>
      <c r="J33" s="9" t="inlineStr">
        <is>
          <t>New session "Flexbox Guide" is created in system.</t>
        </is>
      </c>
      <c r="K33" s="9" t="inlineStr">
        <is>
          <t>The system does not create a new session. Instead, the import is skipped and the message "Row 2: session ID 3 not found" is displayed. No changes are made.</t>
        </is>
      </c>
      <c r="L33" s="40" t="inlineStr">
        <is>
          <t>Failed</t>
        </is>
      </c>
      <c r="M33" s="10" t="inlineStr">
        <is>
          <t>Medium</t>
        </is>
      </c>
      <c r="N33" s="9" t="inlineStr">
        <is>
          <t>Related Requirement: M07-F07, Business Rules 6.7</t>
        </is>
      </c>
      <c r="O33" s="38" t="n"/>
    </row>
    <row r="34" ht="45" customHeight="1">
      <c r="A34" s="2" t="inlineStr">
        <is>
          <t>TC-M07-033</t>
        </is>
      </c>
      <c r="B34" s="2" t="inlineStr">
        <is>
          <t>Module 07 - Training Materials</t>
        </is>
      </c>
      <c r="C34" s="3" t="inlineStr">
        <is>
          <t>M07-F07</t>
        </is>
      </c>
      <c r="D34" s="4" t="inlineStr">
        <is>
          <t>CSV Export &amp; Import</t>
        </is>
      </c>
      <c r="E34" s="4" t="inlineStr">
        <is>
          <t>Import CSV - Existing Sessions Omitted from CSV Are Retained</t>
        </is>
      </c>
      <c r="F34" s="4" t="inlineStr">
        <is>
          <t>Verify importing CSV does not delete existing sessions that are absent from the CSV file.</t>
        </is>
      </c>
      <c r="G34" s="4" t="inlineStr">
        <is>
          <t>User is logged in as Staff.
Sessions SES-001 and SES-002 exist.</t>
        </is>
      </c>
      <c r="H34" s="4" t="inlineStr">
        <is>
          <t>CsvFile="SessionID=SES-001, SessionName=HTML Basics"</t>
        </is>
      </c>
      <c r="I34" s="4" t="inlineStr">
        <is>
          <t>1. Upload CSV containing only SES-001;
2. Perform CSV import.</t>
        </is>
      </c>
      <c r="J34" s="4" t="inlineStr">
        <is>
          <t>SES-001 is processed, and omitted session SES-002 remains unchanged in system without being deleted.</t>
        </is>
      </c>
      <c r="K34" s="4" t="inlineStr">
        <is>
          <t>SES-001 was processed, and omitted session SES-002 remained unchanged in system without being deleted.</t>
        </is>
      </c>
      <c r="L34" s="39" t="inlineStr">
        <is>
          <t>Passed</t>
        </is>
      </c>
      <c r="M34" s="6" t="inlineStr">
        <is>
          <t>High</t>
        </is>
      </c>
      <c r="N34" s="4" t="inlineStr">
        <is>
          <t>Related Requirement: M07-F07, Business Rules 6.7</t>
        </is>
      </c>
      <c r="O34" s="38" t="n"/>
    </row>
    <row r="35" ht="45" customHeight="1">
      <c r="A35" s="7" t="inlineStr">
        <is>
          <t>TC-M07-034</t>
        </is>
      </c>
      <c r="B35" s="7" t="inlineStr">
        <is>
          <t>Module 07 - Training Materials</t>
        </is>
      </c>
      <c r="C35" s="8" t="inlineStr">
        <is>
          <t>M07-F07</t>
        </is>
      </c>
      <c r="D35" s="9" t="inlineStr">
        <is>
          <t>CSV Export &amp; Import</t>
        </is>
      </c>
      <c r="E35" s="9" t="inlineStr">
        <is>
          <t>Import CSV - Skip Materials Column in Uploaded CSV File</t>
        </is>
      </c>
      <c r="F35" s="9" t="inlineStr">
        <is>
          <t>Verify system ignores Materials column when importing session CSV file.</t>
        </is>
      </c>
      <c r="G35" s="9" t="inlineStr">
        <is>
          <t>User is logged in as Staff.</t>
        </is>
      </c>
      <c r="H35" s="9" t="inlineStr">
        <is>
          <t>CsvFile="SessionID=SES-001, SessionName=HTML, Materials=http://..."</t>
        </is>
      </c>
      <c r="I35" s="9" t="inlineStr">
        <is>
          <t>1. Upload CSV containing Materials column;
2. Click Import CSV button.</t>
        </is>
      </c>
      <c r="J35" s="9" t="inlineStr">
        <is>
          <t>Sessions are updated/created, and Materials column is safely ignored per business rule.</t>
        </is>
      </c>
      <c r="K35" s="9" t="inlineStr">
        <is>
          <t>Sessions were updated/created, and Materials column was safely ignored per business rule.</t>
        </is>
      </c>
      <c r="L35" s="39" t="inlineStr">
        <is>
          <t>Passed</t>
        </is>
      </c>
      <c r="M35" s="10" t="inlineStr">
        <is>
          <t>Medium</t>
        </is>
      </c>
      <c r="N35" s="9" t="inlineStr">
        <is>
          <t>Related Requirement: M07-F07, Business Rules 6.7</t>
        </is>
      </c>
      <c r="O35" s="38" t="n"/>
    </row>
    <row r="36" ht="60" customHeight="1">
      <c r="A36" s="2" t="inlineStr">
        <is>
          <t>TC-M07-035</t>
        </is>
      </c>
      <c r="B36" s="2" t="inlineStr">
        <is>
          <t>Module 07 - Training Materials</t>
        </is>
      </c>
      <c r="C36" s="3" t="inlineStr">
        <is>
          <t>M07-F07</t>
        </is>
      </c>
      <c r="D36" s="4" t="inlineStr">
        <is>
          <t>CSV Export &amp; Import</t>
        </is>
      </c>
      <c r="E36" s="4" t="inlineStr">
        <is>
          <t>Import CSV Fails Due to Incorrect File Format (Non-CSV File)</t>
        </is>
      </c>
      <c r="F36" s="4" t="inlineStr">
        <is>
          <t>Verify system rejects non-CSV file formats during import.</t>
        </is>
      </c>
      <c r="G36" s="4" t="inlineStr">
        <is>
          <t>User is logged in as Staff.</t>
        </is>
      </c>
      <c r="H36" s="4" t="inlineStr">
        <is>
          <t>FileName="materials.pdf"</t>
        </is>
      </c>
      <c r="I36" s="4" t="inlineStr">
        <is>
          <t>1. Select non-CSV file "materials.pdf" in import dialog;
2. Click Import CSV button.</t>
        </is>
      </c>
      <c r="J36" s="4" t="inlineStr">
        <is>
          <t>System blocks import.
Error message appears: "Invalid file format. Please upload a CSV file."</t>
        </is>
      </c>
      <c r="K36" s="4" t="inlineStr">
        <is>
          <t>System blocked import and displayed error message: "Invalid file format. Please upload a CSV file."</t>
        </is>
      </c>
      <c r="L36" s="39" t="inlineStr">
        <is>
          <t>Passed</t>
        </is>
      </c>
      <c r="M36" s="6" t="inlineStr">
        <is>
          <t>High</t>
        </is>
      </c>
      <c r="N36" s="4" t="inlineStr">
        <is>
          <t>Related Requirement: M07-F07, Validation Rules (Section 8)</t>
        </is>
      </c>
      <c r="O36" s="38" t="n"/>
    </row>
    <row r="37" ht="60" customHeight="1">
      <c r="A37" s="7" t="inlineStr">
        <is>
          <t>TC-M07-036</t>
        </is>
      </c>
      <c r="B37" s="7" t="inlineStr">
        <is>
          <t>Module 07 - Training Materials</t>
        </is>
      </c>
      <c r="C37" s="8" t="inlineStr">
        <is>
          <t>M07-F07</t>
        </is>
      </c>
      <c r="D37" s="9" t="inlineStr">
        <is>
          <t>CSV Export &amp; Import</t>
        </is>
      </c>
      <c r="E37" s="9" t="inlineStr">
        <is>
          <t>Import CSV Fails for Rows Missing Session Name</t>
        </is>
      </c>
      <c r="F37" s="9" t="inlineStr">
        <is>
          <t>Verify system skips or flags error for CSV rows missing mandatory Session Name.</t>
        </is>
      </c>
      <c r="G37" s="9" t="inlineStr">
        <is>
          <t>User is logged in as Staff.</t>
        </is>
      </c>
      <c r="H37" s="9" t="inlineStr">
        <is>
          <t>CsvFile="SessionID=SES-003, SessionName="</t>
        </is>
      </c>
      <c r="I37" s="9" t="inlineStr">
        <is>
          <t>1. Upload CSV containing row with empty Session Name;
2. Click Import CSV button.</t>
        </is>
      </c>
      <c r="J37" s="9" t="inlineStr">
        <is>
          <t>System flags error for row or skips invalid row with warning message: "Session Name is required."</t>
        </is>
      </c>
      <c r="K37" s="9" t="inlineStr">
        <is>
          <t>System flagged error for invalid row with warning message: "Session Name is required."</t>
        </is>
      </c>
      <c r="L37" s="39" t="inlineStr">
        <is>
          <t>Passed</t>
        </is>
      </c>
      <c r="M37" s="6" t="inlineStr">
        <is>
          <t>High</t>
        </is>
      </c>
      <c r="N37" s="9" t="inlineStr">
        <is>
          <t>Related Requirement: M07-F07, Validation Rules (Section 8)</t>
        </is>
      </c>
      <c r="O37" s="38" t="n"/>
    </row>
    <row r="38" ht="60" customHeight="1">
      <c r="A38" s="2" t="inlineStr">
        <is>
          <t>TC-M07-037</t>
        </is>
      </c>
      <c r="B38" s="2" t="inlineStr">
        <is>
          <t>Module 07 - Training Materials</t>
        </is>
      </c>
      <c r="C38" s="3" t="inlineStr">
        <is>
          <t>M07-F08</t>
        </is>
      </c>
      <c r="D38" s="4" t="inlineStr">
        <is>
          <t>Role Permissions &amp; Access Control</t>
        </is>
      </c>
      <c r="E38" s="4" t="inlineStr">
        <is>
          <t>Access Control - Staff Role Has Full Management Access</t>
        </is>
      </c>
      <c r="F38" s="4" t="inlineStr">
        <is>
          <t>Verify Staff users have full CRUD permissions for categories, courses, sessions, exams, and materials.</t>
        </is>
      </c>
      <c r="G38" s="4" t="inlineStr">
        <is>
          <t>User is logged in as Staff.</t>
        </is>
      </c>
      <c r="H38" s="4" t="inlineStr">
        <is>
          <t>StaffEmail="staff@passerellesnumeriques.org"</t>
        </is>
      </c>
      <c r="I38" s="4" t="inlineStr">
        <is>
          <t>1. Access Training Materials module;
2. Verify presence of Create, Edit, Archive, and Delete buttons.</t>
        </is>
      </c>
      <c r="J38" s="4" t="inlineStr">
        <is>
          <t>Staff user can perform all management operations cleanly.</t>
        </is>
      </c>
      <c r="K38" s="4" t="inlineStr">
        <is>
          <t>Staff user was able to perform all management operations cleanly.</t>
        </is>
      </c>
      <c r="L38" s="39" t="inlineStr">
        <is>
          <t>Passed</t>
        </is>
      </c>
      <c r="M38" s="6" t="inlineStr">
        <is>
          <t>High</t>
        </is>
      </c>
      <c r="N38" s="4" t="inlineStr">
        <is>
          <t>Related Requirement: M07-F08, User Roles</t>
        </is>
      </c>
      <c r="O38" s="38" t="n"/>
    </row>
    <row r="39" ht="30" customHeight="1">
      <c r="A39" s="2" t="inlineStr">
        <is>
          <t>TC-M07-038</t>
        </is>
      </c>
      <c r="B39" s="2" t="inlineStr">
        <is>
          <t>Module 07 - Training Materials</t>
        </is>
      </c>
      <c r="C39" s="3" t="inlineStr">
        <is>
          <t>M07-F08</t>
        </is>
      </c>
      <c r="D39" s="4" t="inlineStr">
        <is>
          <t>Role Permissions &amp; Access Control</t>
        </is>
      </c>
      <c r="E39" s="4" t="inlineStr">
        <is>
          <t>Access Control - External Domain Accounts Are Denied Access</t>
        </is>
      </c>
      <c r="F39" s="4" t="inlineStr">
        <is>
          <t>Verify accounts outside organizational domains are denied access.</t>
        </is>
      </c>
      <c r="G39" s="4" t="inlineStr">
        <is>
          <t>User attempts access with external personal account.</t>
        </is>
      </c>
      <c r="H39" s="4" t="inlineStr">
        <is>
          <t>UserEmail="user@gmail.com"</t>
        </is>
      </c>
      <c r="I39" s="4" t="inlineStr">
        <is>
          <t>1. Attempt to access Training Materials URL with external email.</t>
        </is>
      </c>
      <c r="J39" s="4" t="inlineStr">
        <is>
          <t>Access denied page or login redirect is displayed.</t>
        </is>
      </c>
      <c r="K39" s="4" t="inlineStr">
        <is>
          <t>Access denied page was displayed for external domain accounts as expected.</t>
        </is>
      </c>
      <c r="L39" s="39" t="inlineStr">
        <is>
          <t>Passed</t>
        </is>
      </c>
      <c r="M39" s="6" t="inlineStr">
        <is>
          <t>High</t>
        </is>
      </c>
      <c r="N39" s="4" t="inlineStr">
        <is>
          <t>Related Requirement: M07-F08, User Roles</t>
        </is>
      </c>
      <c r="O39" s="38" t="n"/>
    </row>
    <row r="40" ht="60" customHeight="1">
      <c r="A40" s="7" t="inlineStr">
        <is>
          <t>TC-M07-039</t>
        </is>
      </c>
      <c r="B40" s="7" t="inlineStr">
        <is>
          <t>Module 07 - Training Materials</t>
        </is>
      </c>
      <c r="C40" s="8" t="inlineStr">
        <is>
          <t>M07-F03</t>
        </is>
      </c>
      <c r="D40" s="9" t="inlineStr">
        <is>
          <t>Course Management</t>
        </is>
      </c>
      <c r="E40" s="9" t="inlineStr">
        <is>
          <t>Verify Auto-hiding All Child Sessions/Exams When Course Is Archived</t>
        </is>
      </c>
      <c r="F40" s="9" t="inlineStr">
        <is>
          <t>Verify archiving a course automatically hides all nested sessions and exams.</t>
        </is>
      </c>
      <c r="G40" s="9" t="inlineStr">
        <is>
          <t>User is logged in as Staff.
Course "Web Development" contains 3 sessions and 1 exam.</t>
        </is>
      </c>
      <c r="H40" s="9" t="inlineStr">
        <is>
          <t>CourseName="Web Development"</t>
        </is>
      </c>
      <c r="I40" s="9" t="inlineStr">
        <is>
          <t>1. Archive course "Web Development";
2. View course list as Student.</t>
        </is>
      </c>
      <c r="J40" s="9" t="inlineStr">
        <is>
          <t>Course and all its child sessions and exams are hidden from active view.</t>
        </is>
      </c>
      <c r="K40" s="9" t="inlineStr">
        <is>
          <t>Course and all child sessions and exams were hidden from active view upon course archiving.</t>
        </is>
      </c>
      <c r="L40" s="39" t="inlineStr">
        <is>
          <t>Passed</t>
        </is>
      </c>
      <c r="M40" s="6" t="inlineStr">
        <is>
          <t>High</t>
        </is>
      </c>
      <c r="N40" s="9" t="inlineStr">
        <is>
          <t>Related Requirement: M07-F03, Business Rules 6.3</t>
        </is>
      </c>
      <c r="O40" s="38" t="n"/>
    </row>
    <row r="41" ht="45" customHeight="1">
      <c r="A41" s="2" t="inlineStr">
        <is>
          <t>TC-M07-040</t>
        </is>
      </c>
      <c r="B41" s="2" t="inlineStr">
        <is>
          <t>Module 07 - Training Materials</t>
        </is>
      </c>
      <c r="C41" s="3" t="inlineStr">
        <is>
          <t>M07-F03</t>
        </is>
      </c>
      <c r="D41" s="4" t="inlineStr">
        <is>
          <t>Course Management</t>
        </is>
      </c>
      <c r="E41" s="4" t="inlineStr">
        <is>
          <t>Verify Restoring All Child Sessions/Exams When Course Is Restored</t>
        </is>
      </c>
      <c r="F41" s="4" t="inlineStr">
        <is>
          <t>Verify restoring an archived course restores visibility of all nested sessions and exams.</t>
        </is>
      </c>
      <c r="G41" s="4" t="inlineStr">
        <is>
          <t>User is logged in as Staff.
Course "Web Development" is Archived.</t>
        </is>
      </c>
      <c r="H41" s="4" t="inlineStr">
        <is>
          <t>CourseName="Web Development"</t>
        </is>
      </c>
      <c r="I41" s="4" t="inlineStr">
        <is>
          <t>1. Restore course "Web Development";
2. View active course list.</t>
        </is>
      </c>
      <c r="J41" s="4" t="inlineStr">
        <is>
          <t>Course and all child sessions and exams reappear in active view.</t>
        </is>
      </c>
      <c r="K41" s="4" t="inlineStr">
        <is>
          <t>Course and all child sessions and exams reappeared in active view upon course restoration.</t>
        </is>
      </c>
      <c r="L41" s="39" t="inlineStr">
        <is>
          <t>Passed</t>
        </is>
      </c>
      <c r="M41" s="6" t="inlineStr">
        <is>
          <t>High</t>
        </is>
      </c>
      <c r="N41" s="4" t="inlineStr">
        <is>
          <t>Related Requirement: M07-F03, Business Rules 6.3</t>
        </is>
      </c>
      <c r="O41" s="38" t="n"/>
    </row>
  </sheetData>
  <autoFilter ref="A1:N41"/>
  <dataValidations count="2">
    <dataValidation sqref="L2:L141" showDropDown="0" showInputMessage="0" showErrorMessage="0" allowBlank="1" errorTitle="Invalid Status" error="Please select a valid state: Passed, Failed, or Not Run" type="list">
      <formula1>"Passed,Failed,Not Run"</formula1>
    </dataValidation>
    <dataValidation sqref="M2:M141"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2026-07-23T02:12:16Z</dcterms:created>
  <dcterms:modified xsi:type="dcterms:W3CDTF">2026-07-23T03:42:40Z</dcterms:modified>
  <cp:lastModifiedBy>Hoang Doan</cp:lastModifiedBy>
</cp:coreProperties>
</file>