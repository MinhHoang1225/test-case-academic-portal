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8" sheetId="2" state="visible" r:id="rId2"/>
  </sheets>
  <definedNames>
    <definedName name="_xlnm._FilterDatabase" localSheetId="1" hidden="1">'Module08'!$A$1:$N$21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37333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6F4EA"/>
        <bgColor rgb="00E6F4EA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Module 08 - Feature &amp; Priority Summary Report</t>
        </is>
      </c>
    </row>
    <row r="2">
      <c r="A2" s="13" t="inlineStr">
        <is>
          <t>Summary of test cases per feature, calculated via Excel formulas</t>
        </is>
      </c>
    </row>
    <row r="4" ht="18" customHeight="1">
      <c r="A4" s="14" t="inlineStr">
        <is>
          <t>Total Features</t>
        </is>
      </c>
      <c r="B4" s="14" t="inlineStr">
        <is>
          <t>Total Test Cases</t>
        </is>
      </c>
      <c r="C4" s="14" t="inlineStr">
        <is>
          <t>High Priority Features</t>
        </is>
      </c>
      <c r="D4" s="14" t="inlineStr">
        <is>
          <t>Medium Priority Features</t>
        </is>
      </c>
      <c r="E4" s="14" t="inlineStr">
        <is>
          <t>Low Priority Features</t>
        </is>
      </c>
    </row>
    <row r="5" ht="32" customHeight="1">
      <c r="A5" s="15">
        <f>COUNTA(A9:A16)</f>
        <v/>
      </c>
      <c r="B5" s="16">
        <f>F17</f>
        <v/>
      </c>
      <c r="C5" s="17">
        <f>COUNTIF(C9:C16, "&gt;0")</f>
        <v/>
      </c>
      <c r="D5" s="18">
        <f>COUNTIFS(C9:C16, 0, D9:D16, "&gt;0")</f>
        <v/>
      </c>
      <c r="E5" s="19">
        <f>COUNTIFS(C9:C16, 0, D9:D16, 0, E9:E16, "&gt;0")</f>
        <v/>
      </c>
    </row>
    <row r="7">
      <c r="A7" s="20" t="inlineStr">
        <is>
          <t>Feature Categorization &amp; Priority Breakdown</t>
        </is>
      </c>
    </row>
    <row r="8" ht="26" customHeight="1">
      <c r="A8" s="21" t="inlineStr">
        <is>
          <t>Feature ID</t>
        </is>
      </c>
      <c r="B8" s="22" t="inlineStr">
        <is>
          <t>Feature Name</t>
        </is>
      </c>
      <c r="C8" s="21" t="inlineStr">
        <is>
          <t>High Priority</t>
        </is>
      </c>
      <c r="D8" s="21" t="inlineStr">
        <is>
          <t>Medium Priority</t>
        </is>
      </c>
      <c r="E8" s="21" t="inlineStr">
        <is>
          <t>Low Priority</t>
        </is>
      </c>
      <c r="F8" s="21" t="inlineStr">
        <is>
          <t>Total TCs</t>
        </is>
      </c>
    </row>
    <row r="9" ht="22" customHeight="1">
      <c r="A9" s="23" t="inlineStr">
        <is>
          <t>M08-F01</t>
        </is>
      </c>
      <c r="B9" s="24" t="inlineStr">
        <is>
          <t>Photo Upload</t>
        </is>
      </c>
      <c r="C9" s="25">
        <f>COUNTIFS('Module08'!$C$2:$C$21, A9, 'Module08'!$M$2:$M$21, "High")</f>
        <v/>
      </c>
      <c r="D9" s="26">
        <f>COUNTIFS('Module08'!$C$2:$C$21, A9, 'Module08'!$M$2:$M$21, "Medium")</f>
        <v/>
      </c>
      <c r="E9" s="27">
        <f>COUNTIFS('Module08'!$C$2:$C$21, A9, 'Module08'!$M$2:$M$21, "Low")</f>
        <v/>
      </c>
      <c r="F9" s="28">
        <f>SUM(C9:E9)</f>
        <v/>
      </c>
    </row>
    <row r="10" ht="22" customHeight="1">
      <c r="A10" s="29" t="inlineStr">
        <is>
          <t>M08-F02</t>
        </is>
      </c>
      <c r="B10" s="30" t="inlineStr">
        <is>
          <t>Photo Deletion</t>
        </is>
      </c>
      <c r="C10" s="31">
        <f>COUNTIFS('Module08'!$C$2:$C$21, A10, 'Module08'!$M$2:$M$21, "High")</f>
        <v/>
      </c>
      <c r="D10" s="32">
        <f>COUNTIFS('Module08'!$C$2:$C$21, A10, 'Module08'!$M$2:$M$21, "Medium")</f>
        <v/>
      </c>
      <c r="E10" s="33">
        <f>COUNTIFS('Module08'!$C$2:$C$21, A10, 'Module08'!$M$2:$M$21, "Low")</f>
        <v/>
      </c>
      <c r="F10" s="34">
        <f>SUM(C10:E10)</f>
        <v/>
      </c>
    </row>
    <row r="11" ht="22" customHeight="1">
      <c r="A11" s="23" t="inlineStr">
        <is>
          <t>M08-F03</t>
        </is>
      </c>
      <c r="B11" s="24" t="inlineStr">
        <is>
          <t>Default Avatar Display</t>
        </is>
      </c>
      <c r="C11" s="25">
        <f>COUNTIFS('Module08'!$C$2:$C$21, A11, 'Module08'!$M$2:$M$21, "High")</f>
        <v/>
      </c>
      <c r="D11" s="26">
        <f>COUNTIFS('Module08'!$C$2:$C$21, A11, 'Module08'!$M$2:$M$21, "Medium")</f>
        <v/>
      </c>
      <c r="E11" s="27">
        <f>COUNTIFS('Module08'!$C$2:$C$21, A11, 'Module08'!$M$2:$M$21, "Low")</f>
        <v/>
      </c>
      <c r="F11" s="28">
        <f>SUM(C11:E11)</f>
        <v/>
      </c>
    </row>
    <row r="12" ht="22" customHeight="1">
      <c r="A12" s="29" t="inlineStr">
        <is>
          <t>M08-F04</t>
        </is>
      </c>
      <c r="B12" s="30" t="inlineStr">
        <is>
          <t>Avatar Display Sizing</t>
        </is>
      </c>
      <c r="C12" s="31">
        <f>COUNTIFS('Module08'!$C$2:$C$21, A12, 'Module08'!$M$2:$M$21, "High")</f>
        <v/>
      </c>
      <c r="D12" s="32">
        <f>COUNTIFS('Module08'!$C$2:$C$21, A12, 'Module08'!$M$2:$M$21, "Medium")</f>
        <v/>
      </c>
      <c r="E12" s="33">
        <f>COUNTIFS('Module08'!$C$2:$C$21, A12, 'Module08'!$M$2:$M$21, "Low")</f>
        <v/>
      </c>
      <c r="F12" s="34">
        <f>SUM(C12:E12)</f>
        <v/>
      </c>
    </row>
    <row r="13" ht="22" customHeight="1">
      <c r="A13" s="23" t="inlineStr">
        <is>
          <t>M08-F05</t>
        </is>
      </c>
      <c r="B13" s="24" t="inlineStr">
        <is>
          <t>Google Drive Storage Naming</t>
        </is>
      </c>
      <c r="C13" s="25">
        <f>COUNTIFS('Module08'!$C$2:$C$21, A13, 'Module08'!$M$2:$M$21, "High")</f>
        <v/>
      </c>
      <c r="D13" s="26">
        <f>COUNTIFS('Module08'!$C$2:$C$21, A13, 'Module08'!$M$2:$M$21, "Medium")</f>
        <v/>
      </c>
      <c r="E13" s="27">
        <f>COUNTIFS('Module08'!$C$2:$C$21, A13, 'Module08'!$M$2:$M$21, "Low")</f>
        <v/>
      </c>
      <c r="F13" s="28">
        <f>SUM(C13:E13)</f>
        <v/>
      </c>
    </row>
    <row r="14" ht="22" customHeight="1">
      <c r="A14" s="29" t="inlineStr">
        <is>
          <t>M08-F06</t>
        </is>
      </c>
      <c r="B14" s="30" t="inlineStr">
        <is>
          <t>Drive Integration Error Handling</t>
        </is>
      </c>
      <c r="C14" s="31">
        <f>COUNTIFS('Module08'!$C$2:$C$21, A14, 'Module08'!$M$2:$M$21, "High")</f>
        <v/>
      </c>
      <c r="D14" s="32">
        <f>COUNTIFS('Module08'!$C$2:$C$21, A14, 'Module08'!$M$2:$M$21, "Medium")</f>
        <v/>
      </c>
      <c r="E14" s="33">
        <f>COUNTIFS('Module08'!$C$2:$C$21, A14, 'Module08'!$M$2:$M$21, "Low")</f>
        <v/>
      </c>
      <c r="F14" s="34">
        <f>SUM(C14:E14)</f>
        <v/>
      </c>
    </row>
    <row r="15" ht="22" customHeight="1">
      <c r="A15" s="23" t="inlineStr">
        <is>
          <t>M08-F07</t>
        </is>
      </c>
      <c r="B15" s="24" t="inlineStr">
        <is>
          <t>Role Permissions &amp; Access Control</t>
        </is>
      </c>
      <c r="C15" s="25">
        <f>COUNTIFS('Module08'!$C$2:$C$21, A15, 'Module08'!$M$2:$M$21, "High")</f>
        <v/>
      </c>
      <c r="D15" s="26">
        <f>COUNTIFS('Module08'!$C$2:$C$21, A15, 'Module08'!$M$2:$M$21, "Medium")</f>
        <v/>
      </c>
      <c r="E15" s="27">
        <f>COUNTIFS('Module08'!$C$2:$C$21, A15, 'Module08'!$M$2:$M$21, "Low")</f>
        <v/>
      </c>
      <c r="F15" s="28">
        <f>SUM(C15:E15)</f>
        <v/>
      </c>
    </row>
    <row r="16" ht="22" customHeight="1">
      <c r="A16" s="29" t="inlineStr">
        <is>
          <t>M08-F08</t>
        </is>
      </c>
      <c r="B16" s="30" t="inlineStr">
        <is>
          <t>Feature Scope Verification</t>
        </is>
      </c>
      <c r="C16" s="31">
        <f>COUNTIFS('Module08'!$C$2:$C$21, A16, 'Module08'!$M$2:$M$21, "High")</f>
        <v/>
      </c>
      <c r="D16" s="32">
        <f>COUNTIFS('Module08'!$C$2:$C$21, A16, 'Module08'!$M$2:$M$21, "Medium")</f>
        <v/>
      </c>
      <c r="E16" s="33">
        <f>COUNTIFS('Module08'!$C$2:$C$21, A16, 'Module08'!$M$2:$M$21, "Low")</f>
        <v/>
      </c>
      <c r="F16" s="34">
        <f>SUM(C16:E16)</f>
        <v/>
      </c>
    </row>
    <row r="17" ht="24" customHeight="1">
      <c r="A17" s="35" t="inlineStr">
        <is>
          <t>Total</t>
        </is>
      </c>
      <c r="B17" s="36">
        <f>COUNTA(A9:A16)&amp;" Features"</f>
        <v/>
      </c>
      <c r="C17" s="35">
        <f>SUM(C9:C16)</f>
        <v/>
      </c>
      <c r="D17" s="35">
        <f>SUM(D9:D16)</f>
        <v/>
      </c>
      <c r="E17" s="35">
        <f>SUM(E9:E16)</f>
        <v/>
      </c>
      <c r="F17" s="35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75" customHeight="1">
      <c r="A2" s="2" t="inlineStr">
        <is>
          <t>TC-M08-001</t>
        </is>
      </c>
      <c r="B2" s="2" t="inlineStr">
        <is>
          <t>Module 08 - Profile Photo Management</t>
        </is>
      </c>
      <c r="C2" s="3" t="inlineStr">
        <is>
          <t>M08-F01</t>
        </is>
      </c>
      <c r="D2" s="4" t="inlineStr">
        <is>
          <t>Photo Upload</t>
        </is>
      </c>
      <c r="E2" s="4" t="inlineStr">
        <is>
          <t>Upload Valid Profile Photo in JPG Format</t>
        </is>
      </c>
      <c r="F2" s="4" t="inlineStr">
        <is>
          <t>Verify functionality for uploading a profile photo in JPG format successfully and updating student details.</t>
        </is>
      </c>
      <c r="G2" s="4" t="inlineStr">
        <is>
          <t>User is logged in as Staff.
Currently on Student Detail page of a student without profile photo (displaying default avatar).</t>
        </is>
      </c>
      <c r="H2" s="4" t="inlineStr">
        <is>
          <t>FileName="photo.jpg"; FileType="image/jpeg"; FileSize="1.5MB"</t>
        </is>
      </c>
      <c r="I2" s="4" t="inlineStr">
        <is>
          <t>1. Click Upload Photo button;
2. Select file "photo.jpg";
3. Click Save Photo button.</t>
        </is>
      </c>
      <c r="J2" s="4" t="inlineStr">
        <is>
          <t>Photo uploaded successfully.
Success notification appears and default avatar is replaced by uploaded JPG photo.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M08-F01, Business Rules 6.1</t>
        </is>
      </c>
    </row>
    <row r="3" ht="75" customHeight="1">
      <c r="A3" s="7" t="inlineStr">
        <is>
          <t>TC-M08-002</t>
        </is>
      </c>
      <c r="B3" s="7" t="inlineStr">
        <is>
          <t>Module 08 - Profile Photo Management</t>
        </is>
      </c>
      <c r="C3" s="8" t="inlineStr">
        <is>
          <t>M08-F01</t>
        </is>
      </c>
      <c r="D3" s="9" t="inlineStr">
        <is>
          <t>Photo Upload</t>
        </is>
      </c>
      <c r="E3" s="9" t="inlineStr">
        <is>
          <t>Upload Valid Profile Photo in PNG Format</t>
        </is>
      </c>
      <c r="F3" s="9" t="inlineStr">
        <is>
          <t>Verify functionality for uploading a profile photo in PNG format successfully and updating student details.</t>
        </is>
      </c>
      <c r="G3" s="9" t="inlineStr">
        <is>
          <t>User is logged in as Staff.
Currently on Student Detail page of a student without profile photo.</t>
        </is>
      </c>
      <c r="H3" s="9" t="inlineStr">
        <is>
          <t>FileName="avatar.png"; FileType="image/png"; FileSize="2.0MB"</t>
        </is>
      </c>
      <c r="I3" s="9" t="inlineStr">
        <is>
          <t>1. Click Upload Photo button;
2. Select file "avatar.png";
3. Click Save Photo button.</t>
        </is>
      </c>
      <c r="J3" s="9" t="inlineStr">
        <is>
          <t>Photo uploaded successfully.
Default avatar is replaced by uploaded PNG photo.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M08-F01, Business Rules 6.1</t>
        </is>
      </c>
    </row>
    <row r="4" ht="75" customHeight="1">
      <c r="A4" s="2" t="inlineStr">
        <is>
          <t>TC-M08-003</t>
        </is>
      </c>
      <c r="B4" s="2" t="inlineStr">
        <is>
          <t>Module 08 - Profile Photo Management</t>
        </is>
      </c>
      <c r="C4" s="3" t="inlineStr">
        <is>
          <t>M08-F01</t>
        </is>
      </c>
      <c r="D4" s="4" t="inlineStr">
        <is>
          <t>Photo Upload</t>
        </is>
      </c>
      <c r="E4" s="4" t="inlineStr">
        <is>
          <t>Replace Current Profile Photo</t>
        </is>
      </c>
      <c r="F4" s="4" t="inlineStr">
        <is>
          <t>Verify system overwrites existing photo when uploading a new photo for a student.</t>
        </is>
      </c>
      <c r="G4" s="4" t="inlineStr">
        <is>
          <t>User is logged in as Staff.
Student currently has an existing profile photo.</t>
        </is>
      </c>
      <c r="H4" s="4" t="inlineStr">
        <is>
          <t>NewFileName="new_photo.jpg"</t>
        </is>
      </c>
      <c r="I4" s="4" t="inlineStr">
        <is>
          <t>1. Click Change Photo button;
2. Select file "new_photo.jpg";
3. Click Save Photo button.</t>
        </is>
      </c>
      <c r="J4" s="4" t="inlineStr">
        <is>
          <t>New photo overwrites old photo successfully on UI and in storage.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M08-F01, Business Rules 6.1</t>
        </is>
      </c>
    </row>
    <row r="5" ht="45" customHeight="1">
      <c r="A5" s="7" t="inlineStr">
        <is>
          <t>TC-M08-004</t>
        </is>
      </c>
      <c r="B5" s="7" t="inlineStr">
        <is>
          <t>Module 08 - Profile Photo Management</t>
        </is>
      </c>
      <c r="C5" s="8" t="inlineStr">
        <is>
          <t>M08-F02</t>
        </is>
      </c>
      <c r="D5" s="9" t="inlineStr">
        <is>
          <t>Photo Deletion</t>
        </is>
      </c>
      <c r="E5" s="9" t="inlineStr">
        <is>
          <t>Delete Current Profile Photo (Soft Delete)</t>
        </is>
      </c>
      <c r="F5" s="9" t="inlineStr">
        <is>
          <t>Verify functionality for deleting current photo and reverting student profile to default avatar.</t>
        </is>
      </c>
      <c r="G5" s="9" t="inlineStr">
        <is>
          <t>User is logged in as Staff.
Student has an existing profile photo.</t>
        </is>
      </c>
      <c r="H5" s="9" t="inlineStr">
        <is>
          <t>StudentID="ST001"</t>
        </is>
      </c>
      <c r="I5" s="9" t="inlineStr">
        <is>
          <t>1. Click Delete Photo button;
2. Confirm deletion in dialog modal.</t>
        </is>
      </c>
      <c r="J5" s="9" t="inlineStr">
        <is>
          <t>Photo reference is cleared and student avatar reverts to default placeholder avatar.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M08-F02, Business Rules 6.2</t>
        </is>
      </c>
    </row>
    <row r="6" ht="45" customHeight="1">
      <c r="A6" s="2" t="inlineStr">
        <is>
          <t>TC-M08-005</t>
        </is>
      </c>
      <c r="B6" s="2" t="inlineStr">
        <is>
          <t>Module 08 - Profile Photo Management</t>
        </is>
      </c>
      <c r="C6" s="3" t="inlineStr">
        <is>
          <t>M08-F03</t>
        </is>
      </c>
      <c r="D6" s="4" t="inlineStr">
        <is>
          <t>Default Avatar Display</t>
        </is>
      </c>
      <c r="E6" s="4" t="inlineStr">
        <is>
          <t>Display Default Avatar When Student Has No Profile Photo</t>
        </is>
      </c>
      <c r="F6" s="4" t="inlineStr">
        <is>
          <t>Verify system renders default fallback avatar for students without profile photos.</t>
        </is>
      </c>
      <c r="G6" s="4" t="inlineStr">
        <is>
          <t>User is logged in as Staff or Student.
Student profile has no photo URL.</t>
        </is>
      </c>
      <c r="H6" s="4" t="inlineStr">
        <is>
          <t>PhotoUrl=None</t>
        </is>
      </c>
      <c r="I6" s="4" t="inlineStr">
        <is>
          <t>1. Open Student Detail page;
2. Observe avatar image element.</t>
        </is>
      </c>
      <c r="J6" s="4" t="inlineStr">
        <is>
          <t>Default SVG/PNG placeholder avatar is rendered cleanly without broken image icon.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M08-F03, Business Rules 6.3</t>
        </is>
      </c>
    </row>
    <row r="7" ht="90" customHeight="1">
      <c r="A7" s="7" t="inlineStr">
        <is>
          <t>TC-M08-006</t>
        </is>
      </c>
      <c r="B7" s="7" t="inlineStr">
        <is>
          <t>Module 08 - Profile Photo Management</t>
        </is>
      </c>
      <c r="C7" s="8" t="inlineStr">
        <is>
          <t>M08-F04</t>
        </is>
      </c>
      <c r="D7" s="9" t="inlineStr">
        <is>
          <t>Avatar Display Sizing</t>
        </is>
      </c>
      <c r="E7" s="9" t="inlineStr">
        <is>
          <t>Verify Profile Photo Rendering Sizes Across Different UI Components</t>
        </is>
      </c>
      <c r="F7" s="9" t="inlineStr">
        <is>
          <t>Verify profile photos render with correct circular crop and appropriate dimensions across student list, detail view, and header.</t>
        </is>
      </c>
      <c r="G7" s="9" t="inlineStr">
        <is>
          <t>User is logged in as Staff.
Student has uploaded profile photo.</t>
        </is>
      </c>
      <c r="H7" s="9" t="inlineStr">
        <is>
          <t>StudentID="ST001"</t>
        </is>
      </c>
      <c r="I7" s="9" t="inlineStr">
        <is>
          <t>1. View student photo in Student List table;
2. View student photo on Student Detail page;
3. View student avatar in Student Portal header.</t>
        </is>
      </c>
      <c r="J7" s="9" t="inlineStr">
        <is>
          <t>Photo scales properly with object-fit: cover, maintains aspect ratio, and clips cleanly to circle without distorting.</t>
        </is>
      </c>
      <c r="K7" s="9" t="inlineStr"/>
      <c r="L7" s="5" t="inlineStr">
        <is>
          <t>Not Run</t>
        </is>
      </c>
      <c r="M7" s="10" t="inlineStr">
        <is>
          <t>Medium</t>
        </is>
      </c>
      <c r="N7" s="9" t="inlineStr">
        <is>
          <t>Related Requirement: M08-F04, UI Standards</t>
        </is>
      </c>
    </row>
    <row r="8" ht="60" customHeight="1">
      <c r="A8" s="2" t="inlineStr">
        <is>
          <t>TC-M08-007</t>
        </is>
      </c>
      <c r="B8" s="2" t="inlineStr">
        <is>
          <t>Module 08 - Profile Photo Management</t>
        </is>
      </c>
      <c r="C8" s="3" t="inlineStr">
        <is>
          <t>M08-F01</t>
        </is>
      </c>
      <c r="D8" s="4" t="inlineStr">
        <is>
          <t>Photo Upload</t>
        </is>
      </c>
      <c r="E8" s="4" t="inlineStr">
        <is>
          <t>Click Save Photo Without Selecting Image File</t>
        </is>
      </c>
      <c r="F8" s="4" t="inlineStr">
        <is>
          <t>Verify system blocks submission when Save is clicked without picking an image file.</t>
        </is>
      </c>
      <c r="G8" s="4" t="inlineStr">
        <is>
          <t>User is logged in as Staff.
Upload modal open.</t>
        </is>
      </c>
      <c r="H8" s="4" t="inlineStr">
        <is>
          <t>SelectedFile=None</t>
        </is>
      </c>
      <c r="I8" s="4" t="inlineStr">
        <is>
          <t>1. Open Upload Photo modal;
2. Click Save Photo button without selecting any file.</t>
        </is>
      </c>
      <c r="J8" s="4" t="inlineStr">
        <is>
          <t>System blocks action.
Validation error appears: "Please select an image file to upload."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M08-F01, Validation Rules (Section 8)</t>
        </is>
      </c>
    </row>
    <row r="9" ht="75" customHeight="1">
      <c r="A9" s="7" t="inlineStr">
        <is>
          <t>TC-M08-008</t>
        </is>
      </c>
      <c r="B9" s="7" t="inlineStr">
        <is>
          <t>Module 08 - Profile Photo Management</t>
        </is>
      </c>
      <c r="C9" s="8" t="inlineStr">
        <is>
          <t>M08-F01</t>
        </is>
      </c>
      <c r="D9" s="9" t="inlineStr">
        <is>
          <t>Photo Upload</t>
        </is>
      </c>
      <c r="E9" s="9" t="inlineStr">
        <is>
          <t>Upload Non-image Format File</t>
        </is>
      </c>
      <c r="F9" s="9" t="inlineStr">
        <is>
          <t>Verify system rejects non-image files (PDF, DOCX, TXT, EXE).</t>
        </is>
      </c>
      <c r="G9" s="9" t="inlineStr">
        <is>
          <t>User is logged in as Staff.</t>
        </is>
      </c>
      <c r="H9" s="9" t="inlineStr">
        <is>
          <t>FileName="document.pdf"</t>
        </is>
      </c>
      <c r="I9" s="9" t="inlineStr">
        <is>
          <t>1. Click Upload Photo button;
2. Select file "document.pdf";
3. Click Save Photo button.</t>
        </is>
      </c>
      <c r="J9" s="9" t="inlineStr">
        <is>
          <t>System blocks upload.
Validation error appears: "Invalid file format. Only JPG and PNG image files are allowed."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M08-F01, Validation Rules (Section 8)</t>
        </is>
      </c>
    </row>
    <row r="10" ht="60" customHeight="1">
      <c r="A10" s="2" t="inlineStr">
        <is>
          <t>TC-M08-009</t>
        </is>
      </c>
      <c r="B10" s="2" t="inlineStr">
        <is>
          <t>Module 08 - Profile Photo Management</t>
        </is>
      </c>
      <c r="C10" s="3" t="inlineStr">
        <is>
          <t>M08-F05</t>
        </is>
      </c>
      <c r="D10" s="4" t="inlineStr">
        <is>
          <t>Google Drive Storage Naming</t>
        </is>
      </c>
      <c r="E10" s="4" t="inlineStr">
        <is>
          <t>Verify File Naming Structure on Google Drive Storage</t>
        </is>
      </c>
      <c r="F10" s="4" t="inlineStr">
        <is>
          <t>Verify system renames uploaded photo files matching student ID format on Google Drive.</t>
        </is>
      </c>
      <c r="G10" s="4" t="inlineStr">
        <is>
          <t>User is logged in as Staff.
Student ID is "ST001".</t>
        </is>
      </c>
      <c r="H10" s="4" t="inlineStr">
        <is>
          <t>OriginalFile="my_avatar_2026.jpg"; ExpectedStoredFile="ST001.jpg"</t>
        </is>
      </c>
      <c r="I10" s="4" t="inlineStr">
        <is>
          <t>1. Upload photo "my_avatar_2026.jpg" for student ST001;
2. Inspect saved file name in Google Drive directory.</t>
        </is>
      </c>
      <c r="J10" s="4" t="inlineStr">
        <is>
          <t>File is saved to Google Drive with standardized filename format "ST001.jpg".</t>
        </is>
      </c>
      <c r="K10" s="4" t="inlineStr"/>
      <c r="L10" s="5" t="inlineStr">
        <is>
          <t>Not Run</t>
        </is>
      </c>
      <c r="M10" s="10" t="inlineStr">
        <is>
          <t>Medium</t>
        </is>
      </c>
      <c r="N10" s="4" t="inlineStr">
        <is>
          <t>Related Requirement: M08-F05, Business Rules 6.5</t>
        </is>
      </c>
    </row>
    <row r="11" ht="60" customHeight="1">
      <c r="A11" s="7" t="inlineStr">
        <is>
          <t>TC-M08-010</t>
        </is>
      </c>
      <c r="B11" s="7" t="inlineStr">
        <is>
          <t>Module 08 - Profile Photo Management</t>
        </is>
      </c>
      <c r="C11" s="8" t="inlineStr">
        <is>
          <t>M08-F05</t>
        </is>
      </c>
      <c r="D11" s="9" t="inlineStr">
        <is>
          <t>Google Drive Storage Naming</t>
        </is>
      </c>
      <c r="E11" s="9" t="inlineStr">
        <is>
          <t>Upload Photo for Student with Special Characters in Original Filename</t>
        </is>
      </c>
      <c r="F11" s="9" t="inlineStr">
        <is>
          <t>Verify uploading files with non-ASCII or special characters in filename renames safely during storage.</t>
        </is>
      </c>
      <c r="G11" s="9" t="inlineStr">
        <is>
          <t>User is logged in as Staff.
Student ID is "ST002".</t>
        </is>
      </c>
      <c r="H11" s="9" t="inlineStr">
        <is>
          <t>OriginalFile="avatar_special_char_2026.png"; ExpectedStoredFile="ST002.png"</t>
        </is>
      </c>
      <c r="I11" s="9" t="inlineStr">
        <is>
          <t>1. Select file with Unicode filename "avatar_special_char_2026.png";
2. Click Save Photo button.</t>
        </is>
      </c>
      <c r="J11" s="9" t="inlineStr">
        <is>
          <t>File uploads cleanly and renames to "ST002.png" without encoding errors.</t>
        </is>
      </c>
      <c r="K11" s="9" t="inlineStr"/>
      <c r="L11" s="5" t="inlineStr">
        <is>
          <t>Not Run</t>
        </is>
      </c>
      <c r="M11" s="10" t="inlineStr">
        <is>
          <t>Medium</t>
        </is>
      </c>
      <c r="N11" s="9" t="inlineStr">
        <is>
          <t>Related Requirement: M08-F05, Business Rules 6.5</t>
        </is>
      </c>
    </row>
    <row r="12" ht="45" customHeight="1">
      <c r="A12" s="2" t="inlineStr">
        <is>
          <t>TC-M08-011</t>
        </is>
      </c>
      <c r="B12" s="2" t="inlineStr">
        <is>
          <t>Module 08 - Profile Photo Management</t>
        </is>
      </c>
      <c r="C12" s="3" t="inlineStr">
        <is>
          <t>M08-F05</t>
        </is>
      </c>
      <c r="D12" s="4" t="inlineStr">
        <is>
          <t>Google Drive Storage Naming</t>
        </is>
      </c>
      <c r="E12" s="4" t="inlineStr">
        <is>
          <t>Verify File Permissions on Google Drive Storage</t>
        </is>
      </c>
      <c r="F12" s="4" t="inlineStr">
        <is>
          <t>Verify uploaded photo files on Google Drive are configured with public read permission for rendering.</t>
        </is>
      </c>
      <c r="G12" s="4" t="inlineStr">
        <is>
          <t>Photo uploaded to Google Drive.</t>
        </is>
      </c>
      <c r="H12" s="4" t="inlineStr">
        <is>
          <t>FileId="1A2B3C"</t>
        </is>
      </c>
      <c r="I12" s="4" t="inlineStr">
        <is>
          <t>1. Upload photo for student;
2. Verify direct view URL accessibility.</t>
        </is>
      </c>
      <c r="J12" s="4" t="inlineStr">
        <is>
          <t>Image URL resolves and renders image in web browser without authentication wall.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M08-F05, Business Rules 6.5</t>
        </is>
      </c>
    </row>
    <row r="13" ht="60" customHeight="1">
      <c r="A13" s="7" t="inlineStr">
        <is>
          <t>TC-M08-012</t>
        </is>
      </c>
      <c r="B13" s="7" t="inlineStr">
        <is>
          <t>Module 08 - Profile Photo Management</t>
        </is>
      </c>
      <c r="C13" s="8" t="inlineStr">
        <is>
          <t>M08-F01</t>
        </is>
      </c>
      <c r="D13" s="9" t="inlineStr">
        <is>
          <t>Photo Upload</t>
        </is>
      </c>
      <c r="E13" s="9" t="inlineStr">
        <is>
          <t>Upload Oversized Image File Exceeding Maximum Limit</t>
        </is>
      </c>
      <c r="F13" s="9" t="inlineStr">
        <is>
          <t>Verify system blocks uploading files exceeding file size limit (e.g., &gt; 5MB).</t>
        </is>
      </c>
      <c r="G13" s="9" t="inlineStr">
        <is>
          <t>User is logged in as Staff.</t>
        </is>
      </c>
      <c r="H13" s="9" t="inlineStr">
        <is>
          <t>FileName="large_photo.jpg"; FileSize="12MB"</t>
        </is>
      </c>
      <c r="I13" s="9" t="inlineStr">
        <is>
          <t>1. Select oversized file "large_photo.jpg" (12MB);
2. Click Save Photo button.</t>
        </is>
      </c>
      <c r="J13" s="9" t="inlineStr">
        <is>
          <t>System blocks upload.
Validation error appears: "File size exceeds maximum limit of 5MB."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M08-F01, Validation Rules (Section 8)</t>
        </is>
      </c>
    </row>
    <row r="14" ht="45" customHeight="1">
      <c r="A14" s="2" t="inlineStr">
        <is>
          <t>TC-M08-013</t>
        </is>
      </c>
      <c r="B14" s="2" t="inlineStr">
        <is>
          <t>Module 08 - Profile Photo Management</t>
        </is>
      </c>
      <c r="C14" s="3" t="inlineStr">
        <is>
          <t>M08-F01</t>
        </is>
      </c>
      <c r="D14" s="4" t="inlineStr">
        <is>
          <t>Photo Upload</t>
        </is>
      </c>
      <c r="E14" s="4" t="inlineStr">
        <is>
          <t>Upload Image File with Uppercase Extension (.JPG / .PNG)</t>
        </is>
      </c>
      <c r="F14" s="4" t="inlineStr">
        <is>
          <t>Verify system handles uppercase file extensions (.JPG, .PNG) correctly.</t>
        </is>
      </c>
      <c r="G14" s="4" t="inlineStr">
        <is>
          <t>User is logged in as Staff.</t>
        </is>
      </c>
      <c r="H14" s="4" t="inlineStr">
        <is>
          <t>FileName="PHOTO.JPG"</t>
        </is>
      </c>
      <c r="I14" s="4" t="inlineStr">
        <is>
          <t>1. Select file "PHOTO.JPG";
2. Click Save Photo button.</t>
        </is>
      </c>
      <c r="J14" s="4" t="inlineStr">
        <is>
          <t>System accepts upload successfully regardless of extension case.</t>
        </is>
      </c>
      <c r="K14" s="4" t="inlineStr"/>
      <c r="L14" s="5" t="inlineStr">
        <is>
          <t>Not Run</t>
        </is>
      </c>
      <c r="M14" s="10" t="inlineStr">
        <is>
          <t>Medium</t>
        </is>
      </c>
      <c r="N14" s="4" t="inlineStr">
        <is>
          <t>Related Requirement: M08-F01, Business Rules 6.1</t>
        </is>
      </c>
    </row>
    <row r="15" ht="60" customHeight="1">
      <c r="A15" s="7" t="inlineStr">
        <is>
          <t>TC-M08-014</t>
        </is>
      </c>
      <c r="B15" s="7" t="inlineStr">
        <is>
          <t>Module 08 - Profile Photo Management</t>
        </is>
      </c>
      <c r="C15" s="8" t="inlineStr">
        <is>
          <t>M08-F06</t>
        </is>
      </c>
      <c r="D15" s="9" t="inlineStr">
        <is>
          <t>Drive Integration Error Handling</t>
        </is>
      </c>
      <c r="E15" s="9" t="inlineStr">
        <is>
          <t>Upload Fails Due to Google Drive Connection Error</t>
        </is>
      </c>
      <c r="F15" s="9" t="inlineStr">
        <is>
          <t>Verify graceful error handling when Google Drive API connection fails.</t>
        </is>
      </c>
      <c r="G15" s="9" t="inlineStr">
        <is>
          <t>User is logged in as Staff.
Google Drive service is disconnected or unreachable.</t>
        </is>
      </c>
      <c r="H15" s="9" t="inlineStr">
        <is>
          <t>DriveApiStatus="Disconnected"</t>
        </is>
      </c>
      <c r="I15" s="9" t="inlineStr">
        <is>
          <t>1. Attempt to upload profile photo when Drive API is offline.</t>
        </is>
      </c>
      <c r="J15" s="9" t="inlineStr">
        <is>
          <t>System catches exception.
Error message displays: "Unable to connect to storage service. Please try again later."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M08-F06, Error Handling (Section 8)</t>
        </is>
      </c>
    </row>
    <row r="16" ht="45" customHeight="1">
      <c r="A16" s="2" t="inlineStr">
        <is>
          <t>TC-M08-015</t>
        </is>
      </c>
      <c r="B16" s="2" t="inlineStr">
        <is>
          <t>Module 08 - Profile Photo Management</t>
        </is>
      </c>
      <c r="C16" s="3" t="inlineStr">
        <is>
          <t>M08-F06</t>
        </is>
      </c>
      <c r="D16" s="4" t="inlineStr">
        <is>
          <t>Drive Integration Error Handling</t>
        </is>
      </c>
      <c r="E16" s="4" t="inlineStr">
        <is>
          <t>Upload Fails Due to Unconfigured Google Drive Target Folder</t>
        </is>
      </c>
      <c r="F16" s="4" t="inlineStr">
        <is>
          <t>Verify error notification when Drive folder ID is missing or invalid in system settings.</t>
        </is>
      </c>
      <c r="G16" s="4" t="inlineStr">
        <is>
          <t>User is logged in as Staff.
Target folder ID in config is invalid.</t>
        </is>
      </c>
      <c r="H16" s="4" t="inlineStr">
        <is>
          <t>DriveFolderId="INVALID_ID"</t>
        </is>
      </c>
      <c r="I16" s="4" t="inlineStr">
        <is>
          <t>1. Attempt to upload profile photo.</t>
        </is>
      </c>
      <c r="J16" s="4" t="inlineStr">
        <is>
          <t>System blocks upload and logs configuration error message for administrator.</t>
        </is>
      </c>
      <c r="K16" s="4" t="inlineStr"/>
      <c r="L16" s="5" t="inlineStr">
        <is>
          <t>Not Run</t>
        </is>
      </c>
      <c r="M16" s="10" t="inlineStr">
        <is>
          <t>Medium</t>
        </is>
      </c>
      <c r="N16" s="4" t="inlineStr">
        <is>
          <t>Related Requirement: M08-F06, Error Handling (Section 8)</t>
        </is>
      </c>
    </row>
    <row r="17" ht="60" customHeight="1">
      <c r="A17" s="7" t="inlineStr">
        <is>
          <t>TC-M08-016</t>
        </is>
      </c>
      <c r="B17" s="7" t="inlineStr">
        <is>
          <t>Module 08 - Profile Photo Management</t>
        </is>
      </c>
      <c r="C17" s="8" t="inlineStr">
        <is>
          <t>M08-F03</t>
        </is>
      </c>
      <c r="D17" s="9" t="inlineStr">
        <is>
          <t>Default Avatar Display</t>
        </is>
      </c>
      <c r="E17" s="9" t="inlineStr">
        <is>
          <t>Display Default Avatar When Photo URL Returns HTTP 404 Error</t>
        </is>
      </c>
      <c r="F17" s="9" t="inlineStr">
        <is>
          <t>Verify system gracefully falls back to default avatar if image URL fails to load (404 error).</t>
        </is>
      </c>
      <c r="G17" s="9" t="inlineStr">
        <is>
          <t>User is logged in.
Student photo URL in database points to non-existent image resource.</t>
        </is>
      </c>
      <c r="H17" s="9" t="inlineStr">
        <is>
          <t>PhotoUrl="https://drive.google.com/non_existent.jpg"</t>
        </is>
      </c>
      <c r="I17" s="9" t="inlineStr">
        <is>
          <t>1. Open Student Detail page;
2. Observe image element on error event.</t>
        </is>
      </c>
      <c r="J17" s="9" t="inlineStr">
        <is>
          <t>Image onError handler triggers and smoothly replaces broken image link with default placeholder avatar.</t>
        </is>
      </c>
      <c r="K17" s="9" t="inlineStr"/>
      <c r="L17" s="5" t="inlineStr">
        <is>
          <t>Not Run</t>
        </is>
      </c>
      <c r="M17" s="10" t="inlineStr">
        <is>
          <t>Medium</t>
        </is>
      </c>
      <c r="N17" s="9" t="inlineStr">
        <is>
          <t>Related Requirement: M08-F03, Error Handling (Section 8)</t>
        </is>
      </c>
    </row>
    <row r="18" ht="60" customHeight="1">
      <c r="A18" s="2" t="inlineStr">
        <is>
          <t>TC-M08-017</t>
        </is>
      </c>
      <c r="B18" s="2" t="inlineStr">
        <is>
          <t>Module 08 - Profile Photo Management</t>
        </is>
      </c>
      <c r="C18" s="3" t="inlineStr">
        <is>
          <t>M08-F07</t>
        </is>
      </c>
      <c r="D18" s="4" t="inlineStr">
        <is>
          <t>Role Permissions &amp; Access Control</t>
        </is>
      </c>
      <c r="E18" s="4" t="inlineStr">
        <is>
          <t>Verify Student Role Cannot Upload or Delete Profile Photo</t>
        </is>
      </c>
      <c r="F18" s="4" t="inlineStr">
        <is>
          <t>Verify Student role has read-only photo permissions and cannot upload or delete photos.</t>
        </is>
      </c>
      <c r="G18" s="4" t="inlineStr">
        <is>
          <t>User is logged in as Student.</t>
        </is>
      </c>
      <c r="H18" s="4" t="inlineStr">
        <is>
          <t>StudentEmail="student@student.passerellesnumeriques.org"</t>
        </is>
      </c>
      <c r="I18" s="4" t="inlineStr">
        <is>
          <t>1. Navigate to Student Detail / Profile page as Student;
2. Inspect photo options.</t>
        </is>
      </c>
      <c r="J18" s="4" t="inlineStr">
        <is>
          <t>Upload Photo and Delete Photo buttons are absent from UI.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M08-F07, User Roles</t>
        </is>
      </c>
    </row>
    <row r="19" ht="45" customHeight="1">
      <c r="A19" s="7" t="inlineStr">
        <is>
          <t>TC-M08-018</t>
        </is>
      </c>
      <c r="B19" s="7" t="inlineStr">
        <is>
          <t>Module 08 - Profile Photo Management</t>
        </is>
      </c>
      <c r="C19" s="8" t="inlineStr">
        <is>
          <t>M08-F07</t>
        </is>
      </c>
      <c r="D19" s="9" t="inlineStr">
        <is>
          <t>Role Permissions &amp; Access Control</t>
        </is>
      </c>
      <c r="E19" s="9" t="inlineStr">
        <is>
          <t>Block Direct API Calls for Photo Upload from Student Account</t>
        </is>
      </c>
      <c r="F19" s="9" t="inlineStr">
        <is>
          <t>Verify backend API blocks photo upload requests submitted with Student JWT authorization token.</t>
        </is>
      </c>
      <c r="G19" s="9" t="inlineStr">
        <is>
          <t>Student authorization token.</t>
        </is>
      </c>
      <c r="H19" s="9" t="inlineStr">
        <is>
          <t>ApiEndpoint="POST /api/students/st001/photo"</t>
        </is>
      </c>
      <c r="I19" s="9" t="inlineStr">
        <is>
          <t>1. Submit direct HTTP POST upload request using Student auth token.</t>
        </is>
      </c>
      <c r="J19" s="9" t="inlineStr">
        <is>
          <t>Backend rejects request with HTTP 403 Forbidden status.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M08-F07, User Roles</t>
        </is>
      </c>
    </row>
    <row r="20" ht="45" customHeight="1">
      <c r="A20" s="2" t="inlineStr">
        <is>
          <t>TC-M08-019</t>
        </is>
      </c>
      <c r="B20" s="2" t="inlineStr">
        <is>
          <t>Module 08 - Profile Photo Management</t>
        </is>
      </c>
      <c r="C20" s="3" t="inlineStr">
        <is>
          <t>M08-F07</t>
        </is>
      </c>
      <c r="D20" s="4" t="inlineStr">
        <is>
          <t>Role Permissions &amp; Access Control</t>
        </is>
      </c>
      <c r="E20" s="4" t="inlineStr">
        <is>
          <t>Deny Access to External Organization Accounts</t>
        </is>
      </c>
      <c r="F20" s="4" t="inlineStr">
        <is>
          <t>Verify users from external email domains cannot access profile photo API or management UI.</t>
        </is>
      </c>
      <c r="G20" s="4" t="inlineStr">
        <is>
          <t>External domain account.</t>
        </is>
      </c>
      <c r="H20" s="4" t="inlineStr">
        <is>
          <t>UserEmail="external@gmail.com"</t>
        </is>
      </c>
      <c r="I20" s="4" t="inlineStr">
        <is>
          <t>1. Attempt access with external account.</t>
        </is>
      </c>
      <c r="J20" s="4" t="inlineStr">
        <is>
          <t>System denies access with HTTP 403 Forbidden.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M08-F07, User Roles</t>
        </is>
      </c>
    </row>
    <row r="21" ht="45" customHeight="1">
      <c r="A21" s="7" t="inlineStr">
        <is>
          <t>TC-M08-020</t>
        </is>
      </c>
      <c r="B21" s="7" t="inlineStr">
        <is>
          <t>Module 08 - Profile Photo Management</t>
        </is>
      </c>
      <c r="C21" s="8" t="inlineStr">
        <is>
          <t>M08-F08</t>
        </is>
      </c>
      <c r="D21" s="9" t="inlineStr">
        <is>
          <t>Feature Scope Verification</t>
        </is>
      </c>
      <c r="E21" s="9" t="inlineStr">
        <is>
          <t>Verify Image Editing and Cropping Features Are Not Present</t>
        </is>
      </c>
      <c r="F21" s="9" t="inlineStr">
        <is>
          <t>Verify profile photo management upload directly stores selected file without client-side image cropping tools.</t>
        </is>
      </c>
      <c r="G21" s="9" t="inlineStr">
        <is>
          <t>User is logged in as Staff.
Uploading photo.</t>
        </is>
      </c>
      <c r="H21" s="9" t="inlineStr">
        <is>
          <t>FileName="photo.jpg"</t>
        </is>
      </c>
      <c r="I21" s="9" t="inlineStr">
        <is>
          <t>1. Select image file in upload modal;
2. Observe upload workflow.</t>
        </is>
      </c>
      <c r="J21" s="9" t="inlineStr">
        <is>
          <t>File uploads directly without displaying cropping modal, maintaining simple out-of-scope workflow.</t>
        </is>
      </c>
      <c r="K21" s="9" t="inlineStr"/>
      <c r="L21" s="5" t="inlineStr">
        <is>
          <t>Not Run</t>
        </is>
      </c>
      <c r="M21" s="11" t="inlineStr">
        <is>
          <t>Low</t>
        </is>
      </c>
      <c r="N21" s="9" t="inlineStr">
        <is>
          <t>Related Requirement: M08-F08, Out of Scope (Section 12)</t>
        </is>
      </c>
    </row>
  </sheetData>
  <autoFilter ref="A1:N21"/>
  <dataValidations count="2">
    <dataValidation sqref="L2:L121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1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2026-07-23T09:55:05Z</dcterms:created>
  <dcterms:modified xmlns:dcterms="http://purl.org/dc/terms/" xmlns:xsi="http://www.w3.org/2001/XMLSchema-instance" xsi:type="dcterms:W3CDTF">2026-07-23T09:55:07Z</dcterms:modified>
</cp:coreProperties>
</file>