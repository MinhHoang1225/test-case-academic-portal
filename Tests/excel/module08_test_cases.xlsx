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st_Academic_Portal\test-case-academic-portal\Tests\excel\"/>
    </mc:Choice>
  </mc:AlternateContent>
  <bookViews>
    <workbookView xWindow="0" yWindow="0" windowWidth="23040" windowHeight="9780" activeTab="1"/>
  </bookViews>
  <sheets>
    <sheet name="Report" sheetId="1" r:id="rId1"/>
    <sheet name="Module08" sheetId="2" r:id="rId2"/>
  </sheets>
  <definedNames>
    <definedName name="_xlnm._FilterDatabase" localSheetId="1" hidden="1">Module08!$A$1:$O$21</definedName>
  </definedNames>
  <calcPr calcId="162913"/>
</workbook>
</file>

<file path=xl/calcChain.xml><?xml version="1.0" encoding="utf-8"?>
<calcChain xmlns="http://schemas.openxmlformats.org/spreadsheetml/2006/main">
  <c r="B17" i="1" l="1"/>
  <c r="E16" i="1"/>
  <c r="D16" i="1"/>
  <c r="C16" i="1"/>
  <c r="F16" i="1" s="1"/>
  <c r="E15" i="1"/>
  <c r="D15" i="1"/>
  <c r="C15" i="1"/>
  <c r="F15" i="1" s="1"/>
  <c r="E14" i="1"/>
  <c r="D14" i="1"/>
  <c r="C14" i="1"/>
  <c r="F14" i="1" s="1"/>
  <c r="E13" i="1"/>
  <c r="D13" i="1"/>
  <c r="C13" i="1"/>
  <c r="F13" i="1" s="1"/>
  <c r="E12" i="1"/>
  <c r="D12" i="1"/>
  <c r="C12" i="1"/>
  <c r="F12" i="1" s="1"/>
  <c r="E11" i="1"/>
  <c r="D11" i="1"/>
  <c r="C11" i="1"/>
  <c r="F11" i="1" s="1"/>
  <c r="E10" i="1"/>
  <c r="D10" i="1"/>
  <c r="C10" i="1"/>
  <c r="F10" i="1" s="1"/>
  <c r="E9" i="1"/>
  <c r="E17" i="1" s="1"/>
  <c r="D9" i="1"/>
  <c r="D17" i="1" s="1"/>
  <c r="C9" i="1"/>
  <c r="F9" i="1" s="1"/>
  <c r="C5" i="1"/>
  <c r="A5" i="1"/>
  <c r="F17" i="1" l="1"/>
  <c r="B5" i="1" s="1"/>
  <c r="D5" i="1"/>
  <c r="E5" i="1"/>
  <c r="C17" i="1"/>
</calcChain>
</file>

<file path=xl/sharedStrings.xml><?xml version="1.0" encoding="utf-8"?>
<sst xmlns="http://schemas.openxmlformats.org/spreadsheetml/2006/main" count="326" uniqueCount="217">
  <si>
    <t>Module 08 - Feature &amp; Priority Summary Report</t>
  </si>
  <si>
    <t>Summary of test cases per feature, calculated via Excel formulas</t>
  </si>
  <si>
    <t>Total Features</t>
  </si>
  <si>
    <t>Total Test Cases</t>
  </si>
  <si>
    <t>High Priority Features</t>
  </si>
  <si>
    <t>Medium Priority Features</t>
  </si>
  <si>
    <t>Low Priority Features</t>
  </si>
  <si>
    <t>Feature Categorization &amp; Priority Breakdown</t>
  </si>
  <si>
    <t>Feature ID</t>
  </si>
  <si>
    <t>Feature Name</t>
  </si>
  <si>
    <t>High Priority</t>
  </si>
  <si>
    <t>Medium Priority</t>
  </si>
  <si>
    <t>Low Priority</t>
  </si>
  <si>
    <t>Total TCs</t>
  </si>
  <si>
    <t>M08-F01</t>
  </si>
  <si>
    <t>Photo Upload</t>
  </si>
  <si>
    <t>M08-F02</t>
  </si>
  <si>
    <t>Photo Deletion</t>
  </si>
  <si>
    <t>M08-F03</t>
  </si>
  <si>
    <t>Default Avatar Display</t>
  </si>
  <si>
    <t>M08-F04</t>
  </si>
  <si>
    <t>Avatar Display Sizing</t>
  </si>
  <si>
    <t>M08-F05</t>
  </si>
  <si>
    <t>Google Drive Storage Naming</t>
  </si>
  <si>
    <t>M08-F06</t>
  </si>
  <si>
    <t>Drive Integration Error Handling</t>
  </si>
  <si>
    <t>M08-F07</t>
  </si>
  <si>
    <t>Role Permissions &amp; Access Control</t>
  </si>
  <si>
    <t>M08-F08</t>
  </si>
  <si>
    <t>Feature Scope Verification</t>
  </si>
  <si>
    <t>Total</t>
  </si>
  <si>
    <t>ID</t>
  </si>
  <si>
    <t>Module</t>
  </si>
  <si>
    <t>Title</t>
  </si>
  <si>
    <t>Objective</t>
  </si>
  <si>
    <t>Preconditions</t>
  </si>
  <si>
    <t>TestData</t>
  </si>
  <si>
    <t>Steps</t>
  </si>
  <si>
    <t>ExpectedResult</t>
  </si>
  <si>
    <t>Actual Result</t>
  </si>
  <si>
    <t>Status</t>
  </si>
  <si>
    <t>Evidence</t>
  </si>
  <si>
    <t>Priority</t>
  </si>
  <si>
    <t>Notes</t>
  </si>
  <si>
    <t>TC-M08-001</t>
  </si>
  <si>
    <t>Module 08 - Profile Photo Management</t>
  </si>
  <si>
    <t>Upload Valid Profile Photo in JPG Format</t>
  </si>
  <si>
    <t>Verify functionality for uploading a profile photo in JPG format successfully and updating student details.</t>
  </si>
  <si>
    <t>User is logged in as Staff.
Currently on Student Detail page of a student without profile photo (displaying default avatar).</t>
  </si>
  <si>
    <t>FileName="photo.jpg"; FileType="image/jpeg"; FileSize="1.5MB"</t>
  </si>
  <si>
    <t>1. Click Upload Photo button;
2. Select file "photo.jpg";
3. Click Save Photo button.</t>
  </si>
  <si>
    <t>Photo uploaded successfully.
Success notification appears and default avatar is replaced by uploaded JPG photo.</t>
  </si>
  <si>
    <t>High</t>
  </si>
  <si>
    <t>Related Requirement: M08-F01, Business Rules 6.1</t>
  </si>
  <si>
    <t>TC-M08-002</t>
  </si>
  <si>
    <t>Upload Valid Profile Photo in PNG Format</t>
  </si>
  <si>
    <t>Verify functionality for uploading a profile photo in PNG format successfully and updating student details.</t>
  </si>
  <si>
    <t>User is logged in as Staff.
Currently on Student Detail page of a student without profile photo.</t>
  </si>
  <si>
    <t>FileName="avatar.png"; FileType="image/png"; FileSize="2.0MB"</t>
  </si>
  <si>
    <t>1. Click Upload Photo button;
2. Select file "avatar.png";
3. Click Save Photo button.</t>
  </si>
  <si>
    <t>Photo uploaded successfully.
Default avatar is replaced by uploaded PNG photo.</t>
  </si>
  <si>
    <t>TC-M08-003</t>
  </si>
  <si>
    <t>Replace Current Profile Photo</t>
  </si>
  <si>
    <t>Verify system overwrites existing photo when uploading a new photo for a student.</t>
  </si>
  <si>
    <t>User is logged in as Staff.
Student currently has an existing profile photo.</t>
  </si>
  <si>
    <t>NewFileName="new_photo.jpg"</t>
  </si>
  <si>
    <t>1. Click Change Photo button;
2. Select file "new_photo.jpg";
3. Click Save Photo button.</t>
  </si>
  <si>
    <t>New photo overwrites old photo successfully on UI and in storage.</t>
  </si>
  <si>
    <t>TC-M08-004</t>
  </si>
  <si>
    <t>Delete Current Profile Photo (Soft Delete)</t>
  </si>
  <si>
    <t>Verify functionality for deleting current photo and reverting student profile to default avatar.</t>
  </si>
  <si>
    <t>User is logged in as Staff.
Student has an existing profile photo.</t>
  </si>
  <si>
    <t>StudentID="ST001"</t>
  </si>
  <si>
    <t>1. Click Delete Photo button;
2. Confirm deletion in dialog modal.</t>
  </si>
  <si>
    <t>Photo reference is cleared and student avatar reverts to default placeholder avatar.</t>
  </si>
  <si>
    <t>Related Requirement: M08-F02, Business Rules 6.2</t>
  </si>
  <si>
    <t>TC-M08-005</t>
  </si>
  <si>
    <t>Display Default Avatar When Student Has No Profile Photo</t>
  </si>
  <si>
    <t>Verify system renders default fallback avatar for students without profile photos.</t>
  </si>
  <si>
    <t>User is logged in as Staff or Student.
Student profile has no photo URL.</t>
  </si>
  <si>
    <t>PhotoUrl=None</t>
  </si>
  <si>
    <t>1. Open Student Detail page;
2. Observe avatar image element.</t>
  </si>
  <si>
    <t>Default SVG/PNG placeholder avatar is rendered cleanly without broken image icon.</t>
  </si>
  <si>
    <t>Related Requirement: M08-F03, Business Rules 6.3</t>
  </si>
  <si>
    <t>TC-M08-006</t>
  </si>
  <si>
    <t>Verify Profile Photo Rendering Sizes Across Different UI Components</t>
  </si>
  <si>
    <t>Verify profile photos render with correct circular crop and appropriate dimensions across student list, detail view, and header.</t>
  </si>
  <si>
    <t>User is logged in as Staff.
Student has uploaded profile photo.</t>
  </si>
  <si>
    <t>1. View student photo in Student List table;
2. View student photo on Student Detail page;
3. View student avatar in Student Portal header.</t>
  </si>
  <si>
    <t>Photo scales properly with object-fit: cover, maintains aspect ratio, and clips cleanly to circle without distorting.</t>
  </si>
  <si>
    <t>Medium</t>
  </si>
  <si>
    <t>Related Requirement: M08-F04, UI Standards</t>
  </si>
  <si>
    <t>TC-M08-007</t>
  </si>
  <si>
    <t>Click Save Photo Without Selecting Image File</t>
  </si>
  <si>
    <t>Verify system blocks submission when Save is clicked without picking an image file.</t>
  </si>
  <si>
    <t>User is logged in as Staff.
Upload modal open.</t>
  </si>
  <si>
    <t>SelectedFile=None</t>
  </si>
  <si>
    <t>1. Open Upload Photo modal;
2. Click Save Photo button without selecting any file.</t>
  </si>
  <si>
    <t>System blocks action.
Validation error appears: "Please select an image file to upload."</t>
  </si>
  <si>
    <t>Related Requirement: M08-F01, Validation Rules (Section 8)</t>
  </si>
  <si>
    <t>TC-M08-008</t>
  </si>
  <si>
    <t>Upload Non-image Format File</t>
  </si>
  <si>
    <t>Verify system rejects non-image files (PDF, DOCX, TXT, EXE).</t>
  </si>
  <si>
    <t>User is logged in as Staff.</t>
  </si>
  <si>
    <t>FileName="document.pdf"</t>
  </si>
  <si>
    <t>1. Click Upload Photo button;
2. Select file "document.pdf";
3. Click Save Photo button.</t>
  </si>
  <si>
    <t>System blocks upload.
Validation error appears: "Invalid file format. Only JPG and PNG image files are allowed."</t>
  </si>
  <si>
    <t>TC-M08-009</t>
  </si>
  <si>
    <t>Verify File Naming Structure on Google Drive Storage</t>
  </si>
  <si>
    <t>Verify system renames uploaded photo files matching student ID format on Google Drive.</t>
  </si>
  <si>
    <t>User is logged in as Staff.
Student ID is "ST001".</t>
  </si>
  <si>
    <t>OriginalFile="my_avatar_2026.jpg"; ExpectedStoredFile="ST001.jpg"</t>
  </si>
  <si>
    <t>1. Upload photo "my_avatar_2026.jpg" for student ST001;
2. Inspect saved file name in Google Drive directory.</t>
  </si>
  <si>
    <t>File is saved to Google Drive with standardized filename format "ST001.jpg".</t>
  </si>
  <si>
    <t>Related Requirement: M08-F05, Business Rules 6.5</t>
  </si>
  <si>
    <t>TC-M08-010</t>
  </si>
  <si>
    <t>Upload Photo for Student with Special Characters in Original Filename</t>
  </si>
  <si>
    <t>Verify uploading files with non-ASCII or special characters in filename renames safely during storage.</t>
  </si>
  <si>
    <t>User is logged in as Staff.
Student ID is "ST002".</t>
  </si>
  <si>
    <t>OriginalFile="avatar_special_char_2026.png"; ExpectedStoredFile="ST002.png"</t>
  </si>
  <si>
    <t>1. Select file with Unicode filename "avatar_special_char_2026.png";
2. Click Save Photo button.</t>
  </si>
  <si>
    <t>File uploads cleanly and renames to "ST002.png" without encoding errors.</t>
  </si>
  <si>
    <t>TC-M08-011</t>
  </si>
  <si>
    <t>Verify File Permissions on Google Drive Storage</t>
  </si>
  <si>
    <t>Verify uploaded photo files on Google Drive are configured with public read permission for rendering.</t>
  </si>
  <si>
    <t>Photo uploaded to Google Drive.</t>
  </si>
  <si>
    <t>FileId="1A2B3C"</t>
  </si>
  <si>
    <t>1. Upload photo for student;
2. Verify direct view URL accessibility.</t>
  </si>
  <si>
    <t>Image URL resolves and renders image in web browser without authentication wall.</t>
  </si>
  <si>
    <t>TC-M08-012</t>
  </si>
  <si>
    <t>Upload Oversized Image File Exceeding Maximum Limit</t>
  </si>
  <si>
    <t>Verify system blocks uploading files exceeding file size limit (e.g., &gt; 5MB).</t>
  </si>
  <si>
    <t>FileName="large_photo.jpg"; FileSize="12MB"</t>
  </si>
  <si>
    <t>1. Select oversized file "large_photo.jpg" (12MB);
2. Click Save Photo button.</t>
  </si>
  <si>
    <t>System blocks upload.
Validation error appears: "File size exceeds maximum limit of 5MB."</t>
  </si>
  <si>
    <t>TC-M08-013</t>
  </si>
  <si>
    <t>Upload Image File with Uppercase Extension (.JPG / .PNG)</t>
  </si>
  <si>
    <t>Verify system handles uppercase file extensions (.JPG, .PNG) correctly.</t>
  </si>
  <si>
    <t>FileName="PHOTO.JPG"</t>
  </si>
  <si>
    <t>1. Select file "PHOTO.JPG";
2. Click Save Photo button.</t>
  </si>
  <si>
    <t>System accepts upload successfully regardless of extension case.</t>
  </si>
  <si>
    <t>TC-M08-014</t>
  </si>
  <si>
    <t>Upload Fails Due to Google Drive Connection Error</t>
  </si>
  <si>
    <t>Verify graceful error handling when Google Drive API connection fails.</t>
  </si>
  <si>
    <t>User is logged in as Staff.
Google Drive service is disconnected or unreachable.</t>
  </si>
  <si>
    <t>DriveApiStatus="Disconnected"</t>
  </si>
  <si>
    <t>1. Attempt to upload profile photo when Drive API is offline.</t>
  </si>
  <si>
    <t>System catches exception.
Error message displays: "Unable to connect to storage service. Please try again later."</t>
  </si>
  <si>
    <t>Related Requirement: M08-F06, Error Handling (Section 8)</t>
  </si>
  <si>
    <t>TC-M08-015</t>
  </si>
  <si>
    <t>Upload Fails Due to Unconfigured Google Drive Target Folder</t>
  </si>
  <si>
    <t>Verify error notification when Drive folder ID is missing or invalid in system settings.</t>
  </si>
  <si>
    <t>User is logged in as Staff.
Target folder ID in config is invalid.</t>
  </si>
  <si>
    <t>DriveFolderId="INVALID_ID"</t>
  </si>
  <si>
    <t>1. Attempt to upload profile photo.</t>
  </si>
  <si>
    <t>System blocks upload and logs configuration error message for administrator.</t>
  </si>
  <si>
    <t>TC-M08-016</t>
  </si>
  <si>
    <t>Display Default Avatar When Photo URL Returns HTTP 404 Error</t>
  </si>
  <si>
    <t>Verify system gracefully falls back to default avatar if image URL fails to load (404 error).</t>
  </si>
  <si>
    <t>User is logged in.
Student photo URL in database points to non-existent image resource.</t>
  </si>
  <si>
    <t>PhotoUrl="https://drive.google.com/non_existent.jpg"</t>
  </si>
  <si>
    <t>1. Open Student Detail page;
2. Observe image element on error event.</t>
  </si>
  <si>
    <t>Image onError handler triggers and smoothly replaces broken image link with default placeholder avatar.</t>
  </si>
  <si>
    <t>Related Requirement: M08-F03, Error Handling (Section 8)</t>
  </si>
  <si>
    <t>TC-M08-017</t>
  </si>
  <si>
    <t>Verify Student Role Cannot Upload or Delete Profile Photo</t>
  </si>
  <si>
    <t>Verify Student role has read-only photo permissions and cannot upload or delete photos.</t>
  </si>
  <si>
    <t>User is logged in as Student.</t>
  </si>
  <si>
    <t>StudentEmail="student@student.passerellesnumeriques.org"</t>
  </si>
  <si>
    <t>1. Navigate to Student Detail / Profile page as Student;
2. Inspect photo options.</t>
  </si>
  <si>
    <t>Upload Photo and Delete Photo buttons are absent from UI.</t>
  </si>
  <si>
    <t>Related Requirement: M08-F07, User Roles</t>
  </si>
  <si>
    <t>TC-M08-018</t>
  </si>
  <si>
    <t>Block Direct API Calls for Photo Upload from Student Account</t>
  </si>
  <si>
    <t>Verify backend API blocks photo upload requests submitted with Student JWT authorization token.</t>
  </si>
  <si>
    <t>Student authorization token.</t>
  </si>
  <si>
    <t>ApiEndpoint="POST /api/students/st001/photo"</t>
  </si>
  <si>
    <t>1. Submit direct HTTP POST upload request using Student auth token.</t>
  </si>
  <si>
    <t>Backend rejects request with HTTP 403 Forbidden status.</t>
  </si>
  <si>
    <t>TC-M08-019</t>
  </si>
  <si>
    <t>Deny Access to External Organization Accounts</t>
  </si>
  <si>
    <t>Verify users from external email domains cannot access profile photo API or management UI.</t>
  </si>
  <si>
    <t>External domain account.</t>
  </si>
  <si>
    <t>UserEmail="external@gmail.com"</t>
  </si>
  <si>
    <t>1. Attempt access with external account.</t>
  </si>
  <si>
    <t>System denies access with HTTP 403 Forbidden.</t>
  </si>
  <si>
    <t>TC-M08-020</t>
  </si>
  <si>
    <t>Verify Image Editing and Cropping Features Are Not Present</t>
  </si>
  <si>
    <t>Verify profile photo management upload directly stores selected file without client-side image cropping tools.</t>
  </si>
  <si>
    <t>User is logged in as Staff.
Uploading photo.</t>
  </si>
  <si>
    <t>FileName="photo.jpg"</t>
  </si>
  <si>
    <t>1. Select image file in upload modal;
2. Observe upload workflow.</t>
  </si>
  <si>
    <t>File uploads directly without displaying cropping modal, maintaining simple out-of-scope workflow.</t>
  </si>
  <si>
    <t>Low</t>
  </si>
  <si>
    <t>Related Requirement: M08-F08, Out of Scope (Section 12)</t>
  </si>
  <si>
    <t>Passed</t>
  </si>
  <si>
    <t>Failed</t>
  </si>
  <si>
    <t>Profile photo was uploaded successfully. Success notification was displayed and the default avatar was replaced with the uploaded JPG photo.</t>
  </si>
  <si>
    <t>Profile photo was uploaded successfully. The default avatar was replaced with the uploaded PNG photo.</t>
  </si>
  <si>
    <t>The existing profile photo was successfully replaced by the new uploaded photo. Changes were reflected in both the UI and storage.</t>
  </si>
  <si>
    <t>The profile photo was deleted successfully. The student's avatar reverted to the default placeholder avatar.</t>
  </si>
  <si>
    <t>The system displayed the default avatar correctly when no profile photo was available. No broken image icon appeared.</t>
  </si>
  <si>
    <t>The profile photo displayed correctly across all UI components with proper sizing, aspect ratio, and circular cropping.</t>
  </si>
  <si>
    <t>The system prevented submission and displayed the validation message: "Please select an image file to upload."</t>
  </si>
  <si>
    <t>The system incorrectly accepted and uploaded non-image files (e.g., .xlsx, .docx) instead of rejecting them. No validation error message was displayed.</t>
  </si>
  <si>
    <t>The uploaded file was stored in Google Drive using the standardized filename "ST001.jpg".</t>
  </si>
  <si>
    <t>The uploaded file with special characters in the original filename was successfully renamed to "ST002.png" without encoding issues.</t>
  </si>
  <si>
    <t>The uploaded image was publicly accessible through its Google Drive URL and rendered successfully in the browser.</t>
  </si>
  <si>
    <t>The system rejected the oversized file and displayed the validation message: "File size exceeds maximum limit of 5MB."</t>
  </si>
  <si>
    <t>The system successfully accepted and uploaded the image file with an uppercase file extension (.JPG/.PNG).</t>
  </si>
  <si>
    <t>The system handled the Google Drive connection failure correctly and displayed the appropriate error message.</t>
  </si>
  <si>
    <t>The upload was blocked due to the invalid Google Drive folder configuration, and the configuration error was logged successfully.</t>
  </si>
  <si>
    <t>When the image URL returned a 404 error, the system automatically displayed the default avatar instead.</t>
  </si>
  <si>
    <t>The Student role could not see the Upload Photo or Delete Photo buttons on the interface.</t>
  </si>
  <si>
    <t>The backend rejected the upload request submitted with a Student authorization token and returned HTTP 403 Forbidden.</t>
  </si>
  <si>
    <t>The system denied access to external accounts and returned HTTP 403 Forbidden.</t>
  </si>
  <si>
    <t>The selected image was uploaded directly without any image editing or cropping functionality, as designed.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</si>
</sst>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1F4E78"/>
      <name val="Segoe UI"/>
    </font>
    <font>
      <b/>
      <sz val="10"/>
      <color rgb="FF64748B"/>
      <name val="Segoe UI"/>
    </font>
    <font>
      <b/>
      <sz val="10"/>
      <color rgb="FFA50E0E"/>
      <name val="Segoe UI"/>
    </font>
    <font>
      <b/>
      <sz val="10"/>
      <color rgb="FFB06000"/>
      <name val="Segoe UI"/>
    </font>
    <font>
      <b/>
      <sz val="10"/>
      <color rgb="FF137333"/>
      <name val="Segoe UI"/>
    </font>
    <font>
      <b/>
      <sz val="16"/>
      <color rgb="FF1F4E78"/>
      <name val="Segoe UI"/>
    </font>
    <font>
      <i/>
      <sz val="10"/>
      <color rgb="FF555555"/>
      <name val="Segoe UI"/>
    </font>
    <font>
      <b/>
      <sz val="10"/>
      <color rgb="FF000000"/>
      <name val="Segoe UI"/>
    </font>
    <font>
      <b/>
      <sz val="9"/>
      <color rgb="FF64748B"/>
      <name val="Segoe UI"/>
    </font>
    <font>
      <b/>
      <sz val="18"/>
      <color rgb="FF1E293B"/>
      <name val="Segoe UI"/>
    </font>
    <font>
      <b/>
      <sz val="18"/>
      <color rgb="FF1F4E78"/>
      <name val="Segoe UI"/>
    </font>
    <font>
      <b/>
      <sz val="18"/>
      <color rgb="FFA50E0E"/>
      <name val="Segoe UI"/>
    </font>
    <font>
      <b/>
      <sz val="18"/>
      <color rgb="FFB06000"/>
      <name val="Segoe UI"/>
    </font>
    <font>
      <b/>
      <sz val="18"/>
      <color rgb="FF137333"/>
      <name val="Segoe UI"/>
    </font>
    <font>
      <b/>
      <sz val="12"/>
      <color rgb="FF1F4E78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1F5F9"/>
        <bgColor rgb="FFF1F5F9"/>
      </patternFill>
    </fill>
    <fill>
      <patternFill patternType="solid">
        <fgColor rgb="FFFCE8E6"/>
        <bgColor rgb="FFFCE8E6"/>
      </patternFill>
    </fill>
    <fill>
      <patternFill patternType="solid">
        <fgColor rgb="FFF8FAFC"/>
        <bgColor rgb="FFF8FAFC"/>
      </patternFill>
    </fill>
    <fill>
      <patternFill patternType="solid">
        <fgColor rgb="FFFEF7E0"/>
        <bgColor rgb="FFFEF7E0"/>
      </patternFill>
    </fill>
    <fill>
      <patternFill patternType="solid">
        <fgColor rgb="FFE6F4EA"/>
        <bgColor rgb="FFE6F4EA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Test Cases by Feature (Grouped by Priority)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Report!$C$8</c:f>
              <c:strCache>
                <c:ptCount val="1"/>
                <c:pt idx="0">
                  <c:v>High Priority</c:v>
                </c:pt>
              </c:strCache>
            </c:strRef>
          </c:tx>
          <c:spPr>
            <a:solidFill>
              <a:srgbClr val="FF0000"/>
            </a:solidFill>
            <a:ln>
              <a:prstDash val="solid"/>
            </a:ln>
          </c:spPr>
          <c:invertIfNegative val="1"/>
          <c:cat>
            <c:strRef>
              <c:f>Report!$A$9:$A$16</c:f>
              <c:strCache>
                <c:ptCount val="8"/>
                <c:pt idx="0">
                  <c:v>M08-F01</c:v>
                </c:pt>
                <c:pt idx="1">
                  <c:v>M08-F02</c:v>
                </c:pt>
                <c:pt idx="2">
                  <c:v>M08-F03</c:v>
                </c:pt>
                <c:pt idx="3">
                  <c:v>M08-F04</c:v>
                </c:pt>
                <c:pt idx="4">
                  <c:v>M08-F05</c:v>
                </c:pt>
                <c:pt idx="5">
                  <c:v>M08-F06</c:v>
                </c:pt>
                <c:pt idx="6">
                  <c:v>M08-F07</c:v>
                </c:pt>
                <c:pt idx="7">
                  <c:v>M08-F08</c:v>
                </c:pt>
              </c:strCache>
            </c:strRef>
          </c:cat>
          <c:val>
            <c:numRef>
              <c:f>Report!$C$9:$C$16</c:f>
              <c:numCache>
                <c:formatCode>General</c:formatCode>
                <c:ptCount val="8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251-4D7D-9E35-89B42F0ACCD2}"/>
            </c:ext>
          </c:extLst>
        </c:ser>
        <c:ser>
          <c:idx val="1"/>
          <c:order val="1"/>
          <c:tx>
            <c:strRef>
              <c:f>Report!$D$8</c:f>
              <c:strCache>
                <c:ptCount val="1"/>
                <c:pt idx="0">
                  <c:v>Medium Priority</c:v>
                </c:pt>
              </c:strCache>
            </c:strRef>
          </c:tx>
          <c:spPr>
            <a:solidFill>
              <a:srgbClr val="FFFF00"/>
            </a:solidFill>
            <a:ln>
              <a:prstDash val="solid"/>
            </a:ln>
          </c:spPr>
          <c:invertIfNegative val="1"/>
          <c:cat>
            <c:strRef>
              <c:f>Report!$A$9:$A$16</c:f>
              <c:strCache>
                <c:ptCount val="8"/>
                <c:pt idx="0">
                  <c:v>M08-F01</c:v>
                </c:pt>
                <c:pt idx="1">
                  <c:v>M08-F02</c:v>
                </c:pt>
                <c:pt idx="2">
                  <c:v>M08-F03</c:v>
                </c:pt>
                <c:pt idx="3">
                  <c:v>M08-F04</c:v>
                </c:pt>
                <c:pt idx="4">
                  <c:v>M08-F05</c:v>
                </c:pt>
                <c:pt idx="5">
                  <c:v>M08-F06</c:v>
                </c:pt>
                <c:pt idx="6">
                  <c:v>M08-F07</c:v>
                </c:pt>
                <c:pt idx="7">
                  <c:v>M08-F08</c:v>
                </c:pt>
              </c:strCache>
            </c:strRef>
          </c:cat>
          <c:val>
            <c:numRef>
              <c:f>Report!$D$9:$D$16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251-4D7D-9E35-89B42F0ACCD2}"/>
            </c:ext>
          </c:extLst>
        </c:ser>
        <c:ser>
          <c:idx val="2"/>
          <c:order val="2"/>
          <c:tx>
            <c:strRef>
              <c:f>Report!$E$8</c:f>
              <c:strCache>
                <c:ptCount val="1"/>
                <c:pt idx="0">
                  <c:v>Low Priority</c:v>
                </c:pt>
              </c:strCache>
            </c:strRef>
          </c:tx>
          <c:spPr>
            <a:solidFill>
              <a:srgbClr val="00FF00"/>
            </a:solidFill>
            <a:ln>
              <a:prstDash val="solid"/>
            </a:ln>
          </c:spPr>
          <c:invertIfNegative val="1"/>
          <c:cat>
            <c:strRef>
              <c:f>Report!$A$9:$A$16</c:f>
              <c:strCache>
                <c:ptCount val="8"/>
                <c:pt idx="0">
                  <c:v>M08-F01</c:v>
                </c:pt>
                <c:pt idx="1">
                  <c:v>M08-F02</c:v>
                </c:pt>
                <c:pt idx="2">
                  <c:v>M08-F03</c:v>
                </c:pt>
                <c:pt idx="3">
                  <c:v>M08-F04</c:v>
                </c:pt>
                <c:pt idx="4">
                  <c:v>M08-F05</c:v>
                </c:pt>
                <c:pt idx="5">
                  <c:v>M08-F06</c:v>
                </c:pt>
                <c:pt idx="6">
                  <c:v>M08-F07</c:v>
                </c:pt>
                <c:pt idx="7">
                  <c:v>M08-F08</c:v>
                </c:pt>
              </c:strCache>
            </c:strRef>
          </c:cat>
          <c:val>
            <c:numRef>
              <c:f>Report!$E$9:$E$16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251-4D7D-9E35-89B42F0AC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Feature ID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Test Cases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920000" cy="50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24" sqref="B24"/>
    </sheetView>
  </sheetViews>
  <sheetFormatPr defaultRowHeight="14.4" x14ac:dyDescent="0.3"/>
  <cols>
    <col min="1" max="1" width="16" customWidth="1"/>
    <col min="2" max="2" width="32" customWidth="1"/>
    <col min="3" max="6" width="16" customWidth="1"/>
  </cols>
  <sheetData>
    <row r="1" spans="1:6" ht="24.6" x14ac:dyDescent="0.55000000000000004">
      <c r="A1" s="12" t="s">
        <v>0</v>
      </c>
    </row>
    <row r="2" spans="1:6" ht="15" x14ac:dyDescent="0.35">
      <c r="A2" s="13" t="s">
        <v>1</v>
      </c>
    </row>
    <row r="4" spans="1:6" ht="18" customHeight="1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</row>
    <row r="5" spans="1:6" ht="31.95" customHeight="1" x14ac:dyDescent="0.3">
      <c r="A5" s="15">
        <f>COUNTA(A9:A16)</f>
        <v>8</v>
      </c>
      <c r="B5" s="16">
        <f>F17</f>
        <v>20</v>
      </c>
      <c r="C5" s="17">
        <f>COUNTIF(C9:C16, "&gt;0")</f>
        <v>5</v>
      </c>
      <c r="D5" s="18">
        <f>COUNTIFS(C9:C16, 0, D9:D16, "&gt;0")</f>
        <v>2</v>
      </c>
      <c r="E5" s="19">
        <f>COUNTIFS(C9:C16, 0, D9:D16, 0, E9:E16, "&gt;0")</f>
        <v>1</v>
      </c>
    </row>
    <row r="7" spans="1:6" ht="19.2" x14ac:dyDescent="0.45">
      <c r="A7" s="20" t="s">
        <v>7</v>
      </c>
    </row>
    <row r="8" spans="1:6" ht="25.95" customHeight="1" x14ac:dyDescent="0.3">
      <c r="A8" s="21" t="s">
        <v>8</v>
      </c>
      <c r="B8" s="22" t="s">
        <v>9</v>
      </c>
      <c r="C8" s="21" t="s">
        <v>10</v>
      </c>
      <c r="D8" s="21" t="s">
        <v>11</v>
      </c>
      <c r="E8" s="21" t="s">
        <v>12</v>
      </c>
      <c r="F8" s="21" t="s">
        <v>13</v>
      </c>
    </row>
    <row r="9" spans="1:6" ht="22.05" customHeight="1" x14ac:dyDescent="0.3">
      <c r="A9" s="23" t="s">
        <v>14</v>
      </c>
      <c r="B9" s="24" t="s">
        <v>15</v>
      </c>
      <c r="C9" s="25">
        <f>COUNTIFS(Module08!$C$2:$C$21, A9, Module08!$N$2:$N$21, "High")</f>
        <v>6</v>
      </c>
      <c r="D9" s="26">
        <f>COUNTIFS(Module08!$C$2:$C$21, A9, Module08!$N$2:$N$21, "Medium")</f>
        <v>1</v>
      </c>
      <c r="E9" s="27">
        <f>COUNTIFS(Module08!$C$2:$C$21, A9, Module08!$N$2:$N$21, "Low")</f>
        <v>0</v>
      </c>
      <c r="F9" s="28">
        <f t="shared" ref="F9:F16" si="0">SUM(C9:E9)</f>
        <v>7</v>
      </c>
    </row>
    <row r="10" spans="1:6" ht="22.05" customHeight="1" x14ac:dyDescent="0.3">
      <c r="A10" s="29" t="s">
        <v>16</v>
      </c>
      <c r="B10" s="30" t="s">
        <v>17</v>
      </c>
      <c r="C10" s="31">
        <f>COUNTIFS(Module08!$C$2:$C$21, A10, Module08!$N$2:$N$21, "High")</f>
        <v>1</v>
      </c>
      <c r="D10" s="32">
        <f>COUNTIFS(Module08!$C$2:$C$21, A10, Module08!$N$2:$N$21, "Medium")</f>
        <v>0</v>
      </c>
      <c r="E10" s="33">
        <f>COUNTIFS(Module08!$C$2:$C$21, A10, Module08!$N$2:$N$21, "Low")</f>
        <v>0</v>
      </c>
      <c r="F10" s="34">
        <f t="shared" si="0"/>
        <v>1</v>
      </c>
    </row>
    <row r="11" spans="1:6" ht="22.05" customHeight="1" x14ac:dyDescent="0.3">
      <c r="A11" s="23" t="s">
        <v>18</v>
      </c>
      <c r="B11" s="24" t="s">
        <v>19</v>
      </c>
      <c r="C11" s="25">
        <f>COUNTIFS(Module08!$C$2:$C$21, A11, Module08!$N$2:$N$21, "High")</f>
        <v>1</v>
      </c>
      <c r="D11" s="26">
        <f>COUNTIFS(Module08!$C$2:$C$21, A11, Module08!$N$2:$N$21, "Medium")</f>
        <v>1</v>
      </c>
      <c r="E11" s="27">
        <f>COUNTIFS(Module08!$C$2:$C$21, A11, Module08!$N$2:$N$21, "Low")</f>
        <v>0</v>
      </c>
      <c r="F11" s="28">
        <f t="shared" si="0"/>
        <v>2</v>
      </c>
    </row>
    <row r="12" spans="1:6" ht="22.05" customHeight="1" x14ac:dyDescent="0.3">
      <c r="A12" s="29" t="s">
        <v>20</v>
      </c>
      <c r="B12" s="30" t="s">
        <v>21</v>
      </c>
      <c r="C12" s="31">
        <f>COUNTIFS(Module08!$C$2:$C$21, A12, Module08!$N$2:$N$21, "High")</f>
        <v>0</v>
      </c>
      <c r="D12" s="32">
        <f>COUNTIFS(Module08!$C$2:$C$21, A12, Module08!$N$2:$N$21, "Medium")</f>
        <v>1</v>
      </c>
      <c r="E12" s="33">
        <f>COUNTIFS(Module08!$C$2:$C$21, A12, Module08!$N$2:$N$21, "Low")</f>
        <v>0</v>
      </c>
      <c r="F12" s="34">
        <f t="shared" si="0"/>
        <v>1</v>
      </c>
    </row>
    <row r="13" spans="1:6" ht="22.05" customHeight="1" x14ac:dyDescent="0.3">
      <c r="A13" s="23" t="s">
        <v>22</v>
      </c>
      <c r="B13" s="24" t="s">
        <v>23</v>
      </c>
      <c r="C13" s="25">
        <f>COUNTIFS(Module08!$C$2:$C$21, A13, Module08!$N$2:$N$21, "High")</f>
        <v>1</v>
      </c>
      <c r="D13" s="26">
        <f>COUNTIFS(Module08!$C$2:$C$21, A13, Module08!$N$2:$N$21, "Medium")</f>
        <v>2</v>
      </c>
      <c r="E13" s="27">
        <f>COUNTIFS(Module08!$C$2:$C$21, A13, Module08!$N$2:$N$21, "Low")</f>
        <v>0</v>
      </c>
      <c r="F13" s="28">
        <f t="shared" si="0"/>
        <v>3</v>
      </c>
    </row>
    <row r="14" spans="1:6" ht="22.05" customHeight="1" x14ac:dyDescent="0.3">
      <c r="A14" s="29" t="s">
        <v>24</v>
      </c>
      <c r="B14" s="30" t="s">
        <v>25</v>
      </c>
      <c r="C14" s="31">
        <f>COUNTIFS(Module08!$C$2:$C$21, A14, Module08!$N$2:$N$21, "High")</f>
        <v>0</v>
      </c>
      <c r="D14" s="32">
        <f>COUNTIFS(Module08!$C$2:$C$21, A14, Module08!$N$2:$N$21, "Medium")</f>
        <v>2</v>
      </c>
      <c r="E14" s="33">
        <f>COUNTIFS(Module08!$C$2:$C$21, A14, Module08!$N$2:$N$21, "Low")</f>
        <v>0</v>
      </c>
      <c r="F14" s="34">
        <f t="shared" si="0"/>
        <v>2</v>
      </c>
    </row>
    <row r="15" spans="1:6" ht="22.05" customHeight="1" x14ac:dyDescent="0.3">
      <c r="A15" s="23" t="s">
        <v>26</v>
      </c>
      <c r="B15" s="24" t="s">
        <v>27</v>
      </c>
      <c r="C15" s="25">
        <f>COUNTIFS(Module08!$C$2:$C$21, A15, Module08!$N$2:$N$21, "High")</f>
        <v>3</v>
      </c>
      <c r="D15" s="26">
        <f>COUNTIFS(Module08!$C$2:$C$21, A15, Module08!$N$2:$N$21, "Medium")</f>
        <v>0</v>
      </c>
      <c r="E15" s="27">
        <f>COUNTIFS(Module08!$C$2:$C$21, A15, Module08!$N$2:$N$21, "Low")</f>
        <v>0</v>
      </c>
      <c r="F15" s="28">
        <f t="shared" si="0"/>
        <v>3</v>
      </c>
    </row>
    <row r="16" spans="1:6" ht="22.05" customHeight="1" x14ac:dyDescent="0.3">
      <c r="A16" s="29" t="s">
        <v>28</v>
      </c>
      <c r="B16" s="30" t="s">
        <v>29</v>
      </c>
      <c r="C16" s="31">
        <f>COUNTIFS(Module08!$C$2:$C$21, A16, Module08!$N$2:$N$21, "High")</f>
        <v>0</v>
      </c>
      <c r="D16" s="32">
        <f>COUNTIFS(Module08!$C$2:$C$21, A16, Module08!$N$2:$N$21, "Medium")</f>
        <v>0</v>
      </c>
      <c r="E16" s="33">
        <f>COUNTIFS(Module08!$C$2:$C$21, A16, Module08!$N$2:$N$21, "Low")</f>
        <v>1</v>
      </c>
      <c r="F16" s="34">
        <f t="shared" si="0"/>
        <v>1</v>
      </c>
    </row>
    <row r="17" spans="1:6" ht="24" customHeight="1" x14ac:dyDescent="0.3">
      <c r="A17" s="35" t="s">
        <v>30</v>
      </c>
      <c r="B17" s="36" t="str">
        <f>COUNTA(A9:A16)&amp;" Features"</f>
        <v>8 Features</v>
      </c>
      <c r="C17" s="35">
        <f>SUM(C9:C16)</f>
        <v>12</v>
      </c>
      <c r="D17" s="35">
        <f>SUM(D9:D16)</f>
        <v>7</v>
      </c>
      <c r="E17" s="35">
        <f>SUM(E9:E16)</f>
        <v>1</v>
      </c>
      <c r="F17" s="35">
        <f>SUM(F9:F16)</f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topLeftCell="K16" workbookViewId="0">
      <selection activeCell="K25" sqref="K25"/>
    </sheetView>
  </sheetViews>
  <sheetFormatPr defaultRowHeight="14.4" x14ac:dyDescent="0.3"/>
  <cols>
    <col min="1" max="1" width="15" customWidth="1"/>
    <col min="2" max="3" width="14" customWidth="1"/>
    <col min="4" max="4" width="28" customWidth="1"/>
    <col min="5" max="5" width="32" customWidth="1"/>
    <col min="6" max="6" width="36" customWidth="1"/>
    <col min="7" max="7" width="30" customWidth="1"/>
    <col min="8" max="8" width="28" customWidth="1"/>
    <col min="9" max="10" width="48" customWidth="1"/>
    <col min="11" max="11" width="36" customWidth="1"/>
    <col min="12" max="12" width="16" customWidth="1"/>
    <col min="13" max="13" width="25" customWidth="1"/>
    <col min="14" max="14" width="14" customWidth="1"/>
    <col min="15" max="15" width="32" customWidth="1"/>
  </cols>
  <sheetData>
    <row r="1" spans="1:15" ht="28.05" customHeight="1" x14ac:dyDescent="0.3">
      <c r="A1" s="1" t="s">
        <v>31</v>
      </c>
      <c r="B1" s="1" t="s">
        <v>32</v>
      </c>
      <c r="C1" s="1" t="s">
        <v>8</v>
      </c>
      <c r="D1" s="1" t="s">
        <v>9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 ht="75" customHeight="1" x14ac:dyDescent="0.3">
      <c r="A2" s="2" t="s">
        <v>44</v>
      </c>
      <c r="B2" s="2" t="s">
        <v>45</v>
      </c>
      <c r="C2" s="3" t="s">
        <v>14</v>
      </c>
      <c r="D2" s="4" t="s">
        <v>15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197</v>
      </c>
      <c r="L2" s="5" t="s">
        <v>195</v>
      </c>
      <c r="M2" s="2"/>
      <c r="N2" s="6" t="s">
        <v>52</v>
      </c>
      <c r="O2" s="4" t="s">
        <v>53</v>
      </c>
    </row>
    <row r="3" spans="1:15" ht="75" customHeight="1" x14ac:dyDescent="0.3">
      <c r="A3" s="7" t="s">
        <v>54</v>
      </c>
      <c r="B3" s="7" t="s">
        <v>45</v>
      </c>
      <c r="C3" s="8" t="s">
        <v>14</v>
      </c>
      <c r="D3" s="9" t="s">
        <v>15</v>
      </c>
      <c r="E3" s="9" t="s">
        <v>55</v>
      </c>
      <c r="F3" s="9" t="s">
        <v>56</v>
      </c>
      <c r="G3" s="9" t="s">
        <v>57</v>
      </c>
      <c r="H3" s="9" t="s">
        <v>58</v>
      </c>
      <c r="I3" s="9" t="s">
        <v>59</v>
      </c>
      <c r="J3" s="9" t="s">
        <v>60</v>
      </c>
      <c r="K3" s="9" t="s">
        <v>198</v>
      </c>
      <c r="L3" s="5" t="s">
        <v>195</v>
      </c>
      <c r="M3" s="7"/>
      <c r="N3" s="6" t="s">
        <v>52</v>
      </c>
      <c r="O3" s="9" t="s">
        <v>53</v>
      </c>
    </row>
    <row r="4" spans="1:15" ht="75" customHeight="1" x14ac:dyDescent="0.3">
      <c r="A4" s="2" t="s">
        <v>61</v>
      </c>
      <c r="B4" s="2" t="s">
        <v>45</v>
      </c>
      <c r="C4" s="3" t="s">
        <v>14</v>
      </c>
      <c r="D4" s="4" t="s">
        <v>15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199</v>
      </c>
      <c r="L4" s="5" t="s">
        <v>195</v>
      </c>
      <c r="M4" s="2"/>
      <c r="N4" s="6" t="s">
        <v>52</v>
      </c>
      <c r="O4" s="4" t="s">
        <v>53</v>
      </c>
    </row>
    <row r="5" spans="1:15" ht="60.6" customHeight="1" x14ac:dyDescent="0.3">
      <c r="A5" s="7" t="s">
        <v>68</v>
      </c>
      <c r="B5" s="7" t="s">
        <v>45</v>
      </c>
      <c r="C5" s="8" t="s">
        <v>16</v>
      </c>
      <c r="D5" s="9" t="s">
        <v>17</v>
      </c>
      <c r="E5" s="9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9" t="s">
        <v>74</v>
      </c>
      <c r="K5" s="9" t="s">
        <v>200</v>
      </c>
      <c r="L5" s="5" t="s">
        <v>195</v>
      </c>
      <c r="M5" s="7"/>
      <c r="N5" s="6" t="s">
        <v>52</v>
      </c>
      <c r="O5" s="9" t="s">
        <v>75</v>
      </c>
    </row>
    <row r="6" spans="1:15" ht="64.8" customHeight="1" x14ac:dyDescent="0.3">
      <c r="A6" s="2" t="s">
        <v>76</v>
      </c>
      <c r="B6" s="2" t="s">
        <v>45</v>
      </c>
      <c r="C6" s="3" t="s">
        <v>18</v>
      </c>
      <c r="D6" s="4" t="s">
        <v>19</v>
      </c>
      <c r="E6" s="4" t="s">
        <v>77</v>
      </c>
      <c r="F6" s="4" t="s">
        <v>78</v>
      </c>
      <c r="G6" s="4" t="s">
        <v>79</v>
      </c>
      <c r="H6" s="4" t="s">
        <v>80</v>
      </c>
      <c r="I6" s="4" t="s">
        <v>81</v>
      </c>
      <c r="J6" s="4" t="s">
        <v>82</v>
      </c>
      <c r="K6" s="4" t="s">
        <v>201</v>
      </c>
      <c r="L6" s="5" t="s">
        <v>195</v>
      </c>
      <c r="M6" s="2"/>
      <c r="N6" s="6" t="s">
        <v>52</v>
      </c>
      <c r="O6" s="4" t="s">
        <v>83</v>
      </c>
    </row>
    <row r="7" spans="1:15" ht="90" customHeight="1" x14ac:dyDescent="0.3">
      <c r="A7" s="7" t="s">
        <v>84</v>
      </c>
      <c r="B7" s="7" t="s">
        <v>45</v>
      </c>
      <c r="C7" s="8" t="s">
        <v>20</v>
      </c>
      <c r="D7" s="9" t="s">
        <v>21</v>
      </c>
      <c r="E7" s="9" t="s">
        <v>85</v>
      </c>
      <c r="F7" s="9" t="s">
        <v>86</v>
      </c>
      <c r="G7" s="9" t="s">
        <v>87</v>
      </c>
      <c r="H7" s="9" t="s">
        <v>72</v>
      </c>
      <c r="I7" s="9" t="s">
        <v>88</v>
      </c>
      <c r="J7" s="9" t="s">
        <v>89</v>
      </c>
      <c r="K7" s="9" t="s">
        <v>202</v>
      </c>
      <c r="L7" s="5" t="s">
        <v>195</v>
      </c>
      <c r="M7" s="7"/>
      <c r="N7" s="10" t="s">
        <v>90</v>
      </c>
      <c r="O7" s="9" t="s">
        <v>91</v>
      </c>
    </row>
    <row r="8" spans="1:15" ht="60" customHeight="1" x14ac:dyDescent="0.3">
      <c r="A8" s="2" t="s">
        <v>92</v>
      </c>
      <c r="B8" s="2" t="s">
        <v>45</v>
      </c>
      <c r="C8" s="3" t="s">
        <v>14</v>
      </c>
      <c r="D8" s="4" t="s">
        <v>15</v>
      </c>
      <c r="E8" s="4" t="s">
        <v>93</v>
      </c>
      <c r="F8" s="4" t="s">
        <v>94</v>
      </c>
      <c r="G8" s="4" t="s">
        <v>95</v>
      </c>
      <c r="H8" s="4" t="s">
        <v>96</v>
      </c>
      <c r="I8" s="4" t="s">
        <v>97</v>
      </c>
      <c r="J8" s="4" t="s">
        <v>98</v>
      </c>
      <c r="K8" s="4" t="s">
        <v>203</v>
      </c>
      <c r="L8" s="5" t="s">
        <v>195</v>
      </c>
      <c r="M8" s="2"/>
      <c r="N8" s="6" t="s">
        <v>52</v>
      </c>
      <c r="O8" s="4" t="s">
        <v>99</v>
      </c>
    </row>
    <row r="9" spans="1:15" ht="75" customHeight="1" x14ac:dyDescent="0.3">
      <c r="A9" s="7" t="s">
        <v>100</v>
      </c>
      <c r="B9" s="7" t="s">
        <v>45</v>
      </c>
      <c r="C9" s="8" t="s">
        <v>14</v>
      </c>
      <c r="D9" s="9" t="s">
        <v>15</v>
      </c>
      <c r="E9" s="9" t="s">
        <v>101</v>
      </c>
      <c r="F9" s="9" t="s">
        <v>102</v>
      </c>
      <c r="G9" s="9" t="s">
        <v>103</v>
      </c>
      <c r="H9" s="9" t="s">
        <v>104</v>
      </c>
      <c r="I9" s="9" t="s">
        <v>105</v>
      </c>
      <c r="J9" s="9" t="s">
        <v>106</v>
      </c>
      <c r="K9" s="9" t="s">
        <v>204</v>
      </c>
      <c r="L9" s="5" t="s">
        <v>196</v>
      </c>
      <c r="M9" s="7"/>
      <c r="N9" s="6" t="s">
        <v>52</v>
      </c>
      <c r="O9" s="9" t="s">
        <v>99</v>
      </c>
    </row>
    <row r="10" spans="1:15" ht="60" customHeight="1" x14ac:dyDescent="0.3">
      <c r="A10" s="2" t="s">
        <v>107</v>
      </c>
      <c r="B10" s="2" t="s">
        <v>45</v>
      </c>
      <c r="C10" s="3" t="s">
        <v>22</v>
      </c>
      <c r="D10" s="4" t="s">
        <v>23</v>
      </c>
      <c r="E10" s="4" t="s">
        <v>108</v>
      </c>
      <c r="F10" s="4" t="s">
        <v>109</v>
      </c>
      <c r="G10" s="4" t="s">
        <v>110</v>
      </c>
      <c r="H10" s="4" t="s">
        <v>111</v>
      </c>
      <c r="I10" s="4" t="s">
        <v>112</v>
      </c>
      <c r="J10" s="4" t="s">
        <v>113</v>
      </c>
      <c r="K10" s="4" t="s">
        <v>205</v>
      </c>
      <c r="L10" s="5" t="s">
        <v>195</v>
      </c>
      <c r="M10" s="2"/>
      <c r="N10" s="10" t="s">
        <v>90</v>
      </c>
      <c r="O10" s="4" t="s">
        <v>114</v>
      </c>
    </row>
    <row r="11" spans="1:15" ht="60" customHeight="1" x14ac:dyDescent="0.3">
      <c r="A11" s="7" t="s">
        <v>115</v>
      </c>
      <c r="B11" s="7" t="s">
        <v>45</v>
      </c>
      <c r="C11" s="8" t="s">
        <v>22</v>
      </c>
      <c r="D11" s="9" t="s">
        <v>23</v>
      </c>
      <c r="E11" s="9" t="s">
        <v>116</v>
      </c>
      <c r="F11" s="9" t="s">
        <v>117</v>
      </c>
      <c r="G11" s="9" t="s">
        <v>118</v>
      </c>
      <c r="H11" s="9" t="s">
        <v>119</v>
      </c>
      <c r="I11" s="9" t="s">
        <v>120</v>
      </c>
      <c r="J11" s="9" t="s">
        <v>121</v>
      </c>
      <c r="K11" s="9" t="s">
        <v>206</v>
      </c>
      <c r="L11" s="5" t="s">
        <v>195</v>
      </c>
      <c r="M11" s="7"/>
      <c r="N11" s="10" t="s">
        <v>90</v>
      </c>
      <c r="O11" s="9" t="s">
        <v>114</v>
      </c>
    </row>
    <row r="12" spans="1:15" ht="45" customHeight="1" x14ac:dyDescent="0.3">
      <c r="A12" s="2" t="s">
        <v>122</v>
      </c>
      <c r="B12" s="2" t="s">
        <v>45</v>
      </c>
      <c r="C12" s="3" t="s">
        <v>22</v>
      </c>
      <c r="D12" s="4" t="s">
        <v>23</v>
      </c>
      <c r="E12" s="4" t="s">
        <v>123</v>
      </c>
      <c r="F12" s="4" t="s">
        <v>124</v>
      </c>
      <c r="G12" s="4" t="s">
        <v>125</v>
      </c>
      <c r="H12" s="4" t="s">
        <v>126</v>
      </c>
      <c r="I12" s="4" t="s">
        <v>127</v>
      </c>
      <c r="J12" s="4" t="s">
        <v>128</v>
      </c>
      <c r="K12" s="4" t="s">
        <v>207</v>
      </c>
      <c r="L12" s="5" t="s">
        <v>195</v>
      </c>
      <c r="M12" s="2"/>
      <c r="N12" s="6" t="s">
        <v>52</v>
      </c>
      <c r="O12" s="4" t="s">
        <v>114</v>
      </c>
    </row>
    <row r="13" spans="1:15" ht="60" customHeight="1" x14ac:dyDescent="0.3">
      <c r="A13" s="7" t="s">
        <v>129</v>
      </c>
      <c r="B13" s="7" t="s">
        <v>45</v>
      </c>
      <c r="C13" s="8" t="s">
        <v>14</v>
      </c>
      <c r="D13" s="9" t="s">
        <v>15</v>
      </c>
      <c r="E13" s="9" t="s">
        <v>130</v>
      </c>
      <c r="F13" s="9" t="s">
        <v>131</v>
      </c>
      <c r="G13" s="9" t="s">
        <v>103</v>
      </c>
      <c r="H13" s="9" t="s">
        <v>132</v>
      </c>
      <c r="I13" s="9" t="s">
        <v>133</v>
      </c>
      <c r="J13" s="9" t="s">
        <v>134</v>
      </c>
      <c r="K13" s="9" t="s">
        <v>208</v>
      </c>
      <c r="L13" s="5" t="s">
        <v>195</v>
      </c>
      <c r="M13" s="7"/>
      <c r="N13" s="6" t="s">
        <v>52</v>
      </c>
      <c r="O13" s="9" t="s">
        <v>99</v>
      </c>
    </row>
    <row r="14" spans="1:15" ht="50.4" customHeight="1" x14ac:dyDescent="0.3">
      <c r="A14" s="2" t="s">
        <v>135</v>
      </c>
      <c r="B14" s="2" t="s">
        <v>45</v>
      </c>
      <c r="C14" s="3" t="s">
        <v>14</v>
      </c>
      <c r="D14" s="4" t="s">
        <v>15</v>
      </c>
      <c r="E14" s="4" t="s">
        <v>136</v>
      </c>
      <c r="F14" s="4" t="s">
        <v>137</v>
      </c>
      <c r="G14" s="4" t="s">
        <v>103</v>
      </c>
      <c r="H14" s="4" t="s">
        <v>138</v>
      </c>
      <c r="I14" s="4" t="s">
        <v>139</v>
      </c>
      <c r="J14" s="4" t="s">
        <v>140</v>
      </c>
      <c r="K14" s="4" t="s">
        <v>209</v>
      </c>
      <c r="L14" s="5" t="s">
        <v>195</v>
      </c>
      <c r="M14" s="2"/>
      <c r="N14" s="10" t="s">
        <v>90</v>
      </c>
      <c r="O14" s="4" t="s">
        <v>53</v>
      </c>
    </row>
    <row r="15" spans="1:15" ht="60" customHeight="1" x14ac:dyDescent="0.3">
      <c r="A15" s="7" t="s">
        <v>141</v>
      </c>
      <c r="B15" s="7" t="s">
        <v>45</v>
      </c>
      <c r="C15" s="8" t="s">
        <v>24</v>
      </c>
      <c r="D15" s="9" t="s">
        <v>25</v>
      </c>
      <c r="E15" s="9" t="s">
        <v>142</v>
      </c>
      <c r="F15" s="9" t="s">
        <v>143</v>
      </c>
      <c r="G15" s="9" t="s">
        <v>144</v>
      </c>
      <c r="H15" s="9" t="s">
        <v>145</v>
      </c>
      <c r="I15" s="9" t="s">
        <v>146</v>
      </c>
      <c r="J15" s="9" t="s">
        <v>147</v>
      </c>
      <c r="K15" s="9" t="s">
        <v>210</v>
      </c>
      <c r="L15" s="5" t="s">
        <v>195</v>
      </c>
      <c r="M15" s="7"/>
      <c r="N15" s="10" t="s">
        <v>90</v>
      </c>
      <c r="O15" s="9" t="s">
        <v>148</v>
      </c>
    </row>
    <row r="16" spans="1:15" ht="66" customHeight="1" x14ac:dyDescent="0.3">
      <c r="A16" s="2" t="s">
        <v>149</v>
      </c>
      <c r="B16" s="2" t="s">
        <v>45</v>
      </c>
      <c r="C16" s="3" t="s">
        <v>24</v>
      </c>
      <c r="D16" s="4" t="s">
        <v>25</v>
      </c>
      <c r="E16" s="4" t="s">
        <v>150</v>
      </c>
      <c r="F16" s="4" t="s">
        <v>151</v>
      </c>
      <c r="G16" s="4" t="s">
        <v>152</v>
      </c>
      <c r="H16" s="4" t="s">
        <v>153</v>
      </c>
      <c r="I16" s="4" t="s">
        <v>154</v>
      </c>
      <c r="J16" s="4" t="s">
        <v>155</v>
      </c>
      <c r="K16" s="4" t="s">
        <v>211</v>
      </c>
      <c r="L16" s="5" t="s">
        <v>195</v>
      </c>
      <c r="M16" s="2"/>
      <c r="N16" s="10" t="s">
        <v>90</v>
      </c>
      <c r="O16" s="4" t="s">
        <v>148</v>
      </c>
    </row>
    <row r="17" spans="1:15" ht="60" customHeight="1" x14ac:dyDescent="0.3">
      <c r="A17" s="7" t="s">
        <v>156</v>
      </c>
      <c r="B17" s="7" t="s">
        <v>45</v>
      </c>
      <c r="C17" s="8" t="s">
        <v>18</v>
      </c>
      <c r="D17" s="9" t="s">
        <v>19</v>
      </c>
      <c r="E17" s="9" t="s">
        <v>157</v>
      </c>
      <c r="F17" s="9" t="s">
        <v>158</v>
      </c>
      <c r="G17" s="9" t="s">
        <v>159</v>
      </c>
      <c r="H17" s="9" t="s">
        <v>160</v>
      </c>
      <c r="I17" s="9" t="s">
        <v>161</v>
      </c>
      <c r="J17" s="9" t="s">
        <v>162</v>
      </c>
      <c r="K17" s="9" t="s">
        <v>212</v>
      </c>
      <c r="L17" s="5" t="s">
        <v>195</v>
      </c>
      <c r="M17" s="7"/>
      <c r="N17" s="10" t="s">
        <v>90</v>
      </c>
      <c r="O17" s="9" t="s">
        <v>163</v>
      </c>
    </row>
    <row r="18" spans="1:15" ht="60" customHeight="1" x14ac:dyDescent="0.3">
      <c r="A18" s="2" t="s">
        <v>164</v>
      </c>
      <c r="B18" s="2" t="s">
        <v>45</v>
      </c>
      <c r="C18" s="3" t="s">
        <v>26</v>
      </c>
      <c r="D18" s="4" t="s">
        <v>27</v>
      </c>
      <c r="E18" s="4" t="s">
        <v>165</v>
      </c>
      <c r="F18" s="4" t="s">
        <v>166</v>
      </c>
      <c r="G18" s="4" t="s">
        <v>167</v>
      </c>
      <c r="H18" s="4" t="s">
        <v>168</v>
      </c>
      <c r="I18" s="4" t="s">
        <v>169</v>
      </c>
      <c r="J18" s="4" t="s">
        <v>170</v>
      </c>
      <c r="K18" s="4" t="s">
        <v>213</v>
      </c>
      <c r="L18" s="5" t="s">
        <v>195</v>
      </c>
      <c r="M18" s="2"/>
      <c r="N18" s="6" t="s">
        <v>52</v>
      </c>
      <c r="O18" s="4" t="s">
        <v>171</v>
      </c>
    </row>
    <row r="19" spans="1:15" ht="45" customHeight="1" x14ac:dyDescent="0.3">
      <c r="A19" s="7" t="s">
        <v>172</v>
      </c>
      <c r="B19" s="7" t="s">
        <v>45</v>
      </c>
      <c r="C19" s="8" t="s">
        <v>26</v>
      </c>
      <c r="D19" s="9" t="s">
        <v>27</v>
      </c>
      <c r="E19" s="9" t="s">
        <v>173</v>
      </c>
      <c r="F19" s="9" t="s">
        <v>174</v>
      </c>
      <c r="G19" s="9" t="s">
        <v>175</v>
      </c>
      <c r="H19" s="9" t="s">
        <v>176</v>
      </c>
      <c r="I19" s="9" t="s">
        <v>177</v>
      </c>
      <c r="J19" s="9" t="s">
        <v>178</v>
      </c>
      <c r="K19" s="9" t="s">
        <v>214</v>
      </c>
      <c r="L19" s="5" t="s">
        <v>195</v>
      </c>
      <c r="M19" s="7"/>
      <c r="N19" s="6" t="s">
        <v>52</v>
      </c>
      <c r="O19" s="9" t="s">
        <v>171</v>
      </c>
    </row>
    <row r="20" spans="1:15" ht="45" customHeight="1" x14ac:dyDescent="0.3">
      <c r="A20" s="2" t="s">
        <v>179</v>
      </c>
      <c r="B20" s="2" t="s">
        <v>45</v>
      </c>
      <c r="C20" s="3" t="s">
        <v>26</v>
      </c>
      <c r="D20" s="4" t="s">
        <v>27</v>
      </c>
      <c r="E20" s="4" t="s">
        <v>180</v>
      </c>
      <c r="F20" s="4" t="s">
        <v>181</v>
      </c>
      <c r="G20" s="4" t="s">
        <v>182</v>
      </c>
      <c r="H20" s="4" t="s">
        <v>183</v>
      </c>
      <c r="I20" s="4" t="s">
        <v>184</v>
      </c>
      <c r="J20" s="4" t="s">
        <v>185</v>
      </c>
      <c r="K20" s="4" t="s">
        <v>215</v>
      </c>
      <c r="L20" s="5" t="s">
        <v>195</v>
      </c>
      <c r="M20" s="2"/>
      <c r="N20" s="6" t="s">
        <v>52</v>
      </c>
      <c r="O20" s="4" t="s">
        <v>171</v>
      </c>
    </row>
    <row r="21" spans="1:15" ht="45" customHeight="1" x14ac:dyDescent="0.3">
      <c r="A21" s="7" t="s">
        <v>186</v>
      </c>
      <c r="B21" s="7" t="s">
        <v>45</v>
      </c>
      <c r="C21" s="8" t="s">
        <v>28</v>
      </c>
      <c r="D21" s="9" t="s">
        <v>29</v>
      </c>
      <c r="E21" s="9" t="s">
        <v>187</v>
      </c>
      <c r="F21" s="9" t="s">
        <v>188</v>
      </c>
      <c r="G21" s="9" t="s">
        <v>189</v>
      </c>
      <c r="H21" s="9" t="s">
        <v>190</v>
      </c>
      <c r="I21" s="9" t="s">
        <v>191</v>
      </c>
      <c r="J21" s="9" t="s">
        <v>192</v>
      </c>
      <c r="K21" s="9" t="s">
        <v>216</v>
      </c>
      <c r="L21" s="5" t="s">
        <v>195</v>
      </c>
      <c r="M21" s="7"/>
      <c r="N21" s="11" t="s">
        <v>193</v>
      </c>
      <c r="O21" s="9" t="s">
        <v>194</v>
      </c>
    </row>
  </sheetData>
  <autoFilter ref="A1:O21"/>
  <dataValidations count="2">
    <dataValidation type="list" allowBlank="1" errorTitle="Invalid Status" error="Please select a valid state: Passed, Failed, or Not Run" sqref="L2:L121">
      <formula1>"Passed,Failed,Not Run"</formula1>
    </dataValidation>
    <dataValidation type="list" allowBlank="1" errorTitle="Invalid Priority" error="Please select a valid priority: High, Medium, or Low" sqref="N2:N121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Module08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2026-07-24T07:43:00Z</dcterms:created>
  <dcterms:modified xsi:type="dcterms:W3CDTF">2026-07-24T08:15:54Z</dcterms:modified>
</cp:coreProperties>
</file>