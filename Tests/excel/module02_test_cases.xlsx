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port" sheetId="1" state="visible" r:id="rId1"/>
    <sheet name="Module02" sheetId="2" state="visible" r:id="rId2"/>
  </sheets>
  <definedNames>
    <definedName name="_xlnm._FilterDatabase" localSheetId="1" hidden="1">'Module02'!$A$1:$N$32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8">
    <font>
      <name val="Calibri"/>
      <family val="2"/>
      <color theme="1"/>
      <sz val="11"/>
      <scheme val="minor"/>
    </font>
    <font>
      <name val="Segoe UI"/>
      <b val="1"/>
      <color rgb="00FFFFFF"/>
      <sz val="11"/>
    </font>
    <font>
      <name val="Segoe UI"/>
      <color rgb="00000000"/>
      <sz val="10"/>
    </font>
    <font>
      <name val="Segoe UI"/>
      <b val="1"/>
      <color rgb="001F4E78"/>
      <sz val="10"/>
    </font>
    <font>
      <name val="Segoe UI"/>
      <b val="1"/>
      <color rgb="0064748B"/>
      <sz val="10"/>
    </font>
    <font>
      <name val="Segoe UI"/>
      <b val="1"/>
      <color rgb="00A50E0E"/>
      <sz val="10"/>
    </font>
    <font>
      <name val="Segoe UI"/>
      <b val="1"/>
      <color rgb="00B06000"/>
      <sz val="10"/>
    </font>
    <font>
      <name val="Segoe UI"/>
      <b val="1"/>
      <color rgb="001F4E78"/>
      <sz val="16"/>
    </font>
    <font>
      <name val="Segoe UI"/>
      <i val="1"/>
      <color rgb="00555555"/>
      <sz val="10"/>
    </font>
    <font>
      <name val="Segoe UI"/>
      <b val="1"/>
      <color rgb="00137333"/>
      <sz val="10"/>
    </font>
    <font>
      <name val="Segoe UI"/>
      <b val="1"/>
      <color rgb="00000000"/>
      <sz val="10"/>
    </font>
    <font>
      <name val="Segoe UI"/>
      <b val="1"/>
      <color rgb="0064748B"/>
      <sz val="9"/>
    </font>
    <font>
      <name val="Segoe UI"/>
      <b val="1"/>
      <color rgb="001E293B"/>
      <sz val="18"/>
    </font>
    <font>
      <name val="Segoe UI"/>
      <b val="1"/>
      <color rgb="001F4E78"/>
      <sz val="18"/>
    </font>
    <font>
      <name val="Segoe UI"/>
      <b val="1"/>
      <color rgb="00A50E0E"/>
      <sz val="18"/>
    </font>
    <font>
      <name val="Segoe UI"/>
      <b val="1"/>
      <color rgb="00B06000"/>
      <sz val="18"/>
    </font>
    <font>
      <name val="Segoe UI"/>
      <b val="1"/>
      <color rgb="00137333"/>
      <sz val="18"/>
    </font>
    <font>
      <name val="Segoe UI"/>
      <b val="1"/>
      <color rgb="001F4E78"/>
      <sz val="12"/>
    </font>
  </fonts>
  <fills count="9">
    <fill>
      <patternFill/>
    </fill>
    <fill>
      <patternFill patternType="gray125"/>
    </fill>
    <fill>
      <patternFill patternType="solid">
        <fgColor rgb="001F4E78"/>
        <bgColor rgb="001F4E78"/>
      </patternFill>
    </fill>
    <fill>
      <patternFill patternType="solid">
        <fgColor rgb="00F1F5F9"/>
        <bgColor rgb="00F1F5F9"/>
      </patternFill>
    </fill>
    <fill>
      <patternFill patternType="solid">
        <fgColor rgb="00FCE8E6"/>
        <bgColor rgb="00FCE8E6"/>
      </patternFill>
    </fill>
    <fill>
      <patternFill patternType="solid">
        <fgColor rgb="00F8FAFC"/>
        <bgColor rgb="00F8FAFC"/>
      </patternFill>
    </fill>
    <fill>
      <patternFill patternType="solid">
        <fgColor rgb="00FEF7E0"/>
        <bgColor rgb="00FEF7E0"/>
      </patternFill>
    </fill>
    <fill>
      <patternFill patternType="solid">
        <fgColor rgb="00E2E8F0"/>
        <bgColor rgb="00E2E8F0"/>
      </patternFill>
    </fill>
    <fill>
      <patternFill patternType="solid">
        <fgColor rgb="00E6F4EA"/>
        <bgColor rgb="00E6F4EA"/>
      </patternFill>
    </fill>
  </fills>
  <borders count="3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left style="thin">
        <color rgb="00CBD5E1"/>
      </left>
      <right style="thin">
        <color rgb="00CBD5E1"/>
      </right>
      <top style="medium">
        <color rgb="001E293B"/>
      </top>
      <bottom style="double">
        <color rgb="001E293B"/>
      </bottom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top" wrapText="1"/>
    </xf>
    <xf numFmtId="0" fontId="3" fillId="0" borderId="1" applyAlignment="1" pivotButton="0" quotePrefix="0" xfId="0">
      <alignment horizontal="center" vertical="top" wrapText="1"/>
    </xf>
    <xf numFmtId="0" fontId="2" fillId="0" borderId="1" applyAlignment="1" pivotButton="0" quotePrefix="0" xfId="0">
      <alignment horizontal="left" vertical="top" wrapText="1"/>
    </xf>
    <xf numFmtId="0" fontId="4" fillId="3" borderId="1" applyAlignment="1" pivotButton="0" quotePrefix="0" xfId="0">
      <alignment horizontal="center" vertical="top" wrapText="1"/>
    </xf>
    <xf numFmtId="0" fontId="5" fillId="4" borderId="1" applyAlignment="1" pivotButton="0" quotePrefix="0" xfId="0">
      <alignment horizontal="center" vertical="top" wrapText="1"/>
    </xf>
    <xf numFmtId="0" fontId="2" fillId="5" borderId="1" applyAlignment="1" pivotButton="0" quotePrefix="0" xfId="0">
      <alignment horizontal="center" vertical="top" wrapText="1"/>
    </xf>
    <xf numFmtId="0" fontId="3" fillId="5" borderId="1" applyAlignment="1" pivotButton="0" quotePrefix="0" xfId="0">
      <alignment horizontal="center" vertical="top" wrapText="1"/>
    </xf>
    <xf numFmtId="0" fontId="2" fillId="5" borderId="1" applyAlignment="1" pivotButton="0" quotePrefix="0" xfId="0">
      <alignment horizontal="left" vertical="top" wrapText="1"/>
    </xf>
    <xf numFmtId="0" fontId="6" fillId="6" borderId="1" applyAlignment="1" pivotButton="0" quotePrefix="0" xfId="0">
      <alignment horizontal="center" vertical="top" wrapText="1"/>
    </xf>
    <xf numFmtId="0" fontId="7" fillId="0" borderId="0" pivotButton="0" quotePrefix="0" xfId="0"/>
    <xf numFmtId="0" fontId="8" fillId="0" borderId="0" pivotButton="0" quotePrefix="0" xfId="0"/>
    <xf numFmtId="0" fontId="11" fillId="0" borderId="0" applyAlignment="1" pivotButton="0" quotePrefix="0" xfId="0">
      <alignment horizontal="center" vertical="center"/>
    </xf>
    <xf numFmtId="0" fontId="12" fillId="3" borderId="1" applyAlignment="1" pivotButton="0" quotePrefix="0" xfId="0">
      <alignment horizontal="center" vertical="center"/>
    </xf>
    <xf numFmtId="0" fontId="13" fillId="7" borderId="1" applyAlignment="1" pivotButton="0" quotePrefix="0" xfId="0">
      <alignment horizontal="center" vertical="center"/>
    </xf>
    <xf numFmtId="0" fontId="14" fillId="4" borderId="1" applyAlignment="1" pivotButton="0" quotePrefix="0" xfId="0">
      <alignment horizontal="center" vertical="center"/>
    </xf>
    <xf numFmtId="0" fontId="15" fillId="6" borderId="1" applyAlignment="1" pivotButton="0" quotePrefix="0" xfId="0">
      <alignment horizontal="center" vertical="center"/>
    </xf>
    <xf numFmtId="0" fontId="16" fillId="8" borderId="1" applyAlignment="1" pivotButton="0" quotePrefix="0" xfId="0">
      <alignment horizontal="center" vertical="center"/>
    </xf>
    <xf numFmtId="0" fontId="17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1" fillId="2" borderId="1" applyAlignment="1" pivotButton="0" quotePrefix="0" xfId="0">
      <alignment horizontal="left" vertical="center"/>
    </xf>
    <xf numFmtId="0" fontId="3" fillId="5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left" vertical="center"/>
    </xf>
    <xf numFmtId="0" fontId="5" fillId="5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  <xf numFmtId="0" fontId="5" fillId="0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/>
    </xf>
    <xf numFmtId="0" fontId="9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10" fillId="7" borderId="2" applyAlignment="1" pivotButton="0" quotePrefix="0" xfId="0">
      <alignment horizontal="center" vertical="center"/>
    </xf>
    <xf numFmtId="0" fontId="10" fillId="7" borderId="2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Test Cases by Feature (Grouped by Priority)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'Report'!C8</f>
            </strRef>
          </tx>
          <spPr>
            <a:solidFill>
              <a:srgbClr val="FF0000"/>
            </a:solidFill>
            <a:ln>
              <a:prstDash val="solid"/>
            </a:ln>
          </spPr>
          <cat>
            <numRef>
              <f>'Report'!$A$9:$A$20</f>
            </numRef>
          </cat>
          <val>
            <numRef>
              <f>'Report'!$C$9:$C$20</f>
            </numRef>
          </val>
        </ser>
        <ser>
          <idx val="1"/>
          <order val="1"/>
          <tx>
            <strRef>
              <f>'Report'!D8</f>
            </strRef>
          </tx>
          <spPr>
            <a:solidFill>
              <a:srgbClr val="FFFF00"/>
            </a:solidFill>
            <a:ln>
              <a:prstDash val="solid"/>
            </a:ln>
          </spPr>
          <cat>
            <numRef>
              <f>'Report'!$A$9:$A$20</f>
            </numRef>
          </cat>
          <val>
            <numRef>
              <f>'Report'!$D$9:$D$20</f>
            </numRef>
          </val>
        </ser>
        <ser>
          <idx val="2"/>
          <order val="2"/>
          <tx>
            <strRef>
              <f>'Report'!E8</f>
            </strRef>
          </tx>
          <spPr>
            <a:solidFill>
              <a:srgbClr val="00FF00"/>
            </a:solidFill>
            <a:ln>
              <a:prstDash val="solid"/>
            </a:ln>
          </spPr>
          <cat>
            <numRef>
              <f>'Report'!$A$9:$A$20</f>
            </numRef>
          </cat>
          <val>
            <numRef>
              <f>'Report'!$E$9:$E$20</f>
            </numRef>
          </val>
        </ser>
        <gapWidth val="150"/>
        <overlap val="-2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Feature ID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Number of Test Cases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3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1"/>
  <sheetViews>
    <sheetView showGridLines="1" workbookViewId="0">
      <selection activeCell="A1" sqref="A1"/>
    </sheetView>
  </sheetViews>
  <sheetFormatPr baseColWidth="8" defaultRowHeight="15"/>
  <cols>
    <col width="16" customWidth="1" min="1" max="1"/>
    <col width="32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1" t="inlineStr">
        <is>
          <t>Module 02 - Feature &amp; Priority Summary Report</t>
        </is>
      </c>
    </row>
    <row r="2">
      <c r="A2" s="12" t="inlineStr">
        <is>
          <t>Summary of test cases per feature, calculated via Excel formulas</t>
        </is>
      </c>
    </row>
    <row r="4" ht="18" customHeight="1">
      <c r="A4" s="13" t="inlineStr">
        <is>
          <t>Total Features</t>
        </is>
      </c>
      <c r="B4" s="13" t="inlineStr">
        <is>
          <t>Total Test Cases</t>
        </is>
      </c>
      <c r="C4" s="13" t="inlineStr">
        <is>
          <t>High Priority Features</t>
        </is>
      </c>
      <c r="D4" s="13" t="inlineStr">
        <is>
          <t>Medium Priority Features</t>
        </is>
      </c>
      <c r="E4" s="13" t="inlineStr">
        <is>
          <t>Low Priority Features</t>
        </is>
      </c>
    </row>
    <row r="5" ht="32" customHeight="1">
      <c r="A5" s="14">
        <f>COUNTA(A9:A20)</f>
        <v/>
      </c>
      <c r="B5" s="15">
        <f>F21</f>
        <v/>
      </c>
      <c r="C5" s="16">
        <f>COUNTIF(C9:C20, "&gt;0")</f>
        <v/>
      </c>
      <c r="D5" s="17">
        <f>COUNTIFS(C9:C20, 0, D9:D20, "&gt;0")</f>
        <v/>
      </c>
      <c r="E5" s="18">
        <f>COUNTIFS(C9:C20, 0, D9:D20, 0, E9:E20, "&gt;0")</f>
        <v/>
      </c>
    </row>
    <row r="7">
      <c r="A7" s="19" t="inlineStr">
        <is>
          <t>Feature Categorization &amp; Priority Breakdown</t>
        </is>
      </c>
    </row>
    <row r="8" ht="26" customHeight="1">
      <c r="A8" s="20" t="inlineStr">
        <is>
          <t>Feature ID</t>
        </is>
      </c>
      <c r="B8" s="21" t="inlineStr">
        <is>
          <t>Feature Name</t>
        </is>
      </c>
      <c r="C8" s="20" t="inlineStr">
        <is>
          <t>High Priority</t>
        </is>
      </c>
      <c r="D8" s="20" t="inlineStr">
        <is>
          <t>Medium Priority</t>
        </is>
      </c>
      <c r="E8" s="20" t="inlineStr">
        <is>
          <t>Low Priority</t>
        </is>
      </c>
      <c r="F8" s="20" t="inlineStr">
        <is>
          <t>Total TCs</t>
        </is>
      </c>
    </row>
    <row r="9" ht="22" customHeight="1">
      <c r="A9" s="22" t="inlineStr">
        <is>
          <t>M02-F01</t>
        </is>
      </c>
      <c r="B9" s="23" t="inlineStr">
        <is>
          <t>Single Observation Entry</t>
        </is>
      </c>
      <c r="C9" s="24">
        <f>COUNTIFS('Module02'!$C$2:$C$32, A9, 'Module02'!$M$2:$M$32, "High")</f>
        <v/>
      </c>
      <c r="D9" s="25">
        <f>COUNTIFS('Module02'!$C$2:$C$32, A9, 'Module02'!$M$2:$M$32, "Medium")</f>
        <v/>
      </c>
      <c r="E9" s="26">
        <f>COUNTIFS('Module02'!$C$2:$C$32, A9, 'Module02'!$M$2:$M$32, "Low")</f>
        <v/>
      </c>
      <c r="F9" s="27">
        <f>SUM(C9:E9)</f>
        <v/>
      </c>
    </row>
    <row r="10" ht="22" customHeight="1">
      <c r="A10" s="28" t="inlineStr">
        <is>
          <t>M02-F02</t>
        </is>
      </c>
      <c r="B10" s="29" t="inlineStr">
        <is>
          <t>Auto Rating Suggestion</t>
        </is>
      </c>
      <c r="C10" s="30">
        <f>COUNTIFS('Module02'!$C$2:$C$32, A10, 'Module02'!$M$2:$M$32, "High")</f>
        <v/>
      </c>
      <c r="D10" s="31">
        <f>COUNTIFS('Module02'!$C$2:$C$32, A10, 'Module02'!$M$2:$M$32, "Medium")</f>
        <v/>
      </c>
      <c r="E10" s="32">
        <f>COUNTIFS('Module02'!$C$2:$C$32, A10, 'Module02'!$M$2:$M$32, "Low")</f>
        <v/>
      </c>
      <c r="F10" s="33">
        <f>SUM(C10:E10)</f>
        <v/>
      </c>
    </row>
    <row r="11" ht="22" customHeight="1">
      <c r="A11" s="22" t="inlineStr">
        <is>
          <t>M02-F03</t>
        </is>
      </c>
      <c r="B11" s="23" t="inlineStr">
        <is>
          <t>Batch Entry – All Subjects</t>
        </is>
      </c>
      <c r="C11" s="24">
        <f>COUNTIFS('Module02'!$C$2:$C$32, A11, 'Module02'!$M$2:$M$32, "High")</f>
        <v/>
      </c>
      <c r="D11" s="25">
        <f>COUNTIFS('Module02'!$C$2:$C$32, A11, 'Module02'!$M$2:$M$32, "Medium")</f>
        <v/>
      </c>
      <c r="E11" s="26">
        <f>COUNTIFS('Module02'!$C$2:$C$32, A11, 'Module02'!$M$2:$M$32, "Low")</f>
        <v/>
      </c>
      <c r="F11" s="27">
        <f>SUM(C11:E11)</f>
        <v/>
      </c>
    </row>
    <row r="12" ht="22" customHeight="1">
      <c r="A12" s="28" t="inlineStr">
        <is>
          <t>M02-F04</t>
        </is>
      </c>
      <c r="B12" s="29" t="inlineStr">
        <is>
          <t>Batch Entry – By Subject</t>
        </is>
      </c>
      <c r="C12" s="30">
        <f>COUNTIFS('Module02'!$C$2:$C$32, A12, 'Module02'!$M$2:$M$32, "High")</f>
        <v/>
      </c>
      <c r="D12" s="31">
        <f>COUNTIFS('Module02'!$C$2:$C$32, A12, 'Module02'!$M$2:$M$32, "Medium")</f>
        <v/>
      </c>
      <c r="E12" s="32">
        <f>COUNTIFS('Module02'!$C$2:$C$32, A12, 'Module02'!$M$2:$M$32, "Low")</f>
        <v/>
      </c>
      <c r="F12" s="33">
        <f>SUM(C12:E12)</f>
        <v/>
      </c>
    </row>
    <row r="13" ht="22" customHeight="1">
      <c r="A13" s="22" t="inlineStr">
        <is>
          <t>M02-F05</t>
        </is>
      </c>
      <c r="B13" s="23" t="inlineStr">
        <is>
          <t>Observation Editing</t>
        </is>
      </c>
      <c r="C13" s="24">
        <f>COUNTIFS('Module02'!$C$2:$C$32, A13, 'Module02'!$M$2:$M$32, "High")</f>
        <v/>
      </c>
      <c r="D13" s="25">
        <f>COUNTIFS('Module02'!$C$2:$C$32, A13, 'Module02'!$M$2:$M$32, "Medium")</f>
        <v/>
      </c>
      <c r="E13" s="26">
        <f>COUNTIFS('Module02'!$C$2:$C$32, A13, 'Module02'!$M$2:$M$32, "Low")</f>
        <v/>
      </c>
      <c r="F13" s="27">
        <f>SUM(C13:E13)</f>
        <v/>
      </c>
    </row>
    <row r="14" ht="22" customHeight="1">
      <c r="A14" s="28" t="inlineStr">
        <is>
          <t>M02-F06</t>
        </is>
      </c>
      <c r="B14" s="29" t="inlineStr">
        <is>
          <t>Duplicate Detection &amp; Merge</t>
        </is>
      </c>
      <c r="C14" s="30">
        <f>COUNTIFS('Module02'!$C$2:$C$32, A14, 'Module02'!$M$2:$M$32, "High")</f>
        <v/>
      </c>
      <c r="D14" s="31">
        <f>COUNTIFS('Module02'!$C$2:$C$32, A14, 'Module02'!$M$2:$M$32, "Medium")</f>
        <v/>
      </c>
      <c r="E14" s="32">
        <f>COUNTIFS('Module02'!$C$2:$C$32, A14, 'Module02'!$M$2:$M$32, "Low")</f>
        <v/>
      </c>
      <c r="F14" s="33">
        <f>SUM(C14:E14)</f>
        <v/>
      </c>
    </row>
    <row r="15" ht="22" customHeight="1">
      <c r="A15" s="22" t="inlineStr">
        <is>
          <t>M02-F07</t>
        </is>
      </c>
      <c r="B15" s="23" t="inlineStr">
        <is>
          <t>Session Management</t>
        </is>
      </c>
      <c r="C15" s="24">
        <f>COUNTIFS('Module02'!$C$2:$C$32, A15, 'Module02'!$M$2:$M$32, "High")</f>
        <v/>
      </c>
      <c r="D15" s="25">
        <f>COUNTIFS('Module02'!$C$2:$C$32, A15, 'Module02'!$M$2:$M$32, "Medium")</f>
        <v/>
      </c>
      <c r="E15" s="26">
        <f>COUNTIFS('Module02'!$C$2:$C$32, A15, 'Module02'!$M$2:$M$32, "Low")</f>
        <v/>
      </c>
      <c r="F15" s="27">
        <f>SUM(C15:E15)</f>
        <v/>
      </c>
    </row>
    <row r="16" ht="22" customHeight="1">
      <c r="A16" s="28" t="inlineStr">
        <is>
          <t>M02-F08</t>
        </is>
      </c>
      <c r="B16" s="29" t="inlineStr">
        <is>
          <t>Session Progress</t>
        </is>
      </c>
      <c r="C16" s="30">
        <f>COUNTIFS('Module02'!$C$2:$C$32, A16, 'Module02'!$M$2:$M$32, "High")</f>
        <v/>
      </c>
      <c r="D16" s="31">
        <f>COUNTIFS('Module02'!$C$2:$C$32, A16, 'Module02'!$M$2:$M$32, "Medium")</f>
        <v/>
      </c>
      <c r="E16" s="32">
        <f>COUNTIFS('Module02'!$C$2:$C$32, A16, 'Module02'!$M$2:$M$32, "Low")</f>
        <v/>
      </c>
      <c r="F16" s="33">
        <f>SUM(C16:E16)</f>
        <v/>
      </c>
    </row>
    <row r="17" ht="22" customHeight="1">
      <c r="A17" s="22" t="inlineStr">
        <is>
          <t>M02-F09</t>
        </is>
      </c>
      <c r="B17" s="23" t="inlineStr">
        <is>
          <t>Concurrent Edit Handling</t>
        </is>
      </c>
      <c r="C17" s="24">
        <f>COUNTIFS('Module02'!$C$2:$C$32, A17, 'Module02'!$M$2:$M$32, "High")</f>
        <v/>
      </c>
      <c r="D17" s="25">
        <f>COUNTIFS('Module02'!$C$2:$C$32, A17, 'Module02'!$M$2:$M$32, "Medium")</f>
        <v/>
      </c>
      <c r="E17" s="26">
        <f>COUNTIFS('Module02'!$C$2:$C$32, A17, 'Module02'!$M$2:$M$32, "Low")</f>
        <v/>
      </c>
      <c r="F17" s="27">
        <f>SUM(C17:E17)</f>
        <v/>
      </c>
    </row>
    <row r="18" ht="22" customHeight="1">
      <c r="A18" s="28" t="inlineStr">
        <is>
          <t>M02-F10</t>
        </is>
      </c>
      <c r="B18" s="29" t="inlineStr">
        <is>
          <t>Search, Filter &amp; Sorting</t>
        </is>
      </c>
      <c r="C18" s="30">
        <f>COUNTIFS('Module02'!$C$2:$C$32, A18, 'Module02'!$M$2:$M$32, "High")</f>
        <v/>
      </c>
      <c r="D18" s="31">
        <f>COUNTIFS('Module02'!$C$2:$C$32, A18, 'Module02'!$M$2:$M$32, "Medium")</f>
        <v/>
      </c>
      <c r="E18" s="32">
        <f>COUNTIFS('Module02'!$C$2:$C$32, A18, 'Module02'!$M$2:$M$32, "Low")</f>
        <v/>
      </c>
      <c r="F18" s="33">
        <f>SUM(C18:E18)</f>
        <v/>
      </c>
    </row>
    <row r="19" ht="22" customHeight="1">
      <c r="A19" s="22" t="inlineStr">
        <is>
          <t>M02-F11</t>
        </is>
      </c>
      <c r="B19" s="23" t="inlineStr">
        <is>
          <t>Dashboard Overview</t>
        </is>
      </c>
      <c r="C19" s="24">
        <f>COUNTIFS('Module02'!$C$2:$C$32, A19, 'Module02'!$M$2:$M$32, "High")</f>
        <v/>
      </c>
      <c r="D19" s="25">
        <f>COUNTIFS('Module02'!$C$2:$C$32, A19, 'Module02'!$M$2:$M$32, "Medium")</f>
        <v/>
      </c>
      <c r="E19" s="26">
        <f>COUNTIFS('Module02'!$C$2:$C$32, A19, 'Module02'!$M$2:$M$32, "Low")</f>
        <v/>
      </c>
      <c r="F19" s="27">
        <f>SUM(C19:E19)</f>
        <v/>
      </c>
    </row>
    <row r="20" ht="22" customHeight="1">
      <c r="A20" s="28" t="inlineStr">
        <is>
          <t>M02-SEC</t>
        </is>
      </c>
      <c r="B20" s="29" t="inlineStr">
        <is>
          <t>Access Control &amp; Security</t>
        </is>
      </c>
      <c r="C20" s="30">
        <f>COUNTIFS('Module02'!$C$2:$C$32, A20, 'Module02'!$M$2:$M$32, "High")</f>
        <v/>
      </c>
      <c r="D20" s="31">
        <f>COUNTIFS('Module02'!$C$2:$C$32, A20, 'Module02'!$M$2:$M$32, "Medium")</f>
        <v/>
      </c>
      <c r="E20" s="32">
        <f>COUNTIFS('Module02'!$C$2:$C$32, A20, 'Module02'!$M$2:$M$32, "Low")</f>
        <v/>
      </c>
      <c r="F20" s="33">
        <f>SUM(C20:E20)</f>
        <v/>
      </c>
    </row>
    <row r="21" ht="24" customHeight="1">
      <c r="A21" s="34" t="inlineStr">
        <is>
          <t>Total</t>
        </is>
      </c>
      <c r="B21" s="35">
        <f>COUNTA(A9:A20)&amp;" Features"</f>
        <v/>
      </c>
      <c r="C21" s="34">
        <f>SUM(C9:C20)</f>
        <v/>
      </c>
      <c r="D21" s="34">
        <f>SUM(D9:D20)</f>
        <v/>
      </c>
      <c r="E21" s="34">
        <f>SUM(E9:E20)</f>
        <v/>
      </c>
      <c r="F21" s="34">
        <f>SUM(F9:F20)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2"/>
  <sheetViews>
    <sheetView showGridLines="1" workbookViewId="0">
      <selection activeCell="A1" sqref="A1"/>
    </sheetView>
  </sheetViews>
  <sheetFormatPr baseColWidth="8" defaultRowHeight="15"/>
  <cols>
    <col width="15" customWidth="1" min="1" max="1"/>
    <col width="14" customWidth="1" min="2" max="2"/>
    <col width="14" customWidth="1" min="3" max="3"/>
    <col width="28" customWidth="1" min="4" max="4"/>
    <col width="32" customWidth="1" min="5" max="5"/>
    <col width="36" customWidth="1" min="6" max="6"/>
    <col width="30" customWidth="1" min="7" max="7"/>
    <col width="28" customWidth="1" min="8" max="8"/>
    <col width="48" customWidth="1" min="9" max="9"/>
    <col width="48" customWidth="1" min="10" max="10"/>
    <col width="36" customWidth="1" min="11" max="11"/>
    <col width="16" customWidth="1" min="12" max="12"/>
    <col width="14" customWidth="1" min="13" max="13"/>
    <col width="32" customWidth="1" min="14" max="14"/>
  </cols>
  <sheetData>
    <row r="1" ht="28" customHeight="1">
      <c r="A1" s="1" t="inlineStr">
        <is>
          <t>ID</t>
        </is>
      </c>
      <c r="B1" s="1" t="inlineStr">
        <is>
          <t>Module</t>
        </is>
      </c>
      <c r="C1" s="1" t="inlineStr">
        <is>
          <t>Feature ID</t>
        </is>
      </c>
      <c r="D1" s="1" t="inlineStr">
        <is>
          <t>Feature Name</t>
        </is>
      </c>
      <c r="E1" s="1" t="inlineStr">
        <is>
          <t>Title</t>
        </is>
      </c>
      <c r="F1" s="1" t="inlineStr">
        <is>
          <t>Objective</t>
        </is>
      </c>
      <c r="G1" s="1" t="inlineStr">
        <is>
          <t>Preconditions</t>
        </is>
      </c>
      <c r="H1" s="1" t="inlineStr">
        <is>
          <t>TestData</t>
        </is>
      </c>
      <c r="I1" s="1" t="inlineStr">
        <is>
          <t>Steps</t>
        </is>
      </c>
      <c r="J1" s="1" t="inlineStr">
        <is>
          <t>ExpectedResult</t>
        </is>
      </c>
      <c r="K1" s="1" t="inlineStr">
        <is>
          <t>Actual Result</t>
        </is>
      </c>
      <c r="L1" s="1" t="inlineStr">
        <is>
          <t>Status</t>
        </is>
      </c>
      <c r="M1" s="1" t="inlineStr">
        <is>
          <t>Priority</t>
        </is>
      </c>
      <c r="N1" s="1" t="inlineStr">
        <is>
          <t>Notes</t>
        </is>
      </c>
    </row>
    <row r="2" ht="180" customHeight="1">
      <c r="A2" s="2" t="inlineStr">
        <is>
          <t>TC-M02-001</t>
        </is>
      </c>
      <c r="B2" s="2" t="inlineStr">
        <is>
          <t>Module 02</t>
        </is>
      </c>
      <c r="C2" s="3" t="inlineStr">
        <is>
          <t>M02-F01</t>
        </is>
      </c>
      <c r="D2" s="4" t="inlineStr">
        <is>
          <t>Single Observation Entry</t>
        </is>
      </c>
      <c r="E2" s="4" t="inlineStr">
        <is>
          <t>Record Single Student Observation with Valid Ratings</t>
        </is>
      </c>
      <c r="F2" s="4" t="inlineStr">
        <is>
          <t>Verify that staff can record observations for a single student across all four subjects with valid ratings (G, S, NI).</t>
        </is>
      </c>
      <c r="G2" s="4" t="inlineStr">
        <is>
          <t>Staff user is logged in. Batch PNV26A and student ST001 exist.</t>
        </is>
      </c>
      <c r="H2" s="4" t="inlineStr">
        <is>
          <t>Student=ST001; Date=2026-07-17; IT_Rating=G; IT_Notes=Excellent coding skills; PLT_Rating=S; PLT_Notes=Active participation; English_Rating=NI; English_Notes=Needs vocabulary practice; DA_Rating=S; DA_Notes=Good design sense</t>
        </is>
      </c>
      <c r="I2" s="4" t="inlineStr">
        <is>
          <t>1. Open Scan Management;
2. Select Batch PNV26A and Student ST001;
3. Select Observation Date: 17/07/2026;
4. For IT, select rating G and enter notes 'Excellent coding skills';
5. For PLT, select rating S and enter notes 'Active participation';
6. For English, select rating NI and enter notes 'Needs vocabulary practice';
7. For DA, select rating S and enter notes 'Good design sense';
8. Click Save</t>
        </is>
      </c>
      <c r="J2" s="4" t="inlineStr">
        <is>
          <t>Observation is saved successfully. A success message appears. The student's record is displayed in the list with correct ratings and notes.</t>
        </is>
      </c>
      <c r="K2" s="4" t="inlineStr"/>
      <c r="L2" s="5" t="inlineStr">
        <is>
          <t>Not Run</t>
        </is>
      </c>
      <c r="M2" s="6" t="inlineStr">
        <is>
          <t>High</t>
        </is>
      </c>
      <c r="N2" s="4" t="inlineStr">
        <is>
          <t>Related Requirement: M02-F01, Scenario: SC-01</t>
        </is>
      </c>
    </row>
    <row r="3" ht="135" customHeight="1">
      <c r="A3" s="7" t="inlineStr">
        <is>
          <t>TC-M02-002</t>
        </is>
      </c>
      <c r="B3" s="7" t="inlineStr">
        <is>
          <t>Module 02</t>
        </is>
      </c>
      <c r="C3" s="8" t="inlineStr">
        <is>
          <t>M02-F01</t>
        </is>
      </c>
      <c r="D3" s="9" t="inlineStr">
        <is>
          <t>Single Observation Entry</t>
        </is>
      </c>
      <c r="E3" s="9" t="inlineStr">
        <is>
          <t>Record Single Student Observation with Empty Ratings</t>
        </is>
      </c>
      <c r="F3" s="9" t="inlineStr">
        <is>
          <t>Verify that staff can record observations with ratings set to '-' (Not Yet Assessed) and notes empty.</t>
        </is>
      </c>
      <c r="G3" s="9" t="inlineStr">
        <is>
          <t>Staff user is logged in. Batch PNV26A and student ST001 exist.</t>
        </is>
      </c>
      <c r="H3" s="9" t="inlineStr">
        <is>
          <t>Student=ST001; Date=2026-07-17; Ratings='-'; Notes=''</t>
        </is>
      </c>
      <c r="I3" s="9" t="inlineStr">
        <is>
          <t>1. Open Scan Management;
2. Select Batch PNV26A and Student ST001;
3. Select Observation Date: 17/07/2026;
4. Leave all subject ratings as '-' and notes empty;
5. Click Save</t>
        </is>
      </c>
      <c r="J3" s="9" t="inlineStr">
        <is>
          <t>Observation is saved successfully. The ratings are stored as empty/unassessed in the database. No validation error occurs.</t>
        </is>
      </c>
      <c r="K3" s="9" t="inlineStr"/>
      <c r="L3" s="5" t="inlineStr">
        <is>
          <t>Not Run</t>
        </is>
      </c>
      <c r="M3" s="6" t="inlineStr">
        <is>
          <t>High</t>
        </is>
      </c>
      <c r="N3" s="9" t="inlineStr">
        <is>
          <t>Related Requirement: M02-F01, Scenario: SC-01</t>
        </is>
      </c>
    </row>
    <row r="4" ht="135" customHeight="1">
      <c r="A4" s="2" t="inlineStr">
        <is>
          <t>TC-M02-003</t>
        </is>
      </c>
      <c r="B4" s="2" t="inlineStr">
        <is>
          <t>Module 02</t>
        </is>
      </c>
      <c r="C4" s="3" t="inlineStr">
        <is>
          <t>M02-F01</t>
        </is>
      </c>
      <c r="D4" s="4" t="inlineStr">
        <is>
          <t>Single Observation Entry</t>
        </is>
      </c>
      <c r="E4" s="4" t="inlineStr">
        <is>
          <t>Record Single Student Observation with Invalid Rating</t>
        </is>
      </c>
      <c r="F4" s="4" t="inlineStr">
        <is>
          <t>Verify that entering an invalid rating (other than G, S, NI, or Empty) is blocked by validation.</t>
        </is>
      </c>
      <c r="G4" s="4" t="inlineStr">
        <is>
          <t>Staff user is logged in. Batch PNV26A and student ST001 exist.</t>
        </is>
      </c>
      <c r="H4" s="4" t="inlineStr">
        <is>
          <t>Student=ST001; Date=2026-07-17; IT_Rating=A; IT_Notes=Invalid rating value</t>
        </is>
      </c>
      <c r="I4" s="4" t="inlineStr">
        <is>
          <t>1. Open Scan Management;
2. Select Batch PNV26A and Student ST001;
3. Enter Observation Date: 17/07/2026;
4. Attempt to input invalid rating 'A' for IT;
5. Observe UI or click Save</t>
        </is>
      </c>
      <c r="J4" s="4" t="inlineStr">
        <is>
          <t>The system prevents saving. The UI dropdown restricts selection to only G, S, NI, and '-', or displays a validation error if raw data is submitted.</t>
        </is>
      </c>
      <c r="K4" s="4" t="inlineStr"/>
      <c r="L4" s="5" t="inlineStr">
        <is>
          <t>Not Run</t>
        </is>
      </c>
      <c r="M4" s="6" t="inlineStr">
        <is>
          <t>High</t>
        </is>
      </c>
      <c r="N4" s="4" t="inlineStr">
        <is>
          <t>Related Requirement: M02-F01, Scenario: SC-01, Validation Rules</t>
        </is>
      </c>
    </row>
    <row r="5" ht="135" customHeight="1">
      <c r="A5" s="7" t="inlineStr">
        <is>
          <t>TC-M02-004</t>
        </is>
      </c>
      <c r="B5" s="7" t="inlineStr">
        <is>
          <t>Module 02</t>
        </is>
      </c>
      <c r="C5" s="8" t="inlineStr">
        <is>
          <t>M02-F02</t>
        </is>
      </c>
      <c r="D5" s="9" t="inlineStr">
        <is>
          <t>Auto Rating Suggestion</t>
        </is>
      </c>
      <c r="E5" s="9" t="inlineStr">
        <is>
          <t>Auto Rating Suggestion Triggered After Typing Notes</t>
        </is>
      </c>
      <c r="F5" s="9" t="inlineStr">
        <is>
          <t>Verify that the system suggests a performance rating (G, S, or NI) approximately 400ms after user stops typing notes.</t>
        </is>
      </c>
      <c r="G5" s="9" t="inlineStr">
        <is>
          <t>Staff user is logged in.</t>
        </is>
      </c>
      <c r="H5" s="9" t="inlineStr">
        <is>
          <t>Subject=IT; Notes='The student solved all problems quickly and helped other classmates.'</t>
        </is>
      </c>
      <c r="I5" s="9" t="inlineStr">
        <is>
          <t>1. Open observation entry for IT;
2. Start typing the notes: 'The student solved all problems quickly and helped other classmates.';
3. Stop typing and wait for 400 milliseconds;
4. Observe the rating selector</t>
        </is>
      </c>
      <c r="J5" s="9" t="inlineStr">
        <is>
          <t>An auto-rating suggestion (G/excellent) is automatically selected or suggested adjacent to the rating field after 400ms of inactivity.</t>
        </is>
      </c>
      <c r="K5" s="9" t="inlineStr"/>
      <c r="L5" s="5" t="inlineStr">
        <is>
          <t>Not Run</t>
        </is>
      </c>
      <c r="M5" s="6" t="inlineStr">
        <is>
          <t>High</t>
        </is>
      </c>
      <c r="N5" s="9" t="inlineStr">
        <is>
          <t>Related Requirement: M02-F02, Scenario: SC-02</t>
        </is>
      </c>
    </row>
    <row r="6" ht="120" customHeight="1">
      <c r="A6" s="2" t="inlineStr">
        <is>
          <t>TC-M02-005</t>
        </is>
      </c>
      <c r="B6" s="2" t="inlineStr">
        <is>
          <t>Module 02</t>
        </is>
      </c>
      <c r="C6" s="3" t="inlineStr">
        <is>
          <t>M02-F02</t>
        </is>
      </c>
      <c r="D6" s="4" t="inlineStr">
        <is>
          <t>Auto Rating Suggestion</t>
        </is>
      </c>
      <c r="E6" s="4" t="inlineStr">
        <is>
          <t>Overwrite Auto Rating Suggestion</t>
        </is>
      </c>
      <c r="F6" s="4" t="inlineStr">
        <is>
          <t>Verify that staff members can manually overwrite an auto-suggested rating.</t>
        </is>
      </c>
      <c r="G6" s="4" t="inlineStr">
        <is>
          <t>Staff user is logged in. System has suggested rating 'G' after notes were typed.</t>
        </is>
      </c>
      <c r="H6" s="4" t="inlineStr">
        <is>
          <t>Subject=IT; Notes='Good work but missed classes'; SuggestedRating=G; OverwrittenRating=S</t>
        </is>
      </c>
      <c r="I6" s="4" t="inlineStr">
        <is>
          <t>1. Type notes that trigger a 'G' suggestion;
2. Wait for the suggestion to appear;
3. Click the rating dropdown and manually change the rating to 'S';
4. Click Save</t>
        </is>
      </c>
      <c r="J6" s="4" t="inlineStr">
        <is>
          <t>The manually selected rating 'S' replaces the suggestion 'G'. The record is saved successfully with rating 'S'.</t>
        </is>
      </c>
      <c r="K6" s="4" t="inlineStr"/>
      <c r="L6" s="5" t="inlineStr">
        <is>
          <t>Not Run</t>
        </is>
      </c>
      <c r="M6" s="6" t="inlineStr">
        <is>
          <t>High</t>
        </is>
      </c>
      <c r="N6" s="4" t="inlineStr">
        <is>
          <t>Related Requirement: M02-F02, Scenario: SC-02</t>
        </is>
      </c>
    </row>
    <row r="7" ht="150" customHeight="1">
      <c r="A7" s="7" t="inlineStr">
        <is>
          <t>TC-M02-006</t>
        </is>
      </c>
      <c r="B7" s="7" t="inlineStr">
        <is>
          <t>Module 02</t>
        </is>
      </c>
      <c r="C7" s="8" t="inlineStr">
        <is>
          <t>M02-F03</t>
        </is>
      </c>
      <c r="D7" s="9" t="inlineStr">
        <is>
          <t>Batch Entry – All Subjects</t>
        </is>
      </c>
      <c r="E7" s="9" t="inlineStr">
        <is>
          <t>Batch Entry for All Subjects simultaneously</t>
        </is>
      </c>
      <c r="F7" s="9" t="inlineStr">
        <is>
          <t>Verify that staff can record observations for multiple students across all subjects simultaneously using spreadsheet-style entry.</t>
        </is>
      </c>
      <c r="G7" s="9" t="inlineStr">
        <is>
          <t>Staff user is logged in. Batch PNV26A contains multiple active students (ST001, ST002).</t>
        </is>
      </c>
      <c r="H7" s="9" t="inlineStr">
        <is>
          <t>Grid of ratings and notes for ST001 and ST002.</t>
        </is>
      </c>
      <c r="I7" s="9" t="inlineStr">
        <is>
          <t>1. Open Scan Management and choose Batch Entry - All Subjects;
2. Select Batch PNV26A and Date: 17/07/2026;
3. On the grid, enter ratings and notes for ST001 (IT=G, PLT=S, English=S, DA=S) and ST002 (IT=S, PLT=NI, English=S, DA=S);
4. Click Save All</t>
        </is>
      </c>
      <c r="J7" s="9" t="inlineStr">
        <is>
          <t>System saves all observation data simultaneously. Success notification appears (e.g.: "Saved 2 students"). Data is displayed accurately in the list.</t>
        </is>
      </c>
      <c r="K7" s="9" t="inlineStr"/>
      <c r="L7" s="5" t="inlineStr">
        <is>
          <t>Not Run</t>
        </is>
      </c>
      <c r="M7" s="6" t="inlineStr">
        <is>
          <t>High</t>
        </is>
      </c>
      <c r="N7" s="9" t="inlineStr">
        <is>
          <t>Related Requirement: M02-F03, Scenario: SC-03</t>
        </is>
      </c>
    </row>
    <row r="8" ht="135" customHeight="1">
      <c r="A8" s="2" t="inlineStr">
        <is>
          <t>TC-M02-007</t>
        </is>
      </c>
      <c r="B8" s="2" t="inlineStr">
        <is>
          <t>Module 02</t>
        </is>
      </c>
      <c r="C8" s="3" t="inlineStr">
        <is>
          <t>M02-F04</t>
        </is>
      </c>
      <c r="D8" s="4" t="inlineStr">
        <is>
          <t>Batch Entry – By Subject</t>
        </is>
      </c>
      <c r="E8" s="4" t="inlineStr">
        <is>
          <t>Batch Entry by Subject</t>
        </is>
      </c>
      <c r="F8" s="4" t="inlineStr">
        <is>
          <t>Verify that teachers can enter observations for a single subject for multiple students in batch mode.</t>
        </is>
      </c>
      <c r="G8" s="4" t="inlineStr">
        <is>
          <t>Staff user is logged in.</t>
        </is>
      </c>
      <c r="H8" s="4" t="inlineStr">
        <is>
          <t>Subject=English; Ratings and notes for ST001, ST002, ST003.</t>
        </is>
      </c>
      <c r="I8" s="4" t="inlineStr">
        <is>
          <t>1. Open Scan Management and choose Batch Entry - By Subject;
2. Select Batch PNV26A, Date: 17/07/2026, and Subject: English;
3. Fill ratings and notes for English for ST001, ST002, and ST003;
4. Click Save</t>
        </is>
      </c>
      <c r="J8" s="4" t="inlineStr">
        <is>
          <t>English observations are saved successfully for all selected students. Other subjects (IT, PLT, DA) for these students remain unaffected.</t>
        </is>
      </c>
      <c r="K8" s="4" t="inlineStr"/>
      <c r="L8" s="5" t="inlineStr">
        <is>
          <t>Not Run</t>
        </is>
      </c>
      <c r="M8" s="6" t="inlineStr">
        <is>
          <t>High</t>
        </is>
      </c>
      <c r="N8" s="4" t="inlineStr">
        <is>
          <t>Related Requirement: M02-F04, Scenario: SC-04</t>
        </is>
      </c>
    </row>
    <row r="9" ht="120" customHeight="1">
      <c r="A9" s="7" t="inlineStr">
        <is>
          <t>TC-M02-008</t>
        </is>
      </c>
      <c r="B9" s="7" t="inlineStr">
        <is>
          <t>Module 02</t>
        </is>
      </c>
      <c r="C9" s="8" t="inlineStr">
        <is>
          <t>M02-F05</t>
        </is>
      </c>
      <c r="D9" s="9" t="inlineStr">
        <is>
          <t>Observation Editing</t>
        </is>
      </c>
      <c r="E9" s="9" t="inlineStr">
        <is>
          <t>Edit Existing Observation Ratings and Notes</t>
        </is>
      </c>
      <c r="F9" s="9" t="inlineStr">
        <is>
          <t>Verify that staff can edit the ratings and notes of an existing observation record (before the session is complete).</t>
        </is>
      </c>
      <c r="G9" s="9" t="inlineStr">
        <is>
          <t>Staff user is logged in. Student ST001 has an observation on 17/07/2026.</t>
        </is>
      </c>
      <c r="H9" s="9" t="inlineStr">
        <is>
          <t>Student=ST001; Date=2026-07-17; NewITRating=S; NewITNotes=Needs some improvements.</t>
        </is>
      </c>
      <c r="I9" s="9" t="inlineStr">
        <is>
          <t>1. Open Scan Management;
2. Search for ST001 and click Edit on observation for 17/07/2026;
3. Change IT rating to 'S' and notes to 'Needs some improvements.';
4. Click Save</t>
        </is>
      </c>
      <c r="J9" s="9" t="inlineStr">
        <is>
          <t>Observation is updated successfully. A success notification is displayed. The new rating 'S' and notes display correctly.</t>
        </is>
      </c>
      <c r="K9" s="9" t="inlineStr"/>
      <c r="L9" s="5" t="inlineStr">
        <is>
          <t>Not Run</t>
        </is>
      </c>
      <c r="M9" s="6" t="inlineStr">
        <is>
          <t>High</t>
        </is>
      </c>
      <c r="N9" s="9" t="inlineStr">
        <is>
          <t>Related Requirement: M02-F05, Scenario: SC-05</t>
        </is>
      </c>
    </row>
    <row r="10" ht="105" customHeight="1">
      <c r="A10" s="2" t="inlineStr">
        <is>
          <t>TC-M02-009</t>
        </is>
      </c>
      <c r="B10" s="2" t="inlineStr">
        <is>
          <t>Module 02</t>
        </is>
      </c>
      <c r="C10" s="3" t="inlineStr">
        <is>
          <t>M02-F05</t>
        </is>
      </c>
      <c r="D10" s="4" t="inlineStr">
        <is>
          <t>Observation Editing</t>
        </is>
      </c>
      <c r="E10" s="4" t="inlineStr">
        <is>
          <t>Observation Date Locked and Cannot Be Changed</t>
        </is>
      </c>
      <c r="F10" s="4" t="inlineStr">
        <is>
          <t>Verify that the observation date of an existing record is locked and cannot be edited.</t>
        </is>
      </c>
      <c r="G10" s="4" t="inlineStr">
        <is>
          <t>Staff user is logged in. Student ST001 has an observation on 17/07/2026.</t>
        </is>
      </c>
      <c r="H10" s="4" t="inlineStr">
        <is>
          <t>Student=ST001; Date=2026-07-17</t>
        </is>
      </c>
      <c r="I10" s="4" t="inlineStr">
        <is>
          <t>1. Open Scan Management;
2. Select ST001 observation on 17/07/2026 and click Edit;
3. Check the Observation Date field;
4. Attempt to modify the date</t>
        </is>
      </c>
      <c r="J10" s="4" t="inlineStr">
        <is>
          <t>The Observation Date field is disabled (read-only) and cannot be interacted with or modified.</t>
        </is>
      </c>
      <c r="K10" s="4" t="inlineStr"/>
      <c r="L10" s="5" t="inlineStr">
        <is>
          <t>Not Run</t>
        </is>
      </c>
      <c r="M10" s="6" t="inlineStr">
        <is>
          <t>High</t>
        </is>
      </c>
      <c r="N10" s="4" t="inlineStr">
        <is>
          <t>Related Requirement: M02-F05, Scenario: SC-05, Business Rules</t>
        </is>
      </c>
    </row>
    <row r="11" ht="75" customHeight="1">
      <c r="A11" s="7" t="inlineStr">
        <is>
          <t>TC-M02-010</t>
        </is>
      </c>
      <c r="B11" s="7" t="inlineStr">
        <is>
          <t>Module 02</t>
        </is>
      </c>
      <c r="C11" s="8" t="inlineStr">
        <is>
          <t>M02-F06</t>
        </is>
      </c>
      <c r="D11" s="9" t="inlineStr">
        <is>
          <t>Duplicate Detection &amp; Merge</t>
        </is>
      </c>
      <c r="E11" s="9" t="inlineStr">
        <is>
          <t>Duplicate Observation Merged - Less Than 3 Subjects Completed</t>
        </is>
      </c>
      <c r="F11" s="9" t="inlineStr">
        <is>
          <t>Verify that a duplicate student/date observation is merged into the existing record if less than 3 subjects are completed in the existing record.</t>
        </is>
      </c>
      <c r="G11" s="9" t="inlineStr">
        <is>
          <t>Staff user is logged in. Student ST001 has an observation on 17/07/2026 with only IT and PLT completed.</t>
        </is>
      </c>
      <c r="H11" s="9" t="inlineStr">
        <is>
          <t>Student=ST001; Date=2026-07-17; English_Rating=S; English_Notes=Good English vocabulary; DA_Rating=S</t>
        </is>
      </c>
      <c r="I11" s="9" t="inlineStr">
        <is>
          <t>1. Submit a new observation for ST001 on 17/07/2026 with English rating 'S', notes 'Good English vocabulary', and DA rating 'S';
2. Click Save</t>
        </is>
      </c>
      <c r="J11" s="9" t="inlineStr">
        <is>
          <t>Save is accepted. English and DA ratings are merged into the existing ST001 row. Message displays: "Added to existing session.".</t>
        </is>
      </c>
      <c r="K11" s="9" t="inlineStr"/>
      <c r="L11" s="5" t="inlineStr">
        <is>
          <t>Not Run</t>
        </is>
      </c>
      <c r="M11" s="6" t="inlineStr">
        <is>
          <t>High</t>
        </is>
      </c>
      <c r="N11" s="9" t="inlineStr">
        <is>
          <t>Related Requirement: M02-F06, Scenario: SC-06, Rule 1</t>
        </is>
      </c>
    </row>
    <row r="12" ht="60" customHeight="1">
      <c r="A12" s="2" t="inlineStr">
        <is>
          <t>TC-M02-011</t>
        </is>
      </c>
      <c r="B12" s="2" t="inlineStr">
        <is>
          <t>Module 02</t>
        </is>
      </c>
      <c r="C12" s="3" t="inlineStr">
        <is>
          <t>M02-F06</t>
        </is>
      </c>
      <c r="D12" s="4" t="inlineStr">
        <is>
          <t>Duplicate Detection &amp; Merge</t>
        </is>
      </c>
      <c r="E12" s="4" t="inlineStr">
        <is>
          <t>Duplicate Observation Rejected - 3 or More Subjects Completed</t>
        </is>
      </c>
      <c r="F12" s="4" t="inlineStr">
        <is>
          <t>Verify that a duplicate student/date observation is rejected if 3 or more subjects are already completed in the existing record.</t>
        </is>
      </c>
      <c r="G12" s="4" t="inlineStr">
        <is>
          <t>Staff user is logged in. Student ST001 has an observation on 17/07/2026 with IT, PLT, and English completed.</t>
        </is>
      </c>
      <c r="H12" s="4" t="inlineStr">
        <is>
          <t>Student=ST001; Date=2026-07-17; DA_Rating=G; DA_Notes=Excellent design work</t>
        </is>
      </c>
      <c r="I12" s="4" t="inlineStr">
        <is>
          <t>1. Attempt to save a new observation for ST001 on 17/07/2026 containing DA rating 'G';
2. Click Save</t>
        </is>
      </c>
      <c r="J12" s="4" t="inlineStr">
        <is>
          <t>Save is rejected. Error message displays: "A feedback record for this date already exists.". New record is not saved.</t>
        </is>
      </c>
      <c r="K12" s="4" t="inlineStr"/>
      <c r="L12" s="5" t="inlineStr">
        <is>
          <t>Not Run</t>
        </is>
      </c>
      <c r="M12" s="6" t="inlineStr">
        <is>
          <t>High</t>
        </is>
      </c>
      <c r="N12" s="4" t="inlineStr">
        <is>
          <t>Related Requirement: M02-F06, Scenario: SC-07, Rule 2</t>
        </is>
      </c>
    </row>
    <row r="13" ht="90" customHeight="1">
      <c r="A13" s="7" t="inlineStr">
        <is>
          <t>TC-M02-012</t>
        </is>
      </c>
      <c r="B13" s="7" t="inlineStr">
        <is>
          <t>Module 02</t>
        </is>
      </c>
      <c r="C13" s="8" t="inlineStr">
        <is>
          <t>M02-F07</t>
        </is>
      </c>
      <c r="D13" s="9" t="inlineStr">
        <is>
          <t>Session Management</t>
        </is>
      </c>
      <c r="E13" s="9" t="inlineStr">
        <is>
          <t>Mark Session Complete - Auto-fill N/A for Unassessed Students</t>
        </is>
      </c>
      <c r="F13" s="9" t="inlineStr">
        <is>
          <t>Verify that marking a session complete automatically fills ratings for unassessed students with N/A and closes the session.</t>
        </is>
      </c>
      <c r="G13" s="9" t="inlineStr">
        <is>
          <t>Staff user is logged in. Batch PNV26A session on 17/07/2026 is complete for ST001 but ST002 has no observations.</t>
        </is>
      </c>
      <c r="H13" s="9" t="inlineStr">
        <is>
          <t>Batch=PNV26A; Date=2026-07-17</t>
        </is>
      </c>
      <c r="I13" s="9" t="inlineStr">
        <is>
          <t>1. Open progress dashboard for PNV26A on 17/07/2026;
2. Click Mark Session Complete;
3. Check session status and ST002 record</t>
        </is>
      </c>
      <c r="J13" s="9" t="inlineStr">
        <is>
          <t>Session status becomes 'Complete'. Student ST002 is automatically filled with 'N/A' for all subjects. No unassessed students remain.</t>
        </is>
      </c>
      <c r="K13" s="9" t="inlineStr"/>
      <c r="L13" s="5" t="inlineStr">
        <is>
          <t>Not Run</t>
        </is>
      </c>
      <c r="M13" s="6" t="inlineStr">
        <is>
          <t>High</t>
        </is>
      </c>
      <c r="N13" s="9" t="inlineStr">
        <is>
          <t>Related Requirement: M02-F07, Scenario: SC-08</t>
        </is>
      </c>
    </row>
    <row r="14" ht="90" customHeight="1">
      <c r="A14" s="2" t="inlineStr">
        <is>
          <t>TC-M02-013</t>
        </is>
      </c>
      <c r="B14" s="2" t="inlineStr">
        <is>
          <t>Module 02</t>
        </is>
      </c>
      <c r="C14" s="3" t="inlineStr">
        <is>
          <t>M02-F07</t>
        </is>
      </c>
      <c r="D14" s="4" t="inlineStr">
        <is>
          <t>Session Management</t>
        </is>
      </c>
      <c r="E14" s="4" t="inlineStr">
        <is>
          <t>Block Edits on Completed Session</t>
        </is>
      </c>
      <c r="F14" s="4" t="inlineStr">
        <is>
          <t>Verify that staff cannot edit or create observations once a session is marked Complete.</t>
        </is>
      </c>
      <c r="G14" s="4" t="inlineStr">
        <is>
          <t>Staff user is logged in. Batch PNV26A session on 17/07/2026 is marked Complete.</t>
        </is>
      </c>
      <c r="H14" s="4" t="inlineStr">
        <is>
          <t>Batch=PNV26A; Date=2026-07-17</t>
        </is>
      </c>
      <c r="I14" s="4" t="inlineStr">
        <is>
          <t>1. Open completed session for PNV26A on 17/07/2026;
2. Try clicking Edit or Add Observation for this date;
3. Observe UI and server response if save is sent</t>
        </is>
      </c>
      <c r="J14" s="4" t="inlineStr">
        <is>
          <t>Edit/Add buttons are hidden or disabled. Server rejects any manual save attempts with error "Form may be outdated." or "Session outdated.".</t>
        </is>
      </c>
      <c r="K14" s="4" t="inlineStr"/>
      <c r="L14" s="5" t="inlineStr">
        <is>
          <t>Not Run</t>
        </is>
      </c>
      <c r="M14" s="6" t="inlineStr">
        <is>
          <t>High</t>
        </is>
      </c>
      <c r="N14" s="4" t="inlineStr">
        <is>
          <t>Related Requirement: M02-F07, Scenario: SC-08, Business Rules</t>
        </is>
      </c>
    </row>
    <row r="15" ht="90" customHeight="1">
      <c r="A15" s="7" t="inlineStr">
        <is>
          <t>TC-M02-014</t>
        </is>
      </c>
      <c r="B15" s="7" t="inlineStr">
        <is>
          <t>Module 02</t>
        </is>
      </c>
      <c r="C15" s="8" t="inlineStr">
        <is>
          <t>M02-F08</t>
        </is>
      </c>
      <c r="D15" s="9" t="inlineStr">
        <is>
          <t>Session Progress</t>
        </is>
      </c>
      <c r="E15" s="9" t="inlineStr">
        <is>
          <t>Verify Session Progress Dashboard Indicators</t>
        </is>
      </c>
      <c r="F15" s="9" t="inlineStr">
        <is>
          <t>Verify that the progress dashboard shows accurate completion rate and lists unassessed students.</t>
        </is>
      </c>
      <c r="G15" s="9" t="inlineStr">
        <is>
          <t>Staff user is logged in. Batch PNV26A has 10 students; 4 have observations, 6 do not.</t>
        </is>
      </c>
      <c r="H15" s="9" t="inlineStr">
        <is>
          <t>Batch=PNV26A; Date=2026-07-17</t>
        </is>
      </c>
      <c r="I15" s="9" t="inlineStr">
        <is>
          <t>1. Open Scan Management;
2. Navigate to progress details for PNV26A on 17/07/2026;
3. Check percentage and unassessed student list</t>
        </is>
      </c>
      <c r="J15" s="9" t="inlineStr">
        <is>
          <t>Dashboard displays '40% Complete' (or '4/10 students assessed'). Status is 'Incomplete'. Names of the 6 unassessed students are listed.</t>
        </is>
      </c>
      <c r="K15" s="9" t="inlineStr"/>
      <c r="L15" s="5" t="inlineStr">
        <is>
          <t>Not Run</t>
        </is>
      </c>
      <c r="M15" s="10" t="inlineStr">
        <is>
          <t>Medium</t>
        </is>
      </c>
      <c r="N15" s="9" t="inlineStr">
        <is>
          <t>Related Requirement: M02-F08, Scenario: SC-09</t>
        </is>
      </c>
    </row>
    <row r="16" ht="150" customHeight="1">
      <c r="A16" s="2" t="inlineStr">
        <is>
          <t>TC-M02-015</t>
        </is>
      </c>
      <c r="B16" s="2" t="inlineStr">
        <is>
          <t>Module 02</t>
        </is>
      </c>
      <c r="C16" s="3" t="inlineStr">
        <is>
          <t>M02-F09</t>
        </is>
      </c>
      <c r="D16" s="4" t="inlineStr">
        <is>
          <t>Concurrent Edit Handling</t>
        </is>
      </c>
      <c r="E16" s="4" t="inlineStr">
        <is>
          <t>Three-Way Merge - Non-conflicting Concurrent Edits</t>
        </is>
      </c>
      <c r="F16" s="4" t="inlineStr">
        <is>
          <t>Verify that when two staff members edit different subjects on the same observation record simultaneously, changes are merged.</t>
        </is>
      </c>
      <c r="G16" s="4" t="inlineStr">
        <is>
          <t>Staff Teacher A and Teacher B are logged in. Student ST001 has IT Comment 'Good performance', English is blank.</t>
        </is>
      </c>
      <c r="H16" s="4" t="inlineStr">
        <is>
          <t>ST001 observation details on 17/07/2026</t>
        </is>
      </c>
      <c r="I16" s="4" t="inlineStr">
        <is>
          <t>1. Teacher A opens ST001 edit form;
2. Teacher B opens ST001 edit form;
3. Teacher B updates IT Comment to 'Excellent performance' and clicks Save first;
4. Teacher A updates English Comment to 'Good English speaking' (keeping IT comment original) and clicks Save</t>
        </is>
      </c>
      <c r="J16" s="4" t="inlineStr">
        <is>
          <t>Three-way merge is successful. Saved record has IT Comment 'Excellent performance' and English Comment 'Good English speaking'. Teacher A receives warning: "Saved, but some fields were updated by another teacher."</t>
        </is>
      </c>
      <c r="K16" s="4" t="inlineStr"/>
      <c r="L16" s="5" t="inlineStr">
        <is>
          <t>Not Run</t>
        </is>
      </c>
      <c r="M16" s="6" t="inlineStr">
        <is>
          <t>High</t>
        </is>
      </c>
      <c r="N16" s="4" t="inlineStr">
        <is>
          <t>Related Requirement: M02-F09, Scenario: SC-10, Three-Way Merge</t>
        </is>
      </c>
    </row>
    <row r="17" ht="135" customHeight="1">
      <c r="A17" s="7" t="inlineStr">
        <is>
          <t>TC-M02-016</t>
        </is>
      </c>
      <c r="B17" s="7" t="inlineStr">
        <is>
          <t>Module 02</t>
        </is>
      </c>
      <c r="C17" s="8" t="inlineStr">
        <is>
          <t>M02-F09</t>
        </is>
      </c>
      <c r="D17" s="9" t="inlineStr">
        <is>
          <t>Concurrent Edit Handling</t>
        </is>
      </c>
      <c r="E17" s="9" t="inlineStr">
        <is>
          <t>Three-Way Merge - Conflicting Concurrent Edits</t>
        </is>
      </c>
      <c r="F17" s="9" t="inlineStr">
        <is>
          <t>Verify that when two staff members edit the same field of an observation record simultaneously, the system flags a conflict and alerts the user.</t>
        </is>
      </c>
      <c r="G17" s="9" t="inlineStr">
        <is>
          <t>Teacher A and Teacher B are logged in. Student ST001 has IT Comment 'Good performance'.</t>
        </is>
      </c>
      <c r="H17" s="9" t="inlineStr">
        <is>
          <t>ST001 observation details on 17/07/2026</t>
        </is>
      </c>
      <c r="I17" s="9" t="inlineStr">
        <is>
          <t>1. Teacher A opens ST001 edit form;
2. Teacher B opens ST001 edit form;
3. Teacher B updates IT Comment to 'Excellent performance' and clicks Save;
4. Teacher A updates IT Comment to 'Very good performance' and clicks Save after Teacher B</t>
        </is>
      </c>
      <c r="J17" s="9" t="inlineStr">
        <is>
          <t>Teacher A's save triggers a conflict warning. The system flags that the IT Comment field has a conflict. Teacher A receives warning message: "Saved, but some fields were updated by another teacher." or "Form may be outdated.", and Teacher B's value 'Excellent performance' is kept (or conflict resolution UI is shown).</t>
        </is>
      </c>
      <c r="K17" s="9" t="inlineStr"/>
      <c r="L17" s="5" t="inlineStr">
        <is>
          <t>Not Run</t>
        </is>
      </c>
      <c r="M17" s="6" t="inlineStr">
        <is>
          <t>High</t>
        </is>
      </c>
      <c r="N17" s="9" t="inlineStr">
        <is>
          <t>Related Requirement: M02-F09, Scenario: SC-10, Three-Way Merge</t>
        </is>
      </c>
    </row>
    <row r="18" ht="105" customHeight="1">
      <c r="A18" s="2" t="inlineStr">
        <is>
          <t>TC-M02-017</t>
        </is>
      </c>
      <c r="B18" s="2" t="inlineStr">
        <is>
          <t>Module 02</t>
        </is>
      </c>
      <c r="C18" s="3" t="inlineStr">
        <is>
          <t>M02-F10</t>
        </is>
      </c>
      <c r="D18" s="4" t="inlineStr">
        <is>
          <t>Search, Filter &amp; Sorting</t>
        </is>
      </c>
      <c r="E18" s="4" t="inlineStr">
        <is>
          <t>Search Student by Full or Partial Name</t>
        </is>
      </c>
      <c r="F18" s="4" t="inlineStr">
        <is>
          <t>Verify that searching student list by full or partial name correctly filters the observation records.</t>
        </is>
      </c>
      <c r="G18" s="4" t="inlineStr">
        <is>
          <t>Staff user is logged in. Student list contains 'Nguyen Van A' and 'Tran Thi B'.</t>
        </is>
      </c>
      <c r="H18" s="4" t="inlineStr">
        <is>
          <t>SearchQuery1=Nguyen Van A; SearchQuery2=Thi</t>
        </is>
      </c>
      <c r="I18" s="4" t="inlineStr">
        <is>
          <t>1. Open Scan Management;
2. Enter 'Nguyen Van A' in the Search box and observe the student list;
3. Clear the search and enter 'Thi' in the search box; 4. Observe the student list</t>
        </is>
      </c>
      <c r="J18" s="4" t="inlineStr">
        <is>
          <t>Searching 'Nguyen Van A' displays only Nguyen Van A. Searching 'Thi' displays only Tran Thi B (matching partial name 'Thi'). List updates in real-time.</t>
        </is>
      </c>
      <c r="K18" s="4" t="inlineStr"/>
      <c r="L18" s="5" t="inlineStr">
        <is>
          <t>Not Run</t>
        </is>
      </c>
      <c r="M18" s="10" t="inlineStr">
        <is>
          <t>Medium</t>
        </is>
      </c>
      <c r="N18" s="4" t="inlineStr">
        <is>
          <t>Related Requirement: M02-F10, Scenario: SC-11</t>
        </is>
      </c>
    </row>
    <row r="19" ht="105" customHeight="1">
      <c r="A19" s="7" t="inlineStr">
        <is>
          <t>TC-M02-018</t>
        </is>
      </c>
      <c r="B19" s="7" t="inlineStr">
        <is>
          <t>Module 02</t>
        </is>
      </c>
      <c r="C19" s="8" t="inlineStr">
        <is>
          <t>M02-F10</t>
        </is>
      </c>
      <c r="D19" s="9" t="inlineStr">
        <is>
          <t>Search, Filter &amp; Sorting</t>
        </is>
      </c>
      <c r="E19" s="9" t="inlineStr">
        <is>
          <t>Filter Observations by Status</t>
        </is>
      </c>
      <c r="F19" s="9" t="inlineStr">
        <is>
          <t>Verify that staff can filter the student list by observation status (Complete / Incomplete).</t>
        </is>
      </c>
      <c r="G19" s="9" t="inlineStr">
        <is>
          <t>Staff user is logged in. Batch PNV26A contains some students with complete observations and others incomplete.</t>
        </is>
      </c>
      <c r="H19" s="9" t="inlineStr">
        <is>
          <t>StatusFilter=Incomplete</t>
        </is>
      </c>
      <c r="I19" s="9" t="inlineStr">
        <is>
          <t>1. Open Scan Management;
2. Select Batch PNV26A;
3. In the Status filter dropdown, select Incomplete;
4. Observe the filtered list</t>
        </is>
      </c>
      <c r="J19" s="9" t="inlineStr">
        <is>
          <t>The student list displays only students who do not have all 4 subjects completed. Students with fully completed observations are hidden.</t>
        </is>
      </c>
      <c r="K19" s="9" t="inlineStr"/>
      <c r="L19" s="5" t="inlineStr">
        <is>
          <t>Not Run</t>
        </is>
      </c>
      <c r="M19" s="10" t="inlineStr">
        <is>
          <t>Medium</t>
        </is>
      </c>
      <c r="N19" s="9" t="inlineStr">
        <is>
          <t>Related Requirement: M02-F10, Scenario: SC-11</t>
        </is>
      </c>
    </row>
    <row r="20" ht="150" customHeight="1">
      <c r="A20" s="2" t="inlineStr">
        <is>
          <t>TC-M02-019</t>
        </is>
      </c>
      <c r="B20" s="2" t="inlineStr">
        <is>
          <t>Module 02</t>
        </is>
      </c>
      <c r="C20" s="3" t="inlineStr">
        <is>
          <t>M02-F10</t>
        </is>
      </c>
      <c r="D20" s="4" t="inlineStr">
        <is>
          <t>Search, Filter &amp; Sorting</t>
        </is>
      </c>
      <c r="E20" s="4" t="inlineStr">
        <is>
          <t>Sort Students Alphabetically and by Completion Progress</t>
        </is>
      </c>
      <c r="F20" s="4" t="inlineStr">
        <is>
          <t>Verify that the student list can be sorted alphabetically or by observation completion progress.</t>
        </is>
      </c>
      <c r="G20" s="4" t="inlineStr">
        <is>
          <t>Staff user is logged in. Batch PNV26A exists.</t>
        </is>
      </c>
      <c r="H20" s="4" t="inlineStr">
        <is>
          <t>SortOptions=Alphabetical, CompletionProgress</t>
        </is>
      </c>
      <c r="I20" s="4" t="inlineStr">
        <is>
          <t>1. Open Scan Management;
2. Click the Sort dropdown and select Alphabetical (A-Z);
3. Verify list sorting;
4. Click Sort dropdown and select Completion Progress (Lowest to Highest);
5. Verify list sorting</t>
        </is>
      </c>
      <c r="J20" s="4" t="inlineStr">
        <is>
          <t>The student list rearranges correctly. Alphabetical sorting orders students by name A-Z. Completion sorting displays students with fewer completed subjects first.</t>
        </is>
      </c>
      <c r="K20" s="4" t="inlineStr"/>
      <c r="L20" s="5" t="inlineStr">
        <is>
          <t>Not Run</t>
        </is>
      </c>
      <c r="M20" s="10" t="inlineStr">
        <is>
          <t>Medium</t>
        </is>
      </c>
      <c r="N20" s="4" t="inlineStr">
        <is>
          <t>Related Requirement: M02-F10, Scenario: SC-11</t>
        </is>
      </c>
    </row>
    <row r="21" ht="75" customHeight="1">
      <c r="A21" s="7" t="inlineStr">
        <is>
          <t>TC-M02-020</t>
        </is>
      </c>
      <c r="B21" s="7" t="inlineStr">
        <is>
          <t>Module 02</t>
        </is>
      </c>
      <c r="C21" s="8" t="inlineStr">
        <is>
          <t>M02-F11</t>
        </is>
      </c>
      <c r="D21" s="9" t="inlineStr">
        <is>
          <t>Dashboard Overview</t>
        </is>
      </c>
      <c r="E21" s="9" t="inlineStr">
        <is>
          <t>Verify Dashboard Stats and Observation Completion Rate</t>
        </is>
      </c>
      <c r="F21" s="9" t="inlineStr">
        <is>
          <t>Verify that the dashboard displays correct metrics for active sessions, completed sessions, and completion rate.</t>
        </is>
      </c>
      <c r="G21" s="9" t="inlineStr">
        <is>
          <t>Staff user is logged in. System has 3 active sessions (2 complete, 1 incomplete). Total 30 observation records possible, 24 completed.</t>
        </is>
      </c>
      <c r="H21" s="9" t="inlineStr">
        <is>
          <t>None</t>
        </is>
      </c>
      <c r="I21" s="9" t="inlineStr">
        <is>
          <t>1. Navigate to the Dashboard Overview page;
2. Observe the observation-related statistics cards</t>
        </is>
      </c>
      <c r="J21" s="9" t="inlineStr">
        <is>
          <t>The dashboard displays: Active Observation Sessions = 3, Completed Sessions = 2, Incomplete Sessions = 1, Observation Completion Rate = 80% (24/30). Metrics are calculated accurately.</t>
        </is>
      </c>
      <c r="K21" s="9" t="inlineStr"/>
      <c r="L21" s="5" t="inlineStr">
        <is>
          <t>Not Run</t>
        </is>
      </c>
      <c r="M21" s="10" t="inlineStr">
        <is>
          <t>Medium</t>
        </is>
      </c>
      <c r="N21" s="9" t="inlineStr">
        <is>
          <t>Related Requirement: M02-F11, Scenario: SC-12</t>
        </is>
      </c>
    </row>
    <row r="22" ht="105" customHeight="1">
      <c r="A22" s="2" t="inlineStr">
        <is>
          <t>TC-M02-021</t>
        </is>
      </c>
      <c r="B22" s="2" t="inlineStr">
        <is>
          <t>Module 02</t>
        </is>
      </c>
      <c r="C22" s="3" t="inlineStr">
        <is>
          <t>M02-F11</t>
        </is>
      </c>
      <c r="D22" s="4" t="inlineStr">
        <is>
          <t>Dashboard Overview</t>
        </is>
      </c>
      <c r="E22" s="4" t="inlineStr">
        <is>
          <t>Verify Dashboard Auto-refresh after Observation Data Updates</t>
        </is>
      </c>
      <c r="F22" s="4" t="inlineStr">
        <is>
          <t>Verify that observation dashboard statistics update immediately when observations are completed or edited.</t>
        </is>
      </c>
      <c r="G22" s="4" t="inlineStr">
        <is>
          <t>Staff user is logged in. Dashboard currently displays Completion Rate = 80%.</t>
        </is>
      </c>
      <c r="H22" s="4" t="inlineStr">
        <is>
          <t>New observation saved for ST005.</t>
        </is>
      </c>
      <c r="I22" s="4" t="inlineStr">
        <is>
          <t>1. Open Scan Management and record a new observation for ST005 (completing all remaining subjects for that day);
2. Go to Dashboard immediately;
3. Observe the Completion Rate statistic</t>
        </is>
      </c>
      <c r="J22" s="4" t="inlineStr">
        <is>
          <t>The Completion Rate percentage card on the dashboard updates immediately to a higher percentage (e.g. 83%) without requiring a browser refresh.</t>
        </is>
      </c>
      <c r="K22" s="4" t="inlineStr"/>
      <c r="L22" s="5" t="inlineStr">
        <is>
          <t>Not Run</t>
        </is>
      </c>
      <c r="M22" s="10" t="inlineStr">
        <is>
          <t>Medium</t>
        </is>
      </c>
      <c r="N22" s="4" t="inlineStr">
        <is>
          <t>Related Requirement: M02-F11, Scenario: SC-12</t>
        </is>
      </c>
    </row>
    <row r="23" ht="120" customHeight="1">
      <c r="A23" s="7" t="inlineStr">
        <is>
          <t>TC-M02-022</t>
        </is>
      </c>
      <c r="B23" s="7" t="inlineStr">
        <is>
          <t>Module 02</t>
        </is>
      </c>
      <c r="C23" s="8" t="inlineStr">
        <is>
          <t>M02-F01</t>
        </is>
      </c>
      <c r="D23" s="9" t="inlineStr">
        <is>
          <t>Single Observation Entry</t>
        </is>
      </c>
      <c r="E23" s="9" t="inlineStr">
        <is>
          <t>Record Observation Blocked with Empty Date</t>
        </is>
      </c>
      <c r="F23" s="9" t="inlineStr">
        <is>
          <t>Verify that the system blocks saving an observation if the date field is empty.</t>
        </is>
      </c>
      <c r="G23" s="9" t="inlineStr">
        <is>
          <t>Staff user is logged in.</t>
        </is>
      </c>
      <c r="H23" s="9" t="inlineStr">
        <is>
          <t>Student=ST001; Date=Empty; IT_Rating=S; IT_Notes=Good progress</t>
        </is>
      </c>
      <c r="I23" s="9" t="inlineStr">
        <is>
          <t>1. Open Scan Management;
2. Select Student ST001;
3. Leave Observation Date empty;
4. Enter IT rating 'S' and notes 'Good progress';
5. Click Save</t>
        </is>
      </c>
      <c r="J23" s="9" t="inlineStr">
        <is>
          <t>Saving is blocked. A validation error message requires Observation Date to be selected. No record is saved.</t>
        </is>
      </c>
      <c r="K23" s="9" t="inlineStr"/>
      <c r="L23" s="5" t="inlineStr">
        <is>
          <t>Not Run</t>
        </is>
      </c>
      <c r="M23" s="6" t="inlineStr">
        <is>
          <t>High</t>
        </is>
      </c>
      <c r="N23" s="9" t="inlineStr">
        <is>
          <t>Related Requirement: M02-F01, Scenario: SC-01, Validation Rules</t>
        </is>
      </c>
    </row>
    <row r="24" ht="120" customHeight="1">
      <c r="A24" s="2" t="inlineStr">
        <is>
          <t>TC-M02-023</t>
        </is>
      </c>
      <c r="B24" s="2" t="inlineStr">
        <is>
          <t>Module 02</t>
        </is>
      </c>
      <c r="C24" s="3" t="inlineStr">
        <is>
          <t>M02-F01</t>
        </is>
      </c>
      <c r="D24" s="4" t="inlineStr">
        <is>
          <t>Single Observation Entry</t>
        </is>
      </c>
      <c r="E24" s="4" t="inlineStr">
        <is>
          <t>Record Observation Blocked with Empty Student</t>
        </is>
      </c>
      <c r="F24" s="4" t="inlineStr">
        <is>
          <t>Verify that the system blocks saving an observation if no student is selected.</t>
        </is>
      </c>
      <c r="G24" s="4" t="inlineStr">
        <is>
          <t>Staff user is logged in.</t>
        </is>
      </c>
      <c r="H24" s="4" t="inlineStr">
        <is>
          <t>Student=Empty; Date=2026-07-17; IT_Rating=S; IT_Notes=Good progress</t>
        </is>
      </c>
      <c r="I24" s="4" t="inlineStr">
        <is>
          <t>1. Open Scan Management;
2. Select Date: 17/07/2026;
3. Leave Student dropdown empty;
4. Enter IT rating 'S' and notes 'Good progress';
5. Click Save</t>
        </is>
      </c>
      <c r="J24" s="4" t="inlineStr">
        <is>
          <t>Saving is blocked. A validation error message requires a student to be selected. No record is saved.</t>
        </is>
      </c>
      <c r="K24" s="4" t="inlineStr"/>
      <c r="L24" s="5" t="inlineStr">
        <is>
          <t>Not Run</t>
        </is>
      </c>
      <c r="M24" s="6" t="inlineStr">
        <is>
          <t>High</t>
        </is>
      </c>
      <c r="N24" s="4" t="inlineStr">
        <is>
          <t>Related Requirement: M02-F01, Scenario: SC-01, Validation Rules</t>
        </is>
      </c>
    </row>
    <row r="25" ht="150" customHeight="1">
      <c r="A25" s="7" t="inlineStr">
        <is>
          <t>TC-M02-024</t>
        </is>
      </c>
      <c r="B25" s="7" t="inlineStr">
        <is>
          <t>Module 02</t>
        </is>
      </c>
      <c r="C25" s="8" t="inlineStr">
        <is>
          <t>M02-F03</t>
        </is>
      </c>
      <c r="D25" s="9" t="inlineStr">
        <is>
          <t>Batch Entry – All Subjects</t>
        </is>
      </c>
      <c r="E25" s="9" t="inlineStr">
        <is>
          <t>Batch Entry All Subjects Skips Empty Student Rows</t>
        </is>
      </c>
      <c r="F25" s="9" t="inlineStr">
        <is>
          <t>Verify that batch entry for all subjects skips students with completely empty inputs and reports skipped counts.</t>
        </is>
      </c>
      <c r="G25" s="9" t="inlineStr">
        <is>
          <t>Staff user is logged in. Batch PNV26A contains active students ST001 to ST005.</t>
        </is>
      </c>
      <c r="H25" s="9" t="inlineStr">
        <is>
          <t>Batch=PNV26A; Date=2026-07-17; Inputs for ST001, ST002, ST003; ST004 and ST005 are left blank.</t>
        </is>
      </c>
      <c r="I25" s="9" t="inlineStr">
        <is>
          <t>1. Open Scan Management and choose Batch Entry - All Subjects;
2. Select Batch PNV26A and Date 17/07/2026;
3. Enter ratings and notes for ST001, ST002, and ST003;
4. Leave rows for ST004 and ST005 completely empty;
5. Click Save All</t>
        </is>
      </c>
      <c r="J25" s="9" t="inlineStr">
        <is>
          <t>Records are saved successfully for ST001, ST002, and ST003. A message displays: "Saved 3 students, Skipped 2 students". No empty records are created for ST004 and ST005.</t>
        </is>
      </c>
      <c r="K25" s="9" t="inlineStr"/>
      <c r="L25" s="5" t="inlineStr">
        <is>
          <t>Not Run</t>
        </is>
      </c>
      <c r="M25" s="6" t="inlineStr">
        <is>
          <t>High</t>
        </is>
      </c>
      <c r="N25" s="9" t="inlineStr">
        <is>
          <t>Related Requirement: M02-F03, Scenario: SC-03, Batch Entry</t>
        </is>
      </c>
    </row>
    <row r="26" ht="135" customHeight="1">
      <c r="A26" s="2" t="inlineStr">
        <is>
          <t>TC-M02-025</t>
        </is>
      </c>
      <c r="B26" s="2" t="inlineStr">
        <is>
          <t>Module 02</t>
        </is>
      </c>
      <c r="C26" s="3" t="inlineStr">
        <is>
          <t>M02-F02</t>
        </is>
      </c>
      <c r="D26" s="4" t="inlineStr">
        <is>
          <t>Auto Rating Suggestion</t>
        </is>
      </c>
      <c r="E26" s="4" t="inlineStr">
        <is>
          <t>Auto Rating Cleared When Notes Are Erased</t>
        </is>
      </c>
      <c r="F26" s="4" t="inlineStr">
        <is>
          <t>Verify that if a user types notes to trigger a rating, then erases the notes, the suggested rating is reset.</t>
        </is>
      </c>
      <c r="G26" s="4" t="inlineStr">
        <is>
          <t>Staff user is logged in. System has suggested rating 'G' after notes were typed.</t>
        </is>
      </c>
      <c r="H26" s="4" t="inlineStr">
        <is>
          <t>Subject=PLT; Initial Notes='Excellent student'; Erased Notes=''</t>
        </is>
      </c>
      <c r="I26" s="4" t="inlineStr">
        <is>
          <t>1. Open observation entry for PLT;
2. Type notes: 'Excellent student';
3. Wait 400ms for suggestion 'G' to appear;
4. Clear the notes text area completely;
5. Observe rating dropdown</t>
        </is>
      </c>
      <c r="J26" s="4" t="inlineStr">
        <is>
          <t>The suggested rating 'G' is cleared, and the rating dropdown resets to the default '-' (Not Yet Assessed).</t>
        </is>
      </c>
      <c r="K26" s="4" t="inlineStr"/>
      <c r="L26" s="5" t="inlineStr">
        <is>
          <t>Not Run</t>
        </is>
      </c>
      <c r="M26" s="10" t="inlineStr">
        <is>
          <t>Medium</t>
        </is>
      </c>
      <c r="N26" s="4" t="inlineStr">
        <is>
          <t>Related Requirement: M02-F02, Scenario: SC-02, Auto Rating Suggestion</t>
        </is>
      </c>
    </row>
    <row r="27" ht="120" customHeight="1">
      <c r="A27" s="7" t="inlineStr">
        <is>
          <t>TC-M02-026</t>
        </is>
      </c>
      <c r="B27" s="7" t="inlineStr">
        <is>
          <t>Module 02</t>
        </is>
      </c>
      <c r="C27" s="8" t="inlineStr">
        <is>
          <t>M02-F02</t>
        </is>
      </c>
      <c r="D27" s="9" t="inlineStr">
        <is>
          <t>Auto Rating Suggestion</t>
        </is>
      </c>
      <c r="E27" s="9" t="inlineStr">
        <is>
          <t>Auto Rating Suggestion Debounced During Continuous Typing</t>
        </is>
      </c>
      <c r="F27" s="9" t="inlineStr">
        <is>
          <t>Verify that the 400ms auto-rating suggestion timer is reset (debounced) as long as typing continues.</t>
        </is>
      </c>
      <c r="G27" s="9" t="inlineStr">
        <is>
          <t>Staff user is logged in.</t>
        </is>
      </c>
      <c r="H27" s="9" t="inlineStr">
        <is>
          <t>Subject=IT; Notes='The student is trying very hard to solve the logic problems' typed with 200ms key pauses.</t>
        </is>
      </c>
      <c r="I27" s="9" t="inlineStr">
        <is>
          <t>1. Open observation entry for IT;
2. Type notes continuously, pausing only 200ms between words;
3. Observe the rating dropdown during typing;
4. Stop typing completely and wait 400ms</t>
        </is>
      </c>
      <c r="J27" s="9" t="inlineStr">
        <is>
          <t>No rating suggestion is selected or triggered while the user is actively typing. The suggestion only triggers 400ms after the user stops typing completely.</t>
        </is>
      </c>
      <c r="K27" s="9" t="inlineStr"/>
      <c r="L27" s="5" t="inlineStr">
        <is>
          <t>Not Run</t>
        </is>
      </c>
      <c r="M27" s="10" t="inlineStr">
        <is>
          <t>Medium</t>
        </is>
      </c>
      <c r="N27" s="9" t="inlineStr">
        <is>
          <t>Related Requirement: M02-F02, Scenario: SC-02, Auto Rating Suggestion</t>
        </is>
      </c>
    </row>
    <row r="28" ht="105" customHeight="1">
      <c r="A28" s="2" t="inlineStr">
        <is>
          <t>TC-M02-027</t>
        </is>
      </c>
      <c r="B28" s="2" t="inlineStr">
        <is>
          <t>Module 02</t>
        </is>
      </c>
      <c r="C28" s="3" t="inlineStr">
        <is>
          <t>M02-F04</t>
        </is>
      </c>
      <c r="D28" s="4" t="inlineStr">
        <is>
          <t>Batch Entry – By Subject</t>
        </is>
      </c>
      <c r="E28" s="4" t="inlineStr">
        <is>
          <t>Batch Entry By Subject Blocks Save for Students Exceeding Merge Limit</t>
        </is>
      </c>
      <c r="F28" s="4" t="inlineStr">
        <is>
          <t>Verify that Batch Entry by Subject rejects saving a student's observation if that student already has 3 or more completed subjects, while saving other students.</t>
        </is>
      </c>
      <c r="G28" s="4" t="inlineStr">
        <is>
          <t>Staff user is logged in. Student ST001 has 3 completed subjects (IT, PLT, English) for date 17/07/2026. ST002 has 1 completed subject.</t>
        </is>
      </c>
      <c r="H28" s="4" t="inlineStr">
        <is>
          <t>Batch=PNV26A; Subject=English; Date=2026-07-17; ST001 English=G; ST002 English=S</t>
        </is>
      </c>
      <c r="I28" s="4" t="inlineStr">
        <is>
          <t>1. Open Batch Entry - By Subject;
2. Select Batch PNV26A, Date: 17/07/2026, and Subject: English;
3. Enter ratings/notes for ST001 and ST002;
4. Click Save</t>
        </is>
      </c>
      <c r="J28" s="4" t="inlineStr">
        <is>
          <t>ST002 English observation is saved. ST001 save is rejected with a warning/error that a record for this date already exists/exceeds merge limit. The existing ST001 record is preserved.</t>
        </is>
      </c>
      <c r="K28" s="4" t="inlineStr"/>
      <c r="L28" s="5" t="inlineStr">
        <is>
          <t>Not Run</t>
        </is>
      </c>
      <c r="M28" s="6" t="inlineStr">
        <is>
          <t>High</t>
        </is>
      </c>
      <c r="N28" s="4" t="inlineStr">
        <is>
          <t>Related Requirement: M02-F04, Scenario: SC-04, Rule 2</t>
        </is>
      </c>
    </row>
    <row r="29" ht="90" customHeight="1">
      <c r="A29" s="7" t="inlineStr">
        <is>
          <t>TC-M02-028</t>
        </is>
      </c>
      <c r="B29" s="7" t="inlineStr">
        <is>
          <t>Module 02</t>
        </is>
      </c>
      <c r="C29" s="8" t="inlineStr">
        <is>
          <t>M02-SEC</t>
        </is>
      </c>
      <c r="D29" s="9" t="inlineStr">
        <is>
          <t>Access Control &amp; Security</t>
        </is>
      </c>
      <c r="E29" s="9" t="inlineStr">
        <is>
          <t>Block Student Access to Scan Management</t>
        </is>
      </c>
      <c r="F29" s="9" t="inlineStr">
        <is>
          <t>Verify that a user logged in with a Student email cannot access the Scan Management page or endpoints.</t>
        </is>
      </c>
      <c r="G29" s="9" t="inlineStr">
        <is>
          <t>User has student email account student01@student.passerellesnumeriques.org.</t>
        </is>
      </c>
      <c r="H29" s="9" t="inlineStr">
        <is>
          <t>Email=student01@student.passerellesnumeriques.org</t>
        </is>
      </c>
      <c r="I29" s="9" t="inlineStr">
        <is>
          <t>1. Log in to the application as student;
2. Attempt to navigate to the Scan Management page directly via URL;
3. Observe the system response</t>
        </is>
      </c>
      <c r="J29" s="9" t="inlineStr">
        <is>
          <t>The Scan Management option is not available in the menu. Direct URL access is blocked, displaying "Access Denied" or redirecting to the Student Portal home page.</t>
        </is>
      </c>
      <c r="K29" s="9" t="inlineStr"/>
      <c r="L29" s="5" t="inlineStr">
        <is>
          <t>Not Run</t>
        </is>
      </c>
      <c r="M29" s="6" t="inlineStr">
        <is>
          <t>High</t>
        </is>
      </c>
      <c r="N29" s="9" t="inlineStr">
        <is>
          <t>Related Requirement: General Rules, Scenario: SC-01, User Roles</t>
        </is>
      </c>
    </row>
    <row r="30" ht="105" customHeight="1">
      <c r="A30" s="2" t="inlineStr">
        <is>
          <t>TC-M02-029</t>
        </is>
      </c>
      <c r="B30" s="2" t="inlineStr">
        <is>
          <t>Module 02</t>
        </is>
      </c>
      <c r="C30" s="3" t="inlineStr">
        <is>
          <t>M02-F09</t>
        </is>
      </c>
      <c r="D30" s="4" t="inlineStr">
        <is>
          <t>Concurrent Edit Handling</t>
        </is>
      </c>
      <c r="E30" s="4" t="inlineStr">
        <is>
          <t>Concurrent Edit Saving Blocked When Session Closed</t>
        </is>
      </c>
      <c r="F30" s="4" t="inlineStr">
        <is>
          <t>Verify that if a staff member attempts to save a student observation while another staff member completes the session, the save is blocked.</t>
        </is>
      </c>
      <c r="G30" s="4" t="inlineStr">
        <is>
          <t>Staff Teacher A and Teacher B are logged in. Batch PNV26A session on 17/07/2026 is Incomplete. Student ST001 has an observation.</t>
        </is>
      </c>
      <c r="H30" s="4" t="inlineStr">
        <is>
          <t>Session on 17/07/2026</t>
        </is>
      </c>
      <c r="I30" s="4" t="inlineStr">
        <is>
          <t>1. Teacher A opens ST001 edit form;
2. Teacher B goes to progress dashboard and clicks Mark Session Complete (session status becomes Complete);
3. Teacher A edits ST001 PLT comment and clicks Save</t>
        </is>
      </c>
      <c r="J30" s="4" t="inlineStr">
        <is>
          <t>Teacher A's save is rejected by the server because the session has been closed. An error message "Form may be outdated." or "Session outdated." is displayed. Changes are not saved.</t>
        </is>
      </c>
      <c r="K30" s="4" t="inlineStr"/>
      <c r="L30" s="5" t="inlineStr">
        <is>
          <t>Not Run</t>
        </is>
      </c>
      <c r="M30" s="6" t="inlineStr">
        <is>
          <t>High</t>
        </is>
      </c>
      <c r="N30" s="4" t="inlineStr">
        <is>
          <t>Related Requirement: M02-F09, Scenario: SC-10, Session Completion &amp; Concurrency</t>
        </is>
      </c>
    </row>
    <row r="31" ht="105" customHeight="1">
      <c r="A31" s="7" t="inlineStr">
        <is>
          <t>TC-M02-030</t>
        </is>
      </c>
      <c r="B31" s="7" t="inlineStr">
        <is>
          <t>Module 02</t>
        </is>
      </c>
      <c r="C31" s="8" t="inlineStr">
        <is>
          <t>M02-F07</t>
        </is>
      </c>
      <c r="D31" s="9" t="inlineStr">
        <is>
          <t>Session Management</t>
        </is>
      </c>
      <c r="E31" s="9" t="inlineStr">
        <is>
          <t>Mark Session Complete with Empty Student List</t>
        </is>
      </c>
      <c r="F31" s="9" t="inlineStr">
        <is>
          <t>Verify that marking a session complete on a batch with no active students behaves gracefully and completes.</t>
        </is>
      </c>
      <c r="G31" s="9" t="inlineStr">
        <is>
          <t>Staff user is logged in. Batch PNV26B is active but has no active students.</t>
        </is>
      </c>
      <c r="H31" s="9" t="inlineStr">
        <is>
          <t>Batch=PNV26B; Date=2026-07-17</t>
        </is>
      </c>
      <c r="I31" s="9" t="inlineStr">
        <is>
          <t>1. Navigate to progress dashboard of PNV26B on 17/07/2026;
2. Verify student list is empty;
3. Click Mark Session Complete;
4. Observe the session status</t>
        </is>
      </c>
      <c r="J31" s="9" t="inlineStr">
        <is>
          <t>Session status transitions to Complete successfully. Auto-filled N/A count is 0. No errors or crashes occur.</t>
        </is>
      </c>
      <c r="K31" s="9" t="inlineStr"/>
      <c r="L31" s="5" t="inlineStr">
        <is>
          <t>Not Run</t>
        </is>
      </c>
      <c r="M31" s="10" t="inlineStr">
        <is>
          <t>Medium</t>
        </is>
      </c>
      <c r="N31" s="9" t="inlineStr">
        <is>
          <t>Related Requirement: M02-F07, Scenario: SC-08, Session Completion</t>
        </is>
      </c>
    </row>
    <row r="32" ht="120" customHeight="1">
      <c r="A32" s="2" t="inlineStr">
        <is>
          <t>TC-M02-031</t>
        </is>
      </c>
      <c r="B32" s="2" t="inlineStr">
        <is>
          <t>Module 02</t>
        </is>
      </c>
      <c r="C32" s="3" t="inlineStr">
        <is>
          <t>M02-F07</t>
        </is>
      </c>
      <c r="D32" s="4" t="inlineStr">
        <is>
          <t>Session Management</t>
        </is>
      </c>
      <c r="E32" s="4" t="inlineStr">
        <is>
          <t>Block Editing of Auto-filled N/A Observations</t>
        </is>
      </c>
      <c r="F32" s="4" t="inlineStr">
        <is>
          <t>Verify that once a session is completed, the auto-filled N/A observations are locked and cannot be edited.</t>
        </is>
      </c>
      <c r="G32" s="4" t="inlineStr">
        <is>
          <t>Staff user is logged in. Batch PNV26A session on 17/07/2026 has been completed. Student ST002 was auto-filled with N/A.</t>
        </is>
      </c>
      <c r="H32" s="4" t="inlineStr">
        <is>
          <t>Student=ST002; Date=2026-07-17</t>
        </is>
      </c>
      <c r="I32" s="4" t="inlineStr">
        <is>
          <t>1. Open observation list for PNV26A on 17/07/2026;
2. Select ST002 (showing N/A for all subjects);
3. Search for Edit button or click fields to modify rating/notes;
4. Attempt to save modifications</t>
        </is>
      </c>
      <c r="J32" s="4" t="inlineStr">
        <is>
          <t>Rating select boxes and comments are read-only. Edit controls are hidden or disabled. No changes can be saved.</t>
        </is>
      </c>
      <c r="K32" s="4" t="inlineStr"/>
      <c r="L32" s="5" t="inlineStr">
        <is>
          <t>Not Run</t>
        </is>
      </c>
      <c r="M32" s="6" t="inlineStr">
        <is>
          <t>High</t>
        </is>
      </c>
      <c r="N32" s="4" t="inlineStr">
        <is>
          <t>Related Requirement: M02-F07, Scenario: SC-08, Session Completion</t>
        </is>
      </c>
    </row>
  </sheetData>
  <autoFilter ref="A1:N32"/>
  <dataValidations count="2">
    <dataValidation sqref="L2:L132" showDropDown="0" showInputMessage="0" showErrorMessage="0" allowBlank="1" errorTitle="Invalid Status" error="Please select a valid state: Passed, Failed, or Not Run" type="list">
      <formula1>"Passed,Failed,Not Run"</formula1>
    </dataValidation>
    <dataValidation sqref="M2:M132" showDropDown="0" showInputMessage="0" showErrorMessage="0" allowBlank="1" errorTitle="Invalid Priority" error="Please select a valid priority: High, Medium, or Low" type="list">
      <formula1>"High,Medium,Low"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2026-07-23T01:56:12Z</dcterms:created>
  <dcterms:modified xsi:type="dcterms:W3CDTF">2026-07-23T01:56:13Z</dcterms:modified>
</cp:coreProperties>
</file>