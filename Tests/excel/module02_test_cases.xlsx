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-case-academic-portal\tests\excel\"/>
    </mc:Choice>
  </mc:AlternateContent>
  <bookViews>
    <workbookView xWindow="0" yWindow="0" windowWidth="23040" windowHeight="9072" activeTab="1"/>
  </bookViews>
  <sheets>
    <sheet name="Report" sheetId="1" r:id="rId1"/>
    <sheet name="Module02" sheetId="2" r:id="rId2"/>
  </sheets>
  <definedNames>
    <definedName name="_xlnm._FilterDatabase" localSheetId="1" hidden="1">Module02!$A$1:$O$26</definedName>
  </definedNames>
  <calcPr calcId="162913"/>
</workbook>
</file>

<file path=xl/calcChain.xml><?xml version="1.0" encoding="utf-8"?>
<calcChain xmlns="http://schemas.openxmlformats.org/spreadsheetml/2006/main">
  <c r="B20" i="1" l="1"/>
  <c r="E19" i="1"/>
  <c r="D19" i="1"/>
  <c r="C19" i="1"/>
  <c r="F19" i="1" s="1"/>
  <c r="E18" i="1"/>
  <c r="D18" i="1"/>
  <c r="C18" i="1"/>
  <c r="F18" i="1" s="1"/>
  <c r="E17" i="1"/>
  <c r="D17" i="1"/>
  <c r="C17" i="1"/>
  <c r="F17" i="1" s="1"/>
  <c r="E16" i="1"/>
  <c r="D16" i="1"/>
  <c r="C16" i="1"/>
  <c r="F16" i="1" s="1"/>
  <c r="E15" i="1"/>
  <c r="D15" i="1"/>
  <c r="C15" i="1"/>
  <c r="F15" i="1" s="1"/>
  <c r="E14" i="1"/>
  <c r="D14" i="1"/>
  <c r="C14" i="1"/>
  <c r="F14" i="1" s="1"/>
  <c r="E13" i="1"/>
  <c r="D13" i="1"/>
  <c r="C13" i="1"/>
  <c r="F13" i="1" s="1"/>
  <c r="E12" i="1"/>
  <c r="D12" i="1"/>
  <c r="C12" i="1"/>
  <c r="F12" i="1" s="1"/>
  <c r="E11" i="1"/>
  <c r="D11" i="1"/>
  <c r="C11" i="1"/>
  <c r="F11" i="1" s="1"/>
  <c r="E10" i="1"/>
  <c r="D10" i="1"/>
  <c r="C10" i="1"/>
  <c r="F10" i="1" s="1"/>
  <c r="E9" i="1"/>
  <c r="E20" i="1" s="1"/>
  <c r="D9" i="1"/>
  <c r="D20" i="1" s="1"/>
  <c r="C9" i="1"/>
  <c r="E5" i="1" s="1"/>
  <c r="A5" i="1"/>
  <c r="F9" i="1" l="1"/>
  <c r="F20" i="1" s="1"/>
  <c r="B5" i="1" s="1"/>
  <c r="C5" i="1"/>
  <c r="C20" i="1"/>
  <c r="D5" i="1"/>
</calcChain>
</file>

<file path=xl/sharedStrings.xml><?xml version="1.0" encoding="utf-8"?>
<sst xmlns="http://schemas.openxmlformats.org/spreadsheetml/2006/main" count="402" uniqueCount="248">
  <si>
    <t>Module 02 - Feature &amp; Priority Summary Report</t>
  </si>
  <si>
    <t>Summary of test cases per feature, calculated via Excel formulas</t>
  </si>
  <si>
    <t>Total Features</t>
  </si>
  <si>
    <t>Total Test Cases</t>
  </si>
  <si>
    <t>High Priority Features</t>
  </si>
  <si>
    <t>Medium Priority Features</t>
  </si>
  <si>
    <t>Low Priority Features</t>
  </si>
  <si>
    <t>Feature Categorization &amp; Priority Breakdown</t>
  </si>
  <si>
    <t>Feature ID</t>
  </si>
  <si>
    <t>Feature Name</t>
  </si>
  <si>
    <t>High Priority</t>
  </si>
  <si>
    <t>Medium Priority</t>
  </si>
  <si>
    <t>Low Priority</t>
  </si>
  <si>
    <t>Total TCs</t>
  </si>
  <si>
    <t>M02-F01</t>
  </si>
  <si>
    <t>Single Observation Entry</t>
  </si>
  <si>
    <t>M02-F02</t>
  </si>
  <si>
    <t>Auto Rating Suggestion</t>
  </si>
  <si>
    <t>M02-F03</t>
  </si>
  <si>
    <t>Batch Entry – All Subjects</t>
  </si>
  <si>
    <t>M02-F04</t>
  </si>
  <si>
    <t>Batch Entry – By Subject</t>
  </si>
  <si>
    <t>M02-F05</t>
  </si>
  <si>
    <t>Observation Editing</t>
  </si>
  <si>
    <t>M02-F06</t>
  </si>
  <si>
    <t>Duplicate Detection &amp; Merge</t>
  </si>
  <si>
    <t>M02-F07</t>
  </si>
  <si>
    <t>Session Management</t>
  </si>
  <si>
    <t>M02-F08</t>
  </si>
  <si>
    <t>Session Progress</t>
  </si>
  <si>
    <t>M02-F10</t>
  </si>
  <si>
    <t>Search, Filter &amp; Sorting</t>
  </si>
  <si>
    <t>M02-F11</t>
  </si>
  <si>
    <t>Dashboard Overview</t>
  </si>
  <si>
    <t>M02-SEC</t>
  </si>
  <si>
    <t>Access Control &amp; Security</t>
  </si>
  <si>
    <t>Total</t>
  </si>
  <si>
    <t>ID</t>
  </si>
  <si>
    <t>Module</t>
  </si>
  <si>
    <t>Title</t>
  </si>
  <si>
    <t>Objective</t>
  </si>
  <si>
    <t>Preconditions</t>
  </si>
  <si>
    <t>TestData</t>
  </si>
  <si>
    <t>Steps</t>
  </si>
  <si>
    <t>ExpectedResult</t>
  </si>
  <si>
    <t>Actual Result</t>
  </si>
  <si>
    <t>Status</t>
  </si>
  <si>
    <t>Evidence</t>
  </si>
  <si>
    <t>Priority</t>
  </si>
  <si>
    <t>Notes</t>
  </si>
  <si>
    <t>TC-M02-001</t>
  </si>
  <si>
    <t>Module 02</t>
  </si>
  <si>
    <t>Record Single Student Observation with Valid Ratings</t>
  </si>
  <si>
    <t>Verify that staff can record observations for a single student across all four subjects with valid ratings (G, S, NI).</t>
  </si>
  <si>
    <t>Staff user is logged in. Batch PNV26A and student ST001 exist.</t>
  </si>
  <si>
    <t>Student=ST001; Date=2026-07-17; IT_Rating=G; IT_Notes=Excellent coding skills; PLT_Rating=S; PLT_Notes=Active participation; English_Rating=NI; English_Notes=Needs vocabulary practice; DA_Rating=S; DA_Notes=Good design sense</t>
  </si>
  <si>
    <t>1. Open Scan Management;
2. Select Batch PNV26A and Student ST001;
3. Select Observation Date: 17/07/2026;
4. For IT, select rating G and enter notes 'Excellent coding skills';
5. For PLT, select rating S and enter notes 'Active participation';
6. For English, select rating NI and enter notes 'Needs vocabulary practice';
7. For DA, select rating S and enter notes 'Good design sense';
8. Click Save</t>
  </si>
  <si>
    <t>Observation is saved successfully. A success message appears. The student's record is displayed in the list with correct ratings and notes.</t>
  </si>
  <si>
    <t>Passed</t>
  </si>
  <si>
    <t>High</t>
  </si>
  <si>
    <t>Related Requirement: M02-F01, Scenario: SC-01</t>
  </si>
  <si>
    <t>TC-M02-002</t>
  </si>
  <si>
    <t>Record Single Student Observation with Empty Ratings</t>
  </si>
  <si>
    <t>Verify that staff can record observations with ratings set to '-' (Not Yet Assessed) and notes empty.</t>
  </si>
  <si>
    <t>Student=ST001; Date=2026-07-17; Ratings='-'; Notes=''</t>
  </si>
  <si>
    <t>1. Open Scan Management;
2. Select Batch PNV26A and Student ST001;
3. Select Observation Date: 17/07/2026;
4. Leave all subject ratings as '-' and notes empty;
5. Click Save</t>
  </si>
  <si>
    <t>Observation is saved successfully. The ratings are stored as empty/unassessed in the database. No validation error occurs.</t>
  </si>
  <si>
    <t>TC-M02-003</t>
  </si>
  <si>
    <t>Auto Rating Suggestion Triggered After Typing Notes</t>
  </si>
  <si>
    <t>Verify that the system suggests a performance rating (G, S, or NI) approximately 400ms after user stops typing notes.</t>
  </si>
  <si>
    <t>Staff user is logged in.</t>
  </si>
  <si>
    <t>Subject=IT; Notes='The student solved all problems quickly and helped other classmates.'</t>
  </si>
  <si>
    <t>1. Open observation entry for IT;
2. Start typing the notes: 'The student solved all problems quickly and helped other classmates.';
3. Stop typing and wait for 400 milliseconds;
4. Observe the rating selector</t>
  </si>
  <si>
    <t>An auto-rating suggestion (G/excellent) is automatically selected or suggested adjacent to the rating field after 400ms of inactivity.</t>
  </si>
  <si>
    <t>Related Requirement: M02-F02, Scenario: SC-02</t>
  </si>
  <si>
    <t>TC-M02-004</t>
  </si>
  <si>
    <t>Overwrite Auto Rating Suggestion</t>
  </si>
  <si>
    <t>Verify that staff members can manually overwrite an auto-suggested rating.</t>
  </si>
  <si>
    <t>Staff user is logged in. System has suggested rating 'G' after notes were typed.</t>
  </si>
  <si>
    <t>Subject=IT; Notes='Good work but missed classes'; SuggestedRating=G; OverwrittenRating=S</t>
  </si>
  <si>
    <t>1. Type notes that trigger a 'G' suggestion;
2. Wait for the suggestion to appear;
3. Click the rating dropdown and manually change the rating to 'S';
4. Click Save</t>
  </si>
  <si>
    <t>The manually selected rating 'S' replaces the suggestion 'G'. The record is saved successfully with rating 'S'.</t>
  </si>
  <si>
    <t>TC-M02-005</t>
  </si>
  <si>
    <t>Batch Entry for All Subjects simultaneously</t>
  </si>
  <si>
    <t>Verify that staff can record observations for multiple students across all subjects simultaneously using spreadsheet-style entry.</t>
  </si>
  <si>
    <t>Staff user is logged in. Batch PNV26A contains multiple active students (ST001, ST002).</t>
  </si>
  <si>
    <t>Grid of ratings and notes for ST001 and ST002.</t>
  </si>
  <si>
    <t>1. Open Scan Management and choose Batch Entry - All Subjects;
2. Select Batch PNV26A and Date: 17/07/2026;
3. On the grid, enter ratings and notes for ST001 (IT=G, PLT=S, English=S, DA=S) and ST002 (IT=S, PLT=NI, English=S, DA=S);
4. Click Save All</t>
  </si>
  <si>
    <t>System saves all observation data simultaneously. Success notification appears (e.g.: "Saved 2 students"). Data is displayed accurately in the list.</t>
  </si>
  <si>
    <t>Related Requirement: M02-F03, Scenario: SC-03</t>
  </si>
  <si>
    <t>TC-M02-006</t>
  </si>
  <si>
    <t>Batch Entry by Subject</t>
  </si>
  <si>
    <t>Verify that teachers can enter observations for a single subject for multiple students in batch mode.</t>
  </si>
  <si>
    <t>Subject=English; Ratings and notes for ST001, ST002, ST003.</t>
  </si>
  <si>
    <t>1. Open Scan Management and choose Batch Entry - By Subject;
2. Select Batch PNV26A, Date: 17/07/2026, and Subject: English;
3. Fill ratings and notes for English for ST001, ST002, and ST003;
4. Click Save</t>
  </si>
  <si>
    <t>English observations are saved successfully for all selected students. Other subjects (IT, PLT, DA) for these students remain unaffected.</t>
  </si>
  <si>
    <t>Related Requirement: M02-F04, Scenario: SC-04</t>
  </si>
  <si>
    <t>TC-M02-007</t>
  </si>
  <si>
    <t>Edit Existing Observation Ratings and Notes</t>
  </si>
  <si>
    <t>Verify that staff can edit the ratings and notes of an existing observation record (before the session is complete).</t>
  </si>
  <si>
    <t>Staff user is logged in. Student ST001 has an observation on 17/07/2026.</t>
  </si>
  <si>
    <t>Student=ST001; Date=2026-07-17; NewITRating=S; NewITNotes=Needs some improvements.</t>
  </si>
  <si>
    <t>1. Open Scan Management;
2. Search for ST001 and click Edit on observation for 17/07/2026;
3. Change IT rating to 'S' and notes to 'Needs some improvements.';
4. Click Save</t>
  </si>
  <si>
    <t>Observation is updated successfully. A success notification is displayed. The new rating 'S' and notes display correctly.</t>
  </si>
  <si>
    <t>Related Requirement: M02-F05, Scenario: SC-05</t>
  </si>
  <si>
    <t>TC-M02-008</t>
  </si>
  <si>
    <t>Observation Date Locked and Cannot Be Changed</t>
  </si>
  <si>
    <t>Verify that the observation date of an existing record is locked and cannot be edited.</t>
  </si>
  <si>
    <t>Student=ST001; Date=2026-07-17</t>
  </si>
  <si>
    <t>1. Open Scan Management;
2. Select ST001 observation on 17/07/2026 and click Edit;
3. Check the Observation Date field;
4. Attempt to modify the date</t>
  </si>
  <si>
    <t>The Observation Date field is disabled (read-only) and cannot be interacted with or modified.</t>
  </si>
  <si>
    <t>The evaluation date is subject to change at will without notice.</t>
  </si>
  <si>
    <t>Failed</t>
  </si>
  <si>
    <t>Related Requirement: M02-F05, Scenario: SC-05, Business Rules</t>
  </si>
  <si>
    <t>TC-M02-009</t>
  </si>
  <si>
    <t>Duplicate Observation Merged - Less Than 3 Subjects Completed</t>
  </si>
  <si>
    <t>Verify that a duplicate student/date observation is merged into the existing record if less than 3 subjects are completed in the existing record.</t>
  </si>
  <si>
    <t>Staff user is logged in. Student ST001 has an observation on 17/07/2026 with only IT and PLT completed.</t>
  </si>
  <si>
    <t>Student=ST001; Date=2026-07-17; English_Rating=S; English_Notes=Good English vocabulary; DA_Rating=S</t>
  </si>
  <si>
    <t>1. Submit a new observation for ST001 on 17/07/2026 with English rating 'S', notes 'Good English vocabulary', and DA rating 'S';
2. Click Save</t>
  </si>
  <si>
    <t>Save is accepted. English and DA ratings are merged into the existing ST001 row. Message displays: "Added to existing session.".</t>
  </si>
  <si>
    <t>The system does not merge duplicate reviews.</t>
  </si>
  <si>
    <t>Related Requirement: M02-F06, Scenario: SC-06, Rule 1</t>
  </si>
  <si>
    <t>TC-M02-010</t>
  </si>
  <si>
    <t>Duplicate Observation Rejected - 3 or More Subjects Completed</t>
  </si>
  <si>
    <t>Verify that a duplicate student/date observation is rejected if 3 or more subjects are already completed in the existing record.</t>
  </si>
  <si>
    <t>Staff user is logged in. Student ST001 has an observation on 17/07/2026 with IT, PLT, and English completed.</t>
  </si>
  <si>
    <t>Student=ST001; Date=2026-07-17; DA_Rating=G; DA_Notes=Excellent design work</t>
  </si>
  <si>
    <t>1. Attempt to save a new observation for ST001 on 17/07/2026 containing DA rating 'G';
2. Click Save</t>
  </si>
  <si>
    <t>Save is rejected. Error message displays: "A feedback record for this date already exists.". New record is not saved.</t>
  </si>
  <si>
    <t>New ratings are saved and no error messages are displayed even if the student has previously given a rating.</t>
  </si>
  <si>
    <t>Related Requirement: M02-F06, Scenario: SC-07, Rule 2</t>
  </si>
  <si>
    <t>TC-M02-011</t>
  </si>
  <si>
    <t>Mark Session Complete - Auto-fill N/A for Unassessed Students</t>
  </si>
  <si>
    <t>Verify that marking a session complete automatically fills ratings for unassessed students with N/A and closes the session.</t>
  </si>
  <si>
    <t>Staff user is logged in. Batch PNV26A session on 17/07/2026 is complete for ST001 but ST002 has no observations.</t>
  </si>
  <si>
    <t>Batch=PNV26A; Date=2026-07-17</t>
  </si>
  <si>
    <t>1. Open progress dashboard for PNV26A on 17/07/2026;
2. Click Mark Session Complete;
3. Check session status and ST002 record</t>
  </si>
  <si>
    <t>Session status becomes 'Complete'. Student ST002 is automatically filled with 'N/A' for all subjects. No unassessed students remain.</t>
  </si>
  <si>
    <t>Related Requirement: M02-F07, Scenario: SC-08</t>
  </si>
  <si>
    <t>TC-M02-012</t>
  </si>
  <si>
    <t>Block Edits on Completed Session</t>
  </si>
  <si>
    <t>Verify that staff cannot edit or create observations once a session is marked Complete.</t>
  </si>
  <si>
    <t>Staff user is logged in. Batch PNV26A session on 17/07/2026 is marked Complete.</t>
  </si>
  <si>
    <t>1. Open completed session for PNV26A on 17/07/2026;
2. Try clicking Edit or Add Observation for this date;
3. Observe UI and server response if save is sent</t>
  </si>
  <si>
    <t>Edit/Add buttons are hidden or disabled. Server rejects any manual save attempts with error "Form may be outdated." or "Session outdated.".</t>
  </si>
  <si>
    <t>The edit button is disabled, making it impossible to edit student evaluation information.</t>
  </si>
  <si>
    <t>Related Requirement: M02-F07, Scenario: SC-08, Business Rules</t>
  </si>
  <si>
    <t>TC-M02-013</t>
  </si>
  <si>
    <t>Verify Session Progress Dashboard Indicators</t>
  </si>
  <si>
    <t>Verify that the progress dashboard shows accurate completion rate and lists unassessed students.</t>
  </si>
  <si>
    <t>Staff user is logged in. Batch PNV26A has 10 students; 4 have observations, 6 do not.</t>
  </si>
  <si>
    <t>1. Open Scan Management;
2. Navigate to progress details for PNV26A on 17/07/2026;
3. Check percentage and unassessed student list</t>
  </si>
  <si>
    <t>Dashboard displays '40% Complete' (or '4/10 students assessed'). Status is 'Incomplete'. Names of the 6 unassessed students are listed.</t>
  </si>
  <si>
    <t>All students are displayed, including those who have completed the assessment.</t>
  </si>
  <si>
    <t>Medium</t>
  </si>
  <si>
    <t>Related Requirement: M02-F08, Scenario: SC-09</t>
  </si>
  <si>
    <t>TC-M02-014</t>
  </si>
  <si>
    <t>Search Student by Full or Partial Name</t>
  </si>
  <si>
    <t>Verify that searching student list by full or partial name correctly filters the observation records.</t>
  </si>
  <si>
    <t>Staff user is logged in. Student list contains 'Nguyen Van A' and 'Tran Thi B'.</t>
  </si>
  <si>
    <t>SearchQuery1=Nguyen Van A; SearchQuery2=Thi</t>
  </si>
  <si>
    <t>1. Open Scan Management;
2. Enter 'Nguyen Van A' in the Search box and observe the student list;
3. Clear the search and enter 'Thi' in the search box; 4. Observe the student list</t>
  </si>
  <si>
    <t>Searching 'Nguyen Van A' displays only Nguyen Van A. Searching 'Thi' displays only Tran Thi B (matching partial name 'Thi'). List updates in real-time.</t>
  </si>
  <si>
    <t>Related Requirement: M02-F10, Scenario: SC-11</t>
  </si>
  <si>
    <t>TC-M02-015</t>
  </si>
  <si>
    <t>Sort Students Alphabetically and by Completion Progress</t>
  </si>
  <si>
    <t>Verify that the student list can be sorted alphabetically or by observation completion progress.</t>
  </si>
  <si>
    <t>Staff user is logged in. Batch PNV26A exists.</t>
  </si>
  <si>
    <t>SortOptions=Alphabetical, CompletionProgress</t>
  </si>
  <si>
    <t>1. Open Scan Management;
2. Click the Sort dropdown and select Alphabetical (A-Z);
3. Verify list sorting;
4. Click Sort dropdown and select Completion Progress (Lowest to Highest);
5. Verify list sorting</t>
  </si>
  <si>
    <t>The student list rearranges correctly. Alphabetical sorting orders students by name A-Z. Completion sorting displays students with fewer completed subjects first.</t>
  </si>
  <si>
    <t>The student list has been correctly sorted. Sorting alphabetically will display students by name from A-Z. Sorting by rating level is also available.</t>
  </si>
  <si>
    <t>TC-M02-016</t>
  </si>
  <si>
    <t>Verify Dashboard Stats and Observation Completion Rate</t>
  </si>
  <si>
    <t>Verify that the dashboard displays correct metrics for active sessions, completed sessions, and completion rate.</t>
  </si>
  <si>
    <t>Staff user is logged in. System has 3 active sessions (2 complete, 1 incomplete). Total 30 observation records possible, 24 completed.</t>
  </si>
  <si>
    <t>None</t>
  </si>
  <si>
    <t>1. Navigate to the Dashboard Overview page;
2. Observe the observation-related statistics cards</t>
  </si>
  <si>
    <t>The dashboard displays: Active Observation Sessions = 3, Completed Sessions = 2, Incomplete Sessions = 1, Observation Completion Rate = 80% (24/30). Metrics are calculated accurately.</t>
  </si>
  <si>
    <t>Related Requirement: M02-F11, Scenario: SC-12</t>
  </si>
  <si>
    <t>TC-M02-017</t>
  </si>
  <si>
    <t>Verify Dashboard Auto-refresh after Observation Data Updates</t>
  </si>
  <si>
    <t>Verify that observation dashboard statistics update immediately when observations are completed or edited.</t>
  </si>
  <si>
    <t>Staff user is logged in. Dashboard currently displays Completion Rate = 80%.</t>
  </si>
  <si>
    <t>New observation saved for ST005.</t>
  </si>
  <si>
    <t>1. Open Scan Management and record a new observation for ST005 (completing all remaining subjects for that day);
2. Go to Dashboard immediately;
3. Observe the Completion Rate statistic</t>
  </si>
  <si>
    <t>The Completion Rate percentage card on the dashboard updates immediately to a higher percentage (e.g. 83%) without requiring a browser refresh.</t>
  </si>
  <si>
    <t>TC-M02-018</t>
  </si>
  <si>
    <t>Record Observation Blocked with Empty Date</t>
  </si>
  <si>
    <t>Verify that the system blocks saving an observation if the date field is empty.</t>
  </si>
  <si>
    <t>Student=ST001; Date=Empty; IT_Rating=S; IT_Notes=Good progress</t>
  </si>
  <si>
    <t>1. Open Scan Management;
2. Select Student ST001;
3. Leave Observation Date empty;
4. Enter IT rating 'S' and notes 'Good progress';
5. Click Save</t>
  </si>
  <si>
    <t>Saving is blocked. A validation error message requires Observation Date to be selected. No record is saved.</t>
  </si>
  <si>
    <t>Related Requirement: M02-F01, Scenario: SC-01, Validation Rules</t>
  </si>
  <si>
    <t>TC-M02-019</t>
  </si>
  <si>
    <t>Batch Entry All Subjects Skips Empty Student Rows</t>
  </si>
  <si>
    <t>Verify that batch entry for all subjects skips students with completely empty inputs and reports skipped counts.</t>
  </si>
  <si>
    <t>Staff user is logged in. Batch PNV26A contains active students ST001 to ST005.</t>
  </si>
  <si>
    <t>Batch=PNV26A; Date=2026-07-17; Inputs for ST001, ST002, ST003; ST004 and ST005 are left blank.</t>
  </si>
  <si>
    <t>1. Open Scan Management and choose Batch Entry - All Subjects;
2. Select Batch PNV26A and Date 17/07/2026;
3. Enter ratings and notes for ST001, ST002, and ST003;
4. Leave rows for ST004 and ST005 completely empty;
5. Click Save All</t>
  </si>
  <si>
    <t>Records are saved successfully for ST001, ST002, and ST003. A message displays: "Saved 3 students, Skipped 2 students". No empty records are created for ST004 and ST005.</t>
  </si>
  <si>
    <t>Related Requirement: M02-F03, Scenario: SC-03, Batch Entry</t>
  </si>
  <si>
    <t>TC-M02-020</t>
  </si>
  <si>
    <t>Auto Rating Cleared When Notes Are Erased</t>
  </si>
  <si>
    <t>Verify that if a user types notes to trigger a rating, then erases the notes, the suggested rating is reset.</t>
  </si>
  <si>
    <t>Subject=PLT; Initial Notes='Excellent student'; Erased Notes=''</t>
  </si>
  <si>
    <t>1. Open observation entry for PLT;
2. Type notes: 'Excellent student';
3. Wait 400ms for suggestion 'G' to appear;
4. Clear the notes text area completely;
5. Observe rating dropdown</t>
  </si>
  <si>
    <t>The suggested rating 'G' is cleared, and the rating dropdown resets to the default '-' (Not Yet Assessed).</t>
  </si>
  <si>
    <t>Related Requirement: M02-F02, Scenario: SC-02, Auto Rating Suggestion</t>
  </si>
  <si>
    <t>TC-M02-021</t>
  </si>
  <si>
    <t>Auto Rating Suggestion Debounced During Continuous Typing</t>
  </si>
  <si>
    <t>Verify that the 400ms auto-rating suggestion timer is reset (debounced) as long as typing continues.</t>
  </si>
  <si>
    <t>Subject=IT; Notes='The student is trying very hard to solve the logic problems' typed with 200ms key pauses.</t>
  </si>
  <si>
    <t>1. Open observation entry for IT;
2. Type notes continuously, pausing only 200ms between words;
3. Observe the rating dropdown during typing;
4. Stop typing completely and wait 400ms</t>
  </si>
  <si>
    <t>No rating suggestion is selected or triggered while the user is actively typing. The suggestion only triggers 400ms after the user stops typing completely.</t>
  </si>
  <si>
    <t>TC-M02-022</t>
  </si>
  <si>
    <t>Batch Entry By Subject Blocks Save for Students Exceeding Merge Limit</t>
  </si>
  <si>
    <t>Verify that Batch Entry by Subject rejects saving a student's observation if that student already has 3 or more completed subjects, while saving other students.</t>
  </si>
  <si>
    <t>Staff user is logged in. Student ST001 has 3 completed subjects (IT, PLT, English) for date 17/07/2026. ST002 has 1 completed subject.</t>
  </si>
  <si>
    <t>Batch=PNV26A; Subject=English; Date=2026-07-17; ST001 English=G; ST002 English=S</t>
  </si>
  <si>
    <t>1. Open Batch Entry - By Subject;
2. Select Batch PNV26A, Date: 17/07/2026, and Subject: English;
3. Enter ratings/notes for ST001 and ST002;
4. Click Save</t>
  </si>
  <si>
    <t>ST002 English observation is saved. ST001 save is rejected with a warning/error that a record for this date already exists/exceeds merge limit. The existing ST001 record is preserved.</t>
  </si>
  <si>
    <t>The system allows updating and saving comments for students who have completed all comments for all subjects.</t>
  </si>
  <si>
    <t>Related Requirement: M02-F04, Scenario: SC-04, Rule 2</t>
  </si>
  <si>
    <t>TC-M02-023</t>
  </si>
  <si>
    <t>Block Student Access to Scan Management</t>
  </si>
  <si>
    <t>Verify that a user logged in with a Student email cannot access the Scan Management page or endpoints.</t>
  </si>
  <si>
    <t>User has student email account student01@student.passerellesnumeriques.org.</t>
  </si>
  <si>
    <t>Email=student01@student.passerellesnumeriques.org</t>
  </si>
  <si>
    <t>1. Log in to the application as student;
2. Attempt to navigate to the Scan Management page directly via URL;
3. Observe the system response</t>
  </si>
  <si>
    <t>The Scan Management option is not available in the menu. Direct URL access is blocked, displaying "Access Denied" or redirecting to the Student Portal home page.</t>
  </si>
  <si>
    <t>Related Requirement: General Rules, Scenario: SC-01, User Roles</t>
  </si>
  <si>
    <t>TC-M02-024</t>
  </si>
  <si>
    <t>Mark Session Complete with Empty Student List</t>
  </si>
  <si>
    <t>Verify that marking a session complete on a batch with no active students behaves gracefully and completes.</t>
  </si>
  <si>
    <t>Staff user is logged in. Batch PNV26B is active but has no active students.</t>
  </si>
  <si>
    <t>Batch=PNV26B; Date=2026-07-17</t>
  </si>
  <si>
    <t>1. Navigate to progress dashboard of PNV26B on 17/07/2026;
2. Verify student list is empty;
3. Click Mark Session Complete;
4. Observe the session status</t>
  </si>
  <si>
    <t>Session status transitions to Complete successfully. Auto-filled N/A count is 0. No errors or crashes occur.</t>
  </si>
  <si>
    <t>Related Requirement: M02-F07, Scenario: SC-08, Session Completion</t>
  </si>
  <si>
    <t>TC-M02-025</t>
  </si>
  <si>
    <t>Block Editing of Auto-filled N/A Observations</t>
  </si>
  <si>
    <t>Verify that once a session is completed, the auto-filled N/A observations are locked and cannot be edited.</t>
  </si>
  <si>
    <t>Staff user is logged in. Batch PNV26A session on 17/07/2026 has been completed. Student ST002 was auto-filled with N/A.</t>
  </si>
  <si>
    <t>Student=ST002; Date=2026-07-17</t>
  </si>
  <si>
    <t>1. Open observation list for PNV26A on 17/07/2026;
2. Select ST002 (showing N/A for all subjects);
3. Search for Edit button or click fields to modify rating/notes;
4. Attempt to save modifications</t>
  </si>
  <si>
    <t>Rating select boxes and comments are read-only. Edit controls are hidden or disabled. No changes can be saved.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</si>
</sst>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1F4E78"/>
      <name val="Segoe UI"/>
    </font>
    <font>
      <b/>
      <sz val="10"/>
      <color rgb="FF137333"/>
      <name val="Segoe UI"/>
    </font>
    <font>
      <b/>
      <sz val="10"/>
      <color rgb="FFA50E0E"/>
      <name val="Segoe UI"/>
    </font>
    <font>
      <b/>
      <sz val="10"/>
      <color rgb="FFB06000"/>
      <name val="Segoe UI"/>
    </font>
    <font>
      <b/>
      <sz val="16"/>
      <color rgb="FF1F4E78"/>
      <name val="Segoe UI"/>
    </font>
    <font>
      <i/>
      <sz val="10"/>
      <color rgb="FF555555"/>
      <name val="Segoe UI"/>
    </font>
    <font>
      <b/>
      <sz val="10"/>
      <color rgb="FF000000"/>
      <name val="Segoe UI"/>
    </font>
    <font>
      <b/>
      <sz val="9"/>
      <color rgb="FF64748B"/>
      <name val="Segoe UI"/>
    </font>
    <font>
      <b/>
      <sz val="18"/>
      <color rgb="FF1E293B"/>
      <name val="Segoe UI"/>
    </font>
    <font>
      <b/>
      <sz val="18"/>
      <color rgb="FF1F4E78"/>
      <name val="Segoe UI"/>
    </font>
    <font>
      <b/>
      <sz val="18"/>
      <color rgb="FFA50E0E"/>
      <name val="Segoe UI"/>
    </font>
    <font>
      <b/>
      <sz val="18"/>
      <color rgb="FFB06000"/>
      <name val="Segoe UI"/>
    </font>
    <font>
      <b/>
      <sz val="18"/>
      <color rgb="FF137333"/>
      <name val="Segoe UI"/>
    </font>
    <font>
      <b/>
      <sz val="12"/>
      <color rgb="FF1F4E78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8FAFC"/>
        <bgColor rgb="FFF8FAFC"/>
      </patternFill>
    </fill>
    <fill>
      <patternFill patternType="solid">
        <fgColor rgb="FFFEF7E0"/>
        <bgColor rgb="FFFEF7E0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Test Cases by Feature (Grouped by Priority)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Report!$C$8</c:f>
              <c:strCache>
                <c:ptCount val="1"/>
                <c:pt idx="0">
                  <c:v>High Priority</c:v>
                </c:pt>
              </c:strCache>
            </c:strRef>
          </c:tx>
          <c:spPr>
            <a:solidFill>
              <a:srgbClr val="FF0000"/>
            </a:solidFill>
            <a:ln>
              <a:prstDash val="solid"/>
            </a:ln>
          </c:spPr>
          <c:invertIfNegative val="1"/>
          <c:cat>
            <c:strRef>
              <c:f>Report!$A$9:$A$19</c:f>
              <c:strCache>
                <c:ptCount val="11"/>
                <c:pt idx="0">
                  <c:v>M02-F01</c:v>
                </c:pt>
                <c:pt idx="1">
                  <c:v>M02-F02</c:v>
                </c:pt>
                <c:pt idx="2">
                  <c:v>M02-F03</c:v>
                </c:pt>
                <c:pt idx="3">
                  <c:v>M02-F04</c:v>
                </c:pt>
                <c:pt idx="4">
                  <c:v>M02-F05</c:v>
                </c:pt>
                <c:pt idx="5">
                  <c:v>M02-F06</c:v>
                </c:pt>
                <c:pt idx="6">
                  <c:v>M02-F07</c:v>
                </c:pt>
                <c:pt idx="7">
                  <c:v>M02-F08</c:v>
                </c:pt>
                <c:pt idx="8">
                  <c:v>M02-F10</c:v>
                </c:pt>
                <c:pt idx="9">
                  <c:v>M02-F11</c:v>
                </c:pt>
                <c:pt idx="10">
                  <c:v>M02-SEC</c:v>
                </c:pt>
              </c:strCache>
            </c:strRef>
          </c:cat>
          <c:val>
            <c:numRef>
              <c:f>Report!$C$9:$C$19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DB-4163-90B5-B1F62FA48519}"/>
            </c:ext>
          </c:extLst>
        </c:ser>
        <c:ser>
          <c:idx val="1"/>
          <c:order val="1"/>
          <c:tx>
            <c:strRef>
              <c:f>Report!$D$8</c:f>
              <c:strCache>
                <c:ptCount val="1"/>
                <c:pt idx="0">
                  <c:v>Medium Priority</c:v>
                </c:pt>
              </c:strCache>
            </c:strRef>
          </c:tx>
          <c:spPr>
            <a:solidFill>
              <a:srgbClr val="FFFF00"/>
            </a:solidFill>
            <a:ln>
              <a:prstDash val="solid"/>
            </a:ln>
          </c:spPr>
          <c:invertIfNegative val="1"/>
          <c:cat>
            <c:strRef>
              <c:f>Report!$A$9:$A$19</c:f>
              <c:strCache>
                <c:ptCount val="11"/>
                <c:pt idx="0">
                  <c:v>M02-F01</c:v>
                </c:pt>
                <c:pt idx="1">
                  <c:v>M02-F02</c:v>
                </c:pt>
                <c:pt idx="2">
                  <c:v>M02-F03</c:v>
                </c:pt>
                <c:pt idx="3">
                  <c:v>M02-F04</c:v>
                </c:pt>
                <c:pt idx="4">
                  <c:v>M02-F05</c:v>
                </c:pt>
                <c:pt idx="5">
                  <c:v>M02-F06</c:v>
                </c:pt>
                <c:pt idx="6">
                  <c:v>M02-F07</c:v>
                </c:pt>
                <c:pt idx="7">
                  <c:v>M02-F08</c:v>
                </c:pt>
                <c:pt idx="8">
                  <c:v>M02-F10</c:v>
                </c:pt>
                <c:pt idx="9">
                  <c:v>M02-F11</c:v>
                </c:pt>
                <c:pt idx="10">
                  <c:v>M02-SEC</c:v>
                </c:pt>
              </c:strCache>
            </c:strRef>
          </c:cat>
          <c:val>
            <c:numRef>
              <c:f>Report!$D$9:$D$19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ADB-4163-90B5-B1F62FA48519}"/>
            </c:ext>
          </c:extLst>
        </c:ser>
        <c:ser>
          <c:idx val="2"/>
          <c:order val="2"/>
          <c:tx>
            <c:strRef>
              <c:f>Report!$E$8</c:f>
              <c:strCache>
                <c:ptCount val="1"/>
                <c:pt idx="0">
                  <c:v>Low Priority</c:v>
                </c:pt>
              </c:strCache>
            </c:strRef>
          </c:tx>
          <c:spPr>
            <a:solidFill>
              <a:srgbClr val="00FF00"/>
            </a:solidFill>
            <a:ln>
              <a:prstDash val="solid"/>
            </a:ln>
          </c:spPr>
          <c:invertIfNegative val="1"/>
          <c:cat>
            <c:strRef>
              <c:f>Report!$A$9:$A$19</c:f>
              <c:strCache>
                <c:ptCount val="11"/>
                <c:pt idx="0">
                  <c:v>M02-F01</c:v>
                </c:pt>
                <c:pt idx="1">
                  <c:v>M02-F02</c:v>
                </c:pt>
                <c:pt idx="2">
                  <c:v>M02-F03</c:v>
                </c:pt>
                <c:pt idx="3">
                  <c:v>M02-F04</c:v>
                </c:pt>
                <c:pt idx="4">
                  <c:v>M02-F05</c:v>
                </c:pt>
                <c:pt idx="5">
                  <c:v>M02-F06</c:v>
                </c:pt>
                <c:pt idx="6">
                  <c:v>M02-F07</c:v>
                </c:pt>
                <c:pt idx="7">
                  <c:v>M02-F08</c:v>
                </c:pt>
                <c:pt idx="8">
                  <c:v>M02-F10</c:v>
                </c:pt>
                <c:pt idx="9">
                  <c:v>M02-F11</c:v>
                </c:pt>
                <c:pt idx="10">
                  <c:v>M02-SEC</c:v>
                </c:pt>
              </c:strCache>
            </c:strRef>
          </c:cat>
          <c:val>
            <c:numRef>
              <c:f>Report!$E$9:$E$19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ADB-4163-90B5-B1F62FA48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Feature ID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Cases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92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4.4" x14ac:dyDescent="0.3"/>
  <cols>
    <col min="1" max="1" width="16" customWidth="1"/>
    <col min="2" max="2" width="32" customWidth="1"/>
    <col min="3" max="6" width="16" customWidth="1"/>
  </cols>
  <sheetData>
    <row r="1" spans="1:6" ht="24.6" x14ac:dyDescent="0.55000000000000004">
      <c r="A1" s="11" t="s">
        <v>0</v>
      </c>
    </row>
    <row r="2" spans="1:6" ht="15" x14ac:dyDescent="0.35">
      <c r="A2" s="12" t="s">
        <v>1</v>
      </c>
    </row>
    <row r="4" spans="1:6" ht="18" customHeight="1" x14ac:dyDescent="0.3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</row>
    <row r="5" spans="1:6" ht="31.95" customHeight="1" x14ac:dyDescent="0.3">
      <c r="A5" s="14">
        <f>COUNTA(A9:A19)</f>
        <v>11</v>
      </c>
      <c r="B5" s="15">
        <f>F20</f>
        <v>25</v>
      </c>
      <c r="C5" s="16">
        <f>COUNTIF(C9:C19, "&gt;0")</f>
        <v>8</v>
      </c>
      <c r="D5" s="17">
        <f>COUNTIFS(C9:C19, 0, D9:D19, "&gt;0")</f>
        <v>3</v>
      </c>
      <c r="E5" s="18">
        <f>COUNTIFS(C9:C19, 0, D9:D19, 0, E9:E19, "&gt;0")</f>
        <v>0</v>
      </c>
    </row>
    <row r="7" spans="1:6" ht="19.2" x14ac:dyDescent="0.45">
      <c r="A7" s="19" t="s">
        <v>7</v>
      </c>
    </row>
    <row r="8" spans="1:6" ht="25.95" customHeight="1" x14ac:dyDescent="0.3">
      <c r="A8" s="20" t="s">
        <v>8</v>
      </c>
      <c r="B8" s="21" t="s">
        <v>9</v>
      </c>
      <c r="C8" s="20" t="s">
        <v>10</v>
      </c>
      <c r="D8" s="20" t="s">
        <v>11</v>
      </c>
      <c r="E8" s="20" t="s">
        <v>12</v>
      </c>
      <c r="F8" s="20" t="s">
        <v>13</v>
      </c>
    </row>
    <row r="9" spans="1:6" ht="22.05" customHeight="1" x14ac:dyDescent="0.3">
      <c r="A9" s="22" t="s">
        <v>14</v>
      </c>
      <c r="B9" s="23" t="s">
        <v>15</v>
      </c>
      <c r="C9" s="24">
        <f>COUNTIFS(Module02!$C$2:$C$26, A9, Module02!$N$2:$N$26, "High")</f>
        <v>3</v>
      </c>
      <c r="D9" s="25">
        <f>COUNTIFS(Module02!$C$2:$C$26, A9, Module02!$N$2:$N$26, "Medium")</f>
        <v>0</v>
      </c>
      <c r="E9" s="26">
        <f>COUNTIFS(Module02!$C$2:$C$26, A9, Module02!$N$2:$N$26, "Low")</f>
        <v>0</v>
      </c>
      <c r="F9" s="27">
        <f t="shared" ref="F9:F19" si="0">SUM(C9:E9)</f>
        <v>3</v>
      </c>
    </row>
    <row r="10" spans="1:6" ht="22.05" customHeight="1" x14ac:dyDescent="0.3">
      <c r="A10" s="28" t="s">
        <v>16</v>
      </c>
      <c r="B10" s="29" t="s">
        <v>17</v>
      </c>
      <c r="C10" s="30">
        <f>COUNTIFS(Module02!$C$2:$C$26, A10, Module02!$N$2:$N$26, "High")</f>
        <v>2</v>
      </c>
      <c r="D10" s="31">
        <f>COUNTIFS(Module02!$C$2:$C$26, A10, Module02!$N$2:$N$26, "Medium")</f>
        <v>2</v>
      </c>
      <c r="E10" s="32">
        <f>COUNTIFS(Module02!$C$2:$C$26, A10, Module02!$N$2:$N$26, "Low")</f>
        <v>0</v>
      </c>
      <c r="F10" s="33">
        <f t="shared" si="0"/>
        <v>4</v>
      </c>
    </row>
    <row r="11" spans="1:6" ht="22.05" customHeight="1" x14ac:dyDescent="0.3">
      <c r="A11" s="22" t="s">
        <v>18</v>
      </c>
      <c r="B11" s="23" t="s">
        <v>19</v>
      </c>
      <c r="C11" s="24">
        <f>COUNTIFS(Module02!$C$2:$C$26, A11, Module02!$N$2:$N$26, "High")</f>
        <v>2</v>
      </c>
      <c r="D11" s="25">
        <f>COUNTIFS(Module02!$C$2:$C$26, A11, Module02!$N$2:$N$26, "Medium")</f>
        <v>0</v>
      </c>
      <c r="E11" s="26">
        <f>COUNTIFS(Module02!$C$2:$C$26, A11, Module02!$N$2:$N$26, "Low")</f>
        <v>0</v>
      </c>
      <c r="F11" s="27">
        <f t="shared" si="0"/>
        <v>2</v>
      </c>
    </row>
    <row r="12" spans="1:6" ht="22.05" customHeight="1" x14ac:dyDescent="0.3">
      <c r="A12" s="28" t="s">
        <v>20</v>
      </c>
      <c r="B12" s="29" t="s">
        <v>21</v>
      </c>
      <c r="C12" s="30">
        <f>COUNTIFS(Module02!$C$2:$C$26, A12, Module02!$N$2:$N$26, "High")</f>
        <v>2</v>
      </c>
      <c r="D12" s="31">
        <f>COUNTIFS(Module02!$C$2:$C$26, A12, Module02!$N$2:$N$26, "Medium")</f>
        <v>0</v>
      </c>
      <c r="E12" s="32">
        <f>COUNTIFS(Module02!$C$2:$C$26, A12, Module02!$N$2:$N$26, "Low")</f>
        <v>0</v>
      </c>
      <c r="F12" s="33">
        <f t="shared" si="0"/>
        <v>2</v>
      </c>
    </row>
    <row r="13" spans="1:6" ht="22.05" customHeight="1" x14ac:dyDescent="0.3">
      <c r="A13" s="22" t="s">
        <v>22</v>
      </c>
      <c r="B13" s="23" t="s">
        <v>23</v>
      </c>
      <c r="C13" s="24">
        <f>COUNTIFS(Module02!$C$2:$C$26, A13, Module02!$N$2:$N$26, "High")</f>
        <v>2</v>
      </c>
      <c r="D13" s="25">
        <f>COUNTIFS(Module02!$C$2:$C$26, A13, Module02!$N$2:$N$26, "Medium")</f>
        <v>0</v>
      </c>
      <c r="E13" s="26">
        <f>COUNTIFS(Module02!$C$2:$C$26, A13, Module02!$N$2:$N$26, "Low")</f>
        <v>0</v>
      </c>
      <c r="F13" s="27">
        <f t="shared" si="0"/>
        <v>2</v>
      </c>
    </row>
    <row r="14" spans="1:6" ht="22.05" customHeight="1" x14ac:dyDescent="0.3">
      <c r="A14" s="28" t="s">
        <v>24</v>
      </c>
      <c r="B14" s="29" t="s">
        <v>25</v>
      </c>
      <c r="C14" s="30">
        <f>COUNTIFS(Module02!$C$2:$C$26, A14, Module02!$N$2:$N$26, "High")</f>
        <v>2</v>
      </c>
      <c r="D14" s="31">
        <f>COUNTIFS(Module02!$C$2:$C$26, A14, Module02!$N$2:$N$26, "Medium")</f>
        <v>0</v>
      </c>
      <c r="E14" s="32">
        <f>COUNTIFS(Module02!$C$2:$C$26, A14, Module02!$N$2:$N$26, "Low")</f>
        <v>0</v>
      </c>
      <c r="F14" s="33">
        <f t="shared" si="0"/>
        <v>2</v>
      </c>
    </row>
    <row r="15" spans="1:6" ht="22.05" customHeight="1" x14ac:dyDescent="0.3">
      <c r="A15" s="22" t="s">
        <v>26</v>
      </c>
      <c r="B15" s="23" t="s">
        <v>27</v>
      </c>
      <c r="C15" s="24">
        <f>COUNTIFS(Module02!$C$2:$C$26, A15, Module02!$N$2:$N$26, "High")</f>
        <v>3</v>
      </c>
      <c r="D15" s="25">
        <f>COUNTIFS(Module02!$C$2:$C$26, A15, Module02!$N$2:$N$26, "Medium")</f>
        <v>1</v>
      </c>
      <c r="E15" s="26">
        <f>COUNTIFS(Module02!$C$2:$C$26, A15, Module02!$N$2:$N$26, "Low")</f>
        <v>0</v>
      </c>
      <c r="F15" s="27">
        <f t="shared" si="0"/>
        <v>4</v>
      </c>
    </row>
    <row r="16" spans="1:6" ht="22.05" customHeight="1" x14ac:dyDescent="0.3">
      <c r="A16" s="28" t="s">
        <v>28</v>
      </c>
      <c r="B16" s="29" t="s">
        <v>29</v>
      </c>
      <c r="C16" s="30">
        <f>COUNTIFS(Module02!$C$2:$C$26, A16, Module02!$N$2:$N$26, "High")</f>
        <v>0</v>
      </c>
      <c r="D16" s="31">
        <f>COUNTIFS(Module02!$C$2:$C$26, A16, Module02!$N$2:$N$26, "Medium")</f>
        <v>1</v>
      </c>
      <c r="E16" s="32">
        <f>COUNTIFS(Module02!$C$2:$C$26, A16, Module02!$N$2:$N$26, "Low")</f>
        <v>0</v>
      </c>
      <c r="F16" s="33">
        <f t="shared" si="0"/>
        <v>1</v>
      </c>
    </row>
    <row r="17" spans="1:6" ht="22.05" customHeight="1" x14ac:dyDescent="0.3">
      <c r="A17" s="22" t="s">
        <v>30</v>
      </c>
      <c r="B17" s="23" t="s">
        <v>31</v>
      </c>
      <c r="C17" s="24">
        <f>COUNTIFS(Module02!$C$2:$C$26, A17, Module02!$N$2:$N$26, "High")</f>
        <v>0</v>
      </c>
      <c r="D17" s="25">
        <f>COUNTIFS(Module02!$C$2:$C$26, A17, Module02!$N$2:$N$26, "Medium")</f>
        <v>2</v>
      </c>
      <c r="E17" s="26">
        <f>COUNTIFS(Module02!$C$2:$C$26, A17, Module02!$N$2:$N$26, "Low")</f>
        <v>0</v>
      </c>
      <c r="F17" s="27">
        <f t="shared" si="0"/>
        <v>2</v>
      </c>
    </row>
    <row r="18" spans="1:6" ht="22.05" customHeight="1" x14ac:dyDescent="0.3">
      <c r="A18" s="28" t="s">
        <v>32</v>
      </c>
      <c r="B18" s="29" t="s">
        <v>33</v>
      </c>
      <c r="C18" s="30">
        <f>COUNTIFS(Module02!$C$2:$C$26, A18, Module02!$N$2:$N$26, "High")</f>
        <v>0</v>
      </c>
      <c r="D18" s="31">
        <f>COUNTIFS(Module02!$C$2:$C$26, A18, Module02!$N$2:$N$26, "Medium")</f>
        <v>2</v>
      </c>
      <c r="E18" s="32">
        <f>COUNTIFS(Module02!$C$2:$C$26, A18, Module02!$N$2:$N$26, "Low")</f>
        <v>0</v>
      </c>
      <c r="F18" s="33">
        <f t="shared" si="0"/>
        <v>2</v>
      </c>
    </row>
    <row r="19" spans="1:6" ht="22.05" customHeight="1" x14ac:dyDescent="0.3">
      <c r="A19" s="22" t="s">
        <v>34</v>
      </c>
      <c r="B19" s="23" t="s">
        <v>35</v>
      </c>
      <c r="C19" s="24">
        <f>COUNTIFS(Module02!$C$2:$C$26, A19, Module02!$N$2:$N$26, "High")</f>
        <v>1</v>
      </c>
      <c r="D19" s="25">
        <f>COUNTIFS(Module02!$C$2:$C$26, A19, Module02!$N$2:$N$26, "Medium")</f>
        <v>0</v>
      </c>
      <c r="E19" s="26">
        <f>COUNTIFS(Module02!$C$2:$C$26, A19, Module02!$N$2:$N$26, "Low")</f>
        <v>0</v>
      </c>
      <c r="F19" s="27">
        <f t="shared" si="0"/>
        <v>1</v>
      </c>
    </row>
    <row r="20" spans="1:6" ht="24" customHeight="1" x14ac:dyDescent="0.3">
      <c r="A20" s="34" t="s">
        <v>36</v>
      </c>
      <c r="B20" s="35" t="str">
        <f>COUNTA(A9:A19)&amp;" Features"</f>
        <v>11 Features</v>
      </c>
      <c r="C20" s="34">
        <f>SUM(C9:C19)</f>
        <v>17</v>
      </c>
      <c r="D20" s="34">
        <f>SUM(D9:D19)</f>
        <v>8</v>
      </c>
      <c r="E20" s="34">
        <f>SUM(E9:E19)</f>
        <v>0</v>
      </c>
      <c r="F20" s="34">
        <f>SUM(F9:F19)</f>
        <v>25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J1" workbookViewId="0"/>
  </sheetViews>
  <sheetFormatPr defaultRowHeight="14.4" x14ac:dyDescent="0.3"/>
  <cols>
    <col min="1" max="1" width="15" customWidth="1"/>
    <col min="2" max="3" width="14" customWidth="1"/>
    <col min="4" max="4" width="28" customWidth="1"/>
    <col min="5" max="5" width="32" customWidth="1"/>
    <col min="6" max="6" width="36" customWidth="1"/>
    <col min="7" max="7" width="30" customWidth="1"/>
    <col min="8" max="8" width="28" customWidth="1"/>
    <col min="9" max="10" width="48" customWidth="1"/>
    <col min="11" max="11" width="36" customWidth="1"/>
    <col min="12" max="12" width="16" customWidth="1"/>
    <col min="13" max="13" width="25" customWidth="1"/>
    <col min="14" max="14" width="14" customWidth="1"/>
    <col min="15" max="15" width="32" customWidth="1"/>
  </cols>
  <sheetData>
    <row r="1" spans="1:15" ht="28.05" customHeight="1" x14ac:dyDescent="0.3">
      <c r="A1" s="1" t="s">
        <v>37</v>
      </c>
      <c r="B1" s="1" t="s">
        <v>38</v>
      </c>
      <c r="C1" s="1" t="s">
        <v>8</v>
      </c>
      <c r="D1" s="1" t="s">
        <v>9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" spans="1:15" ht="180" customHeight="1" x14ac:dyDescent="0.3">
      <c r="A2" s="2" t="s">
        <v>50</v>
      </c>
      <c r="B2" s="2" t="s">
        <v>51</v>
      </c>
      <c r="C2" s="3" t="s">
        <v>14</v>
      </c>
      <c r="D2" s="4" t="s">
        <v>15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57</v>
      </c>
      <c r="L2" s="5" t="s">
        <v>58</v>
      </c>
      <c r="M2" s="2"/>
      <c r="N2" s="6" t="s">
        <v>59</v>
      </c>
      <c r="O2" s="4" t="s">
        <v>60</v>
      </c>
    </row>
    <row r="3" spans="1:15" ht="135" customHeight="1" x14ac:dyDescent="0.3">
      <c r="A3" s="7" t="s">
        <v>61</v>
      </c>
      <c r="B3" s="7" t="s">
        <v>51</v>
      </c>
      <c r="C3" s="8" t="s">
        <v>14</v>
      </c>
      <c r="D3" s="9" t="s">
        <v>15</v>
      </c>
      <c r="E3" s="9" t="s">
        <v>62</v>
      </c>
      <c r="F3" s="9" t="s">
        <v>63</v>
      </c>
      <c r="G3" s="9" t="s">
        <v>54</v>
      </c>
      <c r="H3" s="9" t="s">
        <v>64</v>
      </c>
      <c r="I3" s="9" t="s">
        <v>65</v>
      </c>
      <c r="J3" s="9" t="s">
        <v>66</v>
      </c>
      <c r="K3" s="9" t="s">
        <v>66</v>
      </c>
      <c r="L3" s="5" t="s">
        <v>58</v>
      </c>
      <c r="M3" s="7"/>
      <c r="N3" s="6" t="s">
        <v>59</v>
      </c>
      <c r="O3" s="9" t="s">
        <v>60</v>
      </c>
    </row>
    <row r="4" spans="1:15" ht="135" customHeight="1" x14ac:dyDescent="0.3">
      <c r="A4" s="2" t="s">
        <v>67</v>
      </c>
      <c r="B4" s="2" t="s">
        <v>51</v>
      </c>
      <c r="C4" s="3" t="s">
        <v>16</v>
      </c>
      <c r="D4" s="4" t="s">
        <v>17</v>
      </c>
      <c r="E4" s="4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73</v>
      </c>
      <c r="L4" s="5" t="s">
        <v>58</v>
      </c>
      <c r="M4" s="2"/>
      <c r="N4" s="6" t="s">
        <v>59</v>
      </c>
      <c r="O4" s="4" t="s">
        <v>74</v>
      </c>
    </row>
    <row r="5" spans="1:15" ht="120" customHeight="1" x14ac:dyDescent="0.3">
      <c r="A5" s="7" t="s">
        <v>75</v>
      </c>
      <c r="B5" s="7" t="s">
        <v>51</v>
      </c>
      <c r="C5" s="8" t="s">
        <v>16</v>
      </c>
      <c r="D5" s="9" t="s">
        <v>17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  <c r="J5" s="9" t="s">
        <v>81</v>
      </c>
      <c r="K5" s="9" t="s">
        <v>81</v>
      </c>
      <c r="L5" s="5" t="s">
        <v>58</v>
      </c>
      <c r="M5" s="7"/>
      <c r="N5" s="6" t="s">
        <v>59</v>
      </c>
      <c r="O5" s="9" t="s">
        <v>74</v>
      </c>
    </row>
    <row r="6" spans="1:15" ht="150" customHeight="1" x14ac:dyDescent="0.3">
      <c r="A6" s="2" t="s">
        <v>82</v>
      </c>
      <c r="B6" s="2" t="s">
        <v>51</v>
      </c>
      <c r="C6" s="3" t="s">
        <v>18</v>
      </c>
      <c r="D6" s="4" t="s">
        <v>19</v>
      </c>
      <c r="E6" s="4" t="s">
        <v>83</v>
      </c>
      <c r="F6" s="4" t="s">
        <v>84</v>
      </c>
      <c r="G6" s="4" t="s">
        <v>85</v>
      </c>
      <c r="H6" s="4" t="s">
        <v>86</v>
      </c>
      <c r="I6" s="4" t="s">
        <v>87</v>
      </c>
      <c r="J6" s="4" t="s">
        <v>88</v>
      </c>
      <c r="K6" s="4" t="s">
        <v>88</v>
      </c>
      <c r="L6" s="5" t="s">
        <v>58</v>
      </c>
      <c r="M6" s="2"/>
      <c r="N6" s="6" t="s">
        <v>59</v>
      </c>
      <c r="O6" s="4" t="s">
        <v>89</v>
      </c>
    </row>
    <row r="7" spans="1:15" ht="135" customHeight="1" x14ac:dyDescent="0.3">
      <c r="A7" s="7" t="s">
        <v>90</v>
      </c>
      <c r="B7" s="7" t="s">
        <v>51</v>
      </c>
      <c r="C7" s="8" t="s">
        <v>20</v>
      </c>
      <c r="D7" s="9" t="s">
        <v>21</v>
      </c>
      <c r="E7" s="9" t="s">
        <v>91</v>
      </c>
      <c r="F7" s="9" t="s">
        <v>92</v>
      </c>
      <c r="G7" s="9" t="s">
        <v>70</v>
      </c>
      <c r="H7" s="9" t="s">
        <v>93</v>
      </c>
      <c r="I7" s="9" t="s">
        <v>94</v>
      </c>
      <c r="J7" s="9" t="s">
        <v>95</v>
      </c>
      <c r="K7" s="9" t="s">
        <v>95</v>
      </c>
      <c r="L7" s="5" t="s">
        <v>58</v>
      </c>
      <c r="M7" s="7"/>
      <c r="N7" s="6" t="s">
        <v>59</v>
      </c>
      <c r="O7" s="9" t="s">
        <v>96</v>
      </c>
    </row>
    <row r="8" spans="1:15" ht="120" customHeight="1" x14ac:dyDescent="0.3">
      <c r="A8" s="2" t="s">
        <v>97</v>
      </c>
      <c r="B8" s="2" t="s">
        <v>51</v>
      </c>
      <c r="C8" s="3" t="s">
        <v>22</v>
      </c>
      <c r="D8" s="4" t="s">
        <v>23</v>
      </c>
      <c r="E8" s="4" t="s">
        <v>98</v>
      </c>
      <c r="F8" s="4" t="s">
        <v>99</v>
      </c>
      <c r="G8" s="4" t="s">
        <v>100</v>
      </c>
      <c r="H8" s="4" t="s">
        <v>101</v>
      </c>
      <c r="I8" s="4" t="s">
        <v>102</v>
      </c>
      <c r="J8" s="4" t="s">
        <v>103</v>
      </c>
      <c r="K8" s="4" t="s">
        <v>103</v>
      </c>
      <c r="L8" s="5" t="s">
        <v>58</v>
      </c>
      <c r="M8" s="2"/>
      <c r="N8" s="6" t="s">
        <v>59</v>
      </c>
      <c r="O8" s="4" t="s">
        <v>104</v>
      </c>
    </row>
    <row r="9" spans="1:15" ht="105" customHeight="1" x14ac:dyDescent="0.3">
      <c r="A9" s="7" t="s">
        <v>105</v>
      </c>
      <c r="B9" s="7" t="s">
        <v>51</v>
      </c>
      <c r="C9" s="8" t="s">
        <v>22</v>
      </c>
      <c r="D9" s="9" t="s">
        <v>23</v>
      </c>
      <c r="E9" s="9" t="s">
        <v>106</v>
      </c>
      <c r="F9" s="9" t="s">
        <v>107</v>
      </c>
      <c r="G9" s="9" t="s">
        <v>100</v>
      </c>
      <c r="H9" s="9" t="s">
        <v>108</v>
      </c>
      <c r="I9" s="9" t="s">
        <v>109</v>
      </c>
      <c r="J9" s="9" t="s">
        <v>110</v>
      </c>
      <c r="K9" s="9" t="s">
        <v>111</v>
      </c>
      <c r="L9" s="6" t="s">
        <v>112</v>
      </c>
      <c r="M9" s="7"/>
      <c r="N9" s="6" t="s">
        <v>59</v>
      </c>
      <c r="O9" s="9" t="s">
        <v>113</v>
      </c>
    </row>
    <row r="10" spans="1:15" ht="75" customHeight="1" x14ac:dyDescent="0.3">
      <c r="A10" s="2" t="s">
        <v>114</v>
      </c>
      <c r="B10" s="2" t="s">
        <v>51</v>
      </c>
      <c r="C10" s="3" t="s">
        <v>24</v>
      </c>
      <c r="D10" s="4" t="s">
        <v>25</v>
      </c>
      <c r="E10" s="4" t="s">
        <v>115</v>
      </c>
      <c r="F10" s="4" t="s">
        <v>116</v>
      </c>
      <c r="G10" s="4" t="s">
        <v>117</v>
      </c>
      <c r="H10" s="4" t="s">
        <v>118</v>
      </c>
      <c r="I10" s="4" t="s">
        <v>119</v>
      </c>
      <c r="J10" s="4" t="s">
        <v>120</v>
      </c>
      <c r="K10" s="4" t="s">
        <v>121</v>
      </c>
      <c r="L10" s="6" t="s">
        <v>112</v>
      </c>
      <c r="M10" s="2"/>
      <c r="N10" s="6" t="s">
        <v>59</v>
      </c>
      <c r="O10" s="4" t="s">
        <v>122</v>
      </c>
    </row>
    <row r="11" spans="1:15" ht="60" customHeight="1" x14ac:dyDescent="0.3">
      <c r="A11" s="7" t="s">
        <v>123</v>
      </c>
      <c r="B11" s="7" t="s">
        <v>51</v>
      </c>
      <c r="C11" s="8" t="s">
        <v>24</v>
      </c>
      <c r="D11" s="9" t="s">
        <v>25</v>
      </c>
      <c r="E11" s="9" t="s">
        <v>124</v>
      </c>
      <c r="F11" s="9" t="s">
        <v>125</v>
      </c>
      <c r="G11" s="9" t="s">
        <v>126</v>
      </c>
      <c r="H11" s="9" t="s">
        <v>127</v>
      </c>
      <c r="I11" s="9" t="s">
        <v>128</v>
      </c>
      <c r="J11" s="9" t="s">
        <v>129</v>
      </c>
      <c r="K11" s="9" t="s">
        <v>130</v>
      </c>
      <c r="L11" s="6" t="s">
        <v>112</v>
      </c>
      <c r="M11" s="7"/>
      <c r="N11" s="6" t="s">
        <v>59</v>
      </c>
      <c r="O11" s="9" t="s">
        <v>131</v>
      </c>
    </row>
    <row r="12" spans="1:15" ht="90" customHeight="1" x14ac:dyDescent="0.3">
      <c r="A12" s="2" t="s">
        <v>132</v>
      </c>
      <c r="B12" s="2" t="s">
        <v>51</v>
      </c>
      <c r="C12" s="3" t="s">
        <v>26</v>
      </c>
      <c r="D12" s="4" t="s">
        <v>27</v>
      </c>
      <c r="E12" s="4" t="s">
        <v>133</v>
      </c>
      <c r="F12" s="4" t="s">
        <v>134</v>
      </c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138</v>
      </c>
      <c r="L12" s="5" t="s">
        <v>58</v>
      </c>
      <c r="M12" s="2"/>
      <c r="N12" s="6" t="s">
        <v>59</v>
      </c>
      <c r="O12" s="4" t="s">
        <v>139</v>
      </c>
    </row>
    <row r="13" spans="1:15" ht="90" customHeight="1" x14ac:dyDescent="0.3">
      <c r="A13" s="7" t="s">
        <v>140</v>
      </c>
      <c r="B13" s="7" t="s">
        <v>51</v>
      </c>
      <c r="C13" s="8" t="s">
        <v>26</v>
      </c>
      <c r="D13" s="9" t="s">
        <v>27</v>
      </c>
      <c r="E13" s="9" t="s">
        <v>141</v>
      </c>
      <c r="F13" s="9" t="s">
        <v>142</v>
      </c>
      <c r="G13" s="9" t="s">
        <v>143</v>
      </c>
      <c r="H13" s="9" t="s">
        <v>136</v>
      </c>
      <c r="I13" s="9" t="s">
        <v>144</v>
      </c>
      <c r="J13" s="9" t="s">
        <v>145</v>
      </c>
      <c r="K13" s="9" t="s">
        <v>146</v>
      </c>
      <c r="L13" s="5" t="s">
        <v>58</v>
      </c>
      <c r="M13" s="7"/>
      <c r="N13" s="6" t="s">
        <v>59</v>
      </c>
      <c r="O13" s="9" t="s">
        <v>147</v>
      </c>
    </row>
    <row r="14" spans="1:15" ht="90" customHeight="1" x14ac:dyDescent="0.3">
      <c r="A14" s="2" t="s">
        <v>148</v>
      </c>
      <c r="B14" s="2" t="s">
        <v>51</v>
      </c>
      <c r="C14" s="3" t="s">
        <v>28</v>
      </c>
      <c r="D14" s="4" t="s">
        <v>29</v>
      </c>
      <c r="E14" s="4" t="s">
        <v>149</v>
      </c>
      <c r="F14" s="4" t="s">
        <v>150</v>
      </c>
      <c r="G14" s="4" t="s">
        <v>151</v>
      </c>
      <c r="H14" s="4" t="s">
        <v>136</v>
      </c>
      <c r="I14" s="4" t="s">
        <v>152</v>
      </c>
      <c r="J14" s="4" t="s">
        <v>153</v>
      </c>
      <c r="K14" s="4" t="s">
        <v>154</v>
      </c>
      <c r="L14" s="6" t="s">
        <v>112</v>
      </c>
      <c r="M14" s="2"/>
      <c r="N14" s="10" t="s">
        <v>155</v>
      </c>
      <c r="O14" s="4" t="s">
        <v>156</v>
      </c>
    </row>
    <row r="15" spans="1:15" ht="105" customHeight="1" x14ac:dyDescent="0.3">
      <c r="A15" s="7" t="s">
        <v>157</v>
      </c>
      <c r="B15" s="7" t="s">
        <v>51</v>
      </c>
      <c r="C15" s="8" t="s">
        <v>30</v>
      </c>
      <c r="D15" s="9" t="s">
        <v>31</v>
      </c>
      <c r="E15" s="9" t="s">
        <v>158</v>
      </c>
      <c r="F15" s="9" t="s">
        <v>159</v>
      </c>
      <c r="G15" s="9" t="s">
        <v>160</v>
      </c>
      <c r="H15" s="9" t="s">
        <v>161</v>
      </c>
      <c r="I15" s="9" t="s">
        <v>162</v>
      </c>
      <c r="J15" s="9" t="s">
        <v>163</v>
      </c>
      <c r="K15" s="9" t="s">
        <v>163</v>
      </c>
      <c r="L15" s="5" t="s">
        <v>58</v>
      </c>
      <c r="M15" s="7"/>
      <c r="N15" s="10" t="s">
        <v>155</v>
      </c>
      <c r="O15" s="9" t="s">
        <v>164</v>
      </c>
    </row>
    <row r="16" spans="1:15" ht="150" customHeight="1" x14ac:dyDescent="0.3">
      <c r="A16" s="2" t="s">
        <v>165</v>
      </c>
      <c r="B16" s="2" t="s">
        <v>51</v>
      </c>
      <c r="C16" s="3" t="s">
        <v>30</v>
      </c>
      <c r="D16" s="4" t="s">
        <v>31</v>
      </c>
      <c r="E16" s="4" t="s">
        <v>166</v>
      </c>
      <c r="F16" s="4" t="s">
        <v>167</v>
      </c>
      <c r="G16" s="4" t="s">
        <v>168</v>
      </c>
      <c r="H16" s="4" t="s">
        <v>169</v>
      </c>
      <c r="I16" s="4" t="s">
        <v>170</v>
      </c>
      <c r="J16" s="4" t="s">
        <v>171</v>
      </c>
      <c r="K16" s="4" t="s">
        <v>172</v>
      </c>
      <c r="L16" s="5" t="s">
        <v>58</v>
      </c>
      <c r="M16" s="2"/>
      <c r="N16" s="10" t="s">
        <v>155</v>
      </c>
      <c r="O16" s="4" t="s">
        <v>164</v>
      </c>
    </row>
    <row r="17" spans="1:15" ht="75" customHeight="1" x14ac:dyDescent="0.3">
      <c r="A17" s="7" t="s">
        <v>173</v>
      </c>
      <c r="B17" s="7" t="s">
        <v>51</v>
      </c>
      <c r="C17" s="8" t="s">
        <v>32</v>
      </c>
      <c r="D17" s="9" t="s">
        <v>33</v>
      </c>
      <c r="E17" s="9" t="s">
        <v>174</v>
      </c>
      <c r="F17" s="9" t="s">
        <v>175</v>
      </c>
      <c r="G17" s="9" t="s">
        <v>176</v>
      </c>
      <c r="H17" s="9" t="s">
        <v>177</v>
      </c>
      <c r="I17" s="9" t="s">
        <v>178</v>
      </c>
      <c r="J17" s="9" t="s">
        <v>179</v>
      </c>
      <c r="K17" s="9" t="s">
        <v>179</v>
      </c>
      <c r="L17" s="5" t="s">
        <v>58</v>
      </c>
      <c r="M17" s="7"/>
      <c r="N17" s="10" t="s">
        <v>155</v>
      </c>
      <c r="O17" s="9" t="s">
        <v>180</v>
      </c>
    </row>
    <row r="18" spans="1:15" ht="105" customHeight="1" x14ac:dyDescent="0.3">
      <c r="A18" s="2" t="s">
        <v>181</v>
      </c>
      <c r="B18" s="2" t="s">
        <v>51</v>
      </c>
      <c r="C18" s="3" t="s">
        <v>32</v>
      </c>
      <c r="D18" s="4" t="s">
        <v>33</v>
      </c>
      <c r="E18" s="4" t="s">
        <v>182</v>
      </c>
      <c r="F18" s="4" t="s">
        <v>183</v>
      </c>
      <c r="G18" s="4" t="s">
        <v>184</v>
      </c>
      <c r="H18" s="4" t="s">
        <v>185</v>
      </c>
      <c r="I18" s="4" t="s">
        <v>186</v>
      </c>
      <c r="J18" s="4" t="s">
        <v>187</v>
      </c>
      <c r="K18" s="4" t="s">
        <v>187</v>
      </c>
      <c r="L18" s="5" t="s">
        <v>58</v>
      </c>
      <c r="M18" s="2"/>
      <c r="N18" s="10" t="s">
        <v>155</v>
      </c>
      <c r="O18" s="4" t="s">
        <v>180</v>
      </c>
    </row>
    <row r="19" spans="1:15" ht="120" customHeight="1" x14ac:dyDescent="0.3">
      <c r="A19" s="7" t="s">
        <v>188</v>
      </c>
      <c r="B19" s="7" t="s">
        <v>51</v>
      </c>
      <c r="C19" s="8" t="s">
        <v>14</v>
      </c>
      <c r="D19" s="9" t="s">
        <v>15</v>
      </c>
      <c r="E19" s="9" t="s">
        <v>189</v>
      </c>
      <c r="F19" s="9" t="s">
        <v>190</v>
      </c>
      <c r="G19" s="9" t="s">
        <v>70</v>
      </c>
      <c r="H19" s="9" t="s">
        <v>191</v>
      </c>
      <c r="I19" s="9" t="s">
        <v>192</v>
      </c>
      <c r="J19" s="9" t="s">
        <v>193</v>
      </c>
      <c r="K19" s="9" t="s">
        <v>193</v>
      </c>
      <c r="L19" s="5" t="s">
        <v>58</v>
      </c>
      <c r="M19" s="7"/>
      <c r="N19" s="6" t="s">
        <v>59</v>
      </c>
      <c r="O19" s="9" t="s">
        <v>194</v>
      </c>
    </row>
    <row r="20" spans="1:15" ht="150" customHeight="1" x14ac:dyDescent="0.3">
      <c r="A20" s="2" t="s">
        <v>195</v>
      </c>
      <c r="B20" s="2" t="s">
        <v>51</v>
      </c>
      <c r="C20" s="3" t="s">
        <v>18</v>
      </c>
      <c r="D20" s="4" t="s">
        <v>19</v>
      </c>
      <c r="E20" s="4" t="s">
        <v>196</v>
      </c>
      <c r="F20" s="4" t="s">
        <v>197</v>
      </c>
      <c r="G20" s="4" t="s">
        <v>198</v>
      </c>
      <c r="H20" s="4" t="s">
        <v>199</v>
      </c>
      <c r="I20" s="4" t="s">
        <v>200</v>
      </c>
      <c r="J20" s="4" t="s">
        <v>201</v>
      </c>
      <c r="K20" s="4" t="s">
        <v>201</v>
      </c>
      <c r="L20" s="5" t="s">
        <v>58</v>
      </c>
      <c r="M20" s="2"/>
      <c r="N20" s="6" t="s">
        <v>59</v>
      </c>
      <c r="O20" s="4" t="s">
        <v>202</v>
      </c>
    </row>
    <row r="21" spans="1:15" ht="135" customHeight="1" x14ac:dyDescent="0.3">
      <c r="A21" s="7" t="s">
        <v>203</v>
      </c>
      <c r="B21" s="7" t="s">
        <v>51</v>
      </c>
      <c r="C21" s="8" t="s">
        <v>16</v>
      </c>
      <c r="D21" s="9" t="s">
        <v>17</v>
      </c>
      <c r="E21" s="9" t="s">
        <v>204</v>
      </c>
      <c r="F21" s="9" t="s">
        <v>205</v>
      </c>
      <c r="G21" s="9" t="s">
        <v>78</v>
      </c>
      <c r="H21" s="9" t="s">
        <v>206</v>
      </c>
      <c r="I21" s="9" t="s">
        <v>207</v>
      </c>
      <c r="J21" s="9" t="s">
        <v>208</v>
      </c>
      <c r="K21" s="9" t="s">
        <v>208</v>
      </c>
      <c r="L21" s="5" t="s">
        <v>58</v>
      </c>
      <c r="M21" s="7"/>
      <c r="N21" s="10" t="s">
        <v>155</v>
      </c>
      <c r="O21" s="9" t="s">
        <v>209</v>
      </c>
    </row>
    <row r="22" spans="1:15" ht="120" customHeight="1" x14ac:dyDescent="0.3">
      <c r="A22" s="2" t="s">
        <v>210</v>
      </c>
      <c r="B22" s="2" t="s">
        <v>51</v>
      </c>
      <c r="C22" s="3" t="s">
        <v>16</v>
      </c>
      <c r="D22" s="4" t="s">
        <v>17</v>
      </c>
      <c r="E22" s="4" t="s">
        <v>211</v>
      </c>
      <c r="F22" s="4" t="s">
        <v>212</v>
      </c>
      <c r="G22" s="4" t="s">
        <v>70</v>
      </c>
      <c r="H22" s="4" t="s">
        <v>213</v>
      </c>
      <c r="I22" s="4" t="s">
        <v>214</v>
      </c>
      <c r="J22" s="4" t="s">
        <v>215</v>
      </c>
      <c r="K22" s="4" t="s">
        <v>215</v>
      </c>
      <c r="L22" s="5" t="s">
        <v>58</v>
      </c>
      <c r="M22" s="2"/>
      <c r="N22" s="10" t="s">
        <v>155</v>
      </c>
      <c r="O22" s="4" t="s">
        <v>209</v>
      </c>
    </row>
    <row r="23" spans="1:15" ht="105" customHeight="1" x14ac:dyDescent="0.3">
      <c r="A23" s="7" t="s">
        <v>216</v>
      </c>
      <c r="B23" s="7" t="s">
        <v>51</v>
      </c>
      <c r="C23" s="8" t="s">
        <v>20</v>
      </c>
      <c r="D23" s="9" t="s">
        <v>21</v>
      </c>
      <c r="E23" s="9" t="s">
        <v>217</v>
      </c>
      <c r="F23" s="9" t="s">
        <v>218</v>
      </c>
      <c r="G23" s="9" t="s">
        <v>219</v>
      </c>
      <c r="H23" s="9" t="s">
        <v>220</v>
      </c>
      <c r="I23" s="9" t="s">
        <v>221</v>
      </c>
      <c r="J23" s="9" t="s">
        <v>222</v>
      </c>
      <c r="K23" s="9" t="s">
        <v>223</v>
      </c>
      <c r="L23" s="6" t="s">
        <v>112</v>
      </c>
      <c r="M23" s="7"/>
      <c r="N23" s="6" t="s">
        <v>59</v>
      </c>
      <c r="O23" s="9" t="s">
        <v>224</v>
      </c>
    </row>
    <row r="24" spans="1:15" ht="90" customHeight="1" x14ac:dyDescent="0.3">
      <c r="A24" s="2" t="s">
        <v>225</v>
      </c>
      <c r="B24" s="2" t="s">
        <v>51</v>
      </c>
      <c r="C24" s="3" t="s">
        <v>34</v>
      </c>
      <c r="D24" s="4" t="s">
        <v>35</v>
      </c>
      <c r="E24" s="4" t="s">
        <v>226</v>
      </c>
      <c r="F24" s="4" t="s">
        <v>227</v>
      </c>
      <c r="G24" s="4" t="s">
        <v>228</v>
      </c>
      <c r="H24" s="4" t="s">
        <v>229</v>
      </c>
      <c r="I24" s="4" t="s">
        <v>230</v>
      </c>
      <c r="J24" s="4" t="s">
        <v>231</v>
      </c>
      <c r="K24" s="4" t="s">
        <v>231</v>
      </c>
      <c r="L24" s="5" t="s">
        <v>58</v>
      </c>
      <c r="M24" s="2"/>
      <c r="N24" s="6" t="s">
        <v>59</v>
      </c>
      <c r="O24" s="4" t="s">
        <v>232</v>
      </c>
    </row>
    <row r="25" spans="1:15" ht="105" customHeight="1" x14ac:dyDescent="0.3">
      <c r="A25" s="7" t="s">
        <v>233</v>
      </c>
      <c r="B25" s="7" t="s">
        <v>51</v>
      </c>
      <c r="C25" s="8" t="s">
        <v>26</v>
      </c>
      <c r="D25" s="9" t="s">
        <v>27</v>
      </c>
      <c r="E25" s="9" t="s">
        <v>234</v>
      </c>
      <c r="F25" s="9" t="s">
        <v>235</v>
      </c>
      <c r="G25" s="9" t="s">
        <v>236</v>
      </c>
      <c r="H25" s="9" t="s">
        <v>237</v>
      </c>
      <c r="I25" s="9" t="s">
        <v>238</v>
      </c>
      <c r="J25" s="9" t="s">
        <v>239</v>
      </c>
      <c r="K25" s="9" t="s">
        <v>239</v>
      </c>
      <c r="L25" s="5" t="s">
        <v>58</v>
      </c>
      <c r="M25" s="7"/>
      <c r="N25" s="10" t="s">
        <v>155</v>
      </c>
      <c r="O25" s="9" t="s">
        <v>240</v>
      </c>
    </row>
    <row r="26" spans="1:15" ht="120" customHeight="1" x14ac:dyDescent="0.3">
      <c r="A26" s="2" t="s">
        <v>241</v>
      </c>
      <c r="B26" s="2" t="s">
        <v>51</v>
      </c>
      <c r="C26" s="3" t="s">
        <v>26</v>
      </c>
      <c r="D26" s="4" t="s">
        <v>27</v>
      </c>
      <c r="E26" s="4" t="s">
        <v>242</v>
      </c>
      <c r="F26" s="4" t="s">
        <v>243</v>
      </c>
      <c r="G26" s="4" t="s">
        <v>244</v>
      </c>
      <c r="H26" s="4" t="s">
        <v>245</v>
      </c>
      <c r="I26" s="4" t="s">
        <v>246</v>
      </c>
      <c r="J26" s="4" t="s">
        <v>247</v>
      </c>
      <c r="K26" s="4" t="s">
        <v>247</v>
      </c>
      <c r="L26" s="5" t="s">
        <v>58</v>
      </c>
      <c r="M26" s="2"/>
      <c r="N26" s="6" t="s">
        <v>59</v>
      </c>
      <c r="O26" s="4" t="s">
        <v>240</v>
      </c>
    </row>
  </sheetData>
  <autoFilter ref="A1:O26"/>
  <dataValidations count="2">
    <dataValidation type="list" allowBlank="1" errorTitle="Invalid Status" error="Please select a valid state: Passed, Failed, or Not Run" sqref="L2:L126">
      <formula1>"Passed,Failed,Not Run"</formula1>
    </dataValidation>
    <dataValidation type="list" allowBlank="1" errorTitle="Invalid Priority" error="Please select a valid priority: High, Medium, or Low" sqref="N2:N126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Module02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2026-07-24T04:11:15Z</dcterms:created>
  <dcterms:modified xsi:type="dcterms:W3CDTF">2026-07-24T04:13:16Z</dcterms:modified>
</cp:coreProperties>
</file>