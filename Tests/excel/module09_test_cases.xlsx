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Module09" sheetId="2" state="visible" r:id="rId2"/>
  </sheets>
  <definedNames>
    <definedName name="_xlnm._FilterDatabase" localSheetId="1" hidden="1">'Module09'!$A$1:$N$24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8"/>
      <sz val="10"/>
    </font>
    <font>
      <name val="Segoe UI"/>
      <b val="1"/>
      <color rgb="0064748B"/>
      <sz val="10"/>
    </font>
    <font>
      <name val="Segoe UI"/>
      <b val="1"/>
      <color rgb="00A50E0E"/>
      <sz val="10"/>
    </font>
    <font>
      <name val="Segoe UI"/>
      <b val="1"/>
      <color rgb="00B06000"/>
      <sz val="10"/>
    </font>
    <font>
      <name val="Segoe UI"/>
      <b val="1"/>
      <color rgb="001F4E78"/>
      <sz val="16"/>
    </font>
    <font>
      <name val="Segoe UI"/>
      <i val="1"/>
      <color rgb="00555555"/>
      <sz val="10"/>
    </font>
    <font>
      <name val="Segoe UI"/>
      <b val="1"/>
      <color rgb="00137333"/>
      <sz val="10"/>
    </font>
    <font>
      <name val="Segoe UI"/>
      <b val="1"/>
      <color rgb="00000000"/>
      <sz val="10"/>
    </font>
    <font>
      <name val="Segoe UI"/>
      <b val="1"/>
      <color rgb="0064748B"/>
      <sz val="9"/>
    </font>
    <font>
      <name val="Segoe UI"/>
      <b val="1"/>
      <color rgb="001E293B"/>
      <sz val="18"/>
    </font>
    <font>
      <name val="Segoe UI"/>
      <b val="1"/>
      <color rgb="001F4E78"/>
      <sz val="18"/>
    </font>
    <font>
      <name val="Segoe UI"/>
      <b val="1"/>
      <color rgb="00A50E0E"/>
      <sz val="18"/>
    </font>
    <font>
      <name val="Segoe UI"/>
      <b val="1"/>
      <color rgb="00B06000"/>
      <sz val="18"/>
    </font>
    <font>
      <name val="Segoe UI"/>
      <b val="1"/>
      <color rgb="00137333"/>
      <sz val="18"/>
    </font>
    <font>
      <name val="Segoe UI"/>
      <b val="1"/>
      <color rgb="001F4E78"/>
      <sz val="12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1F5F9"/>
        <bgColor rgb="00F1F5F9"/>
      </patternFill>
    </fill>
    <fill>
      <patternFill patternType="solid">
        <fgColor rgb="00FCE8E6"/>
        <bgColor rgb="00FCE8E6"/>
      </patternFill>
    </fill>
    <fill>
      <patternFill patternType="solid">
        <fgColor rgb="00F8FAFC"/>
        <bgColor rgb="00F8FAFC"/>
      </patternFill>
    </fill>
    <fill>
      <patternFill patternType="solid">
        <fgColor rgb="00FEF7E0"/>
        <bgColor rgb="00FEF7E0"/>
      </patternFill>
    </fill>
    <fill>
      <patternFill patternType="solid">
        <fgColor rgb="00E2E8F0"/>
        <bgColor rgb="00E2E8F0"/>
      </patternFill>
    </fill>
    <fill>
      <patternFill patternType="solid">
        <fgColor rgb="00E6F4EA"/>
        <bgColor rgb="00E6F4EA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1E293B"/>
      </top>
      <bottom style="double">
        <color rgb="001E293B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8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7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by Feature (Grouped by Priority)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'Report'!C8</f>
            </strRef>
          </tx>
          <spPr>
            <a:solidFill>
              <a:srgbClr val="FF0000"/>
            </a:solidFill>
            <a:ln>
              <a:prstDash val="solid"/>
            </a:ln>
          </spPr>
          <cat>
            <numRef>
              <f>'Report'!$A$9:$A$18</f>
            </numRef>
          </cat>
          <val>
            <numRef>
              <f>'Report'!$C$9:$C$18</f>
            </numRef>
          </val>
        </ser>
        <ser>
          <idx val="1"/>
          <order val="1"/>
          <tx>
            <strRef>
              <f>'Report'!D8</f>
            </strRef>
          </tx>
          <spPr>
            <a:solidFill>
              <a:srgbClr val="FFFF00"/>
            </a:solidFill>
            <a:ln>
              <a:prstDash val="solid"/>
            </a:ln>
          </spPr>
          <cat>
            <numRef>
              <f>'Report'!$A$9:$A$18</f>
            </numRef>
          </cat>
          <val>
            <numRef>
              <f>'Report'!$D$9:$D$18</f>
            </numRef>
          </val>
        </ser>
        <ser>
          <idx val="2"/>
          <order val="2"/>
          <tx>
            <strRef>
              <f>'Report'!E8</f>
            </strRef>
          </tx>
          <spPr>
            <a:solidFill>
              <a:srgbClr val="00FF00"/>
            </a:solidFill>
            <a:ln>
              <a:prstDash val="solid"/>
            </a:ln>
          </spPr>
          <cat>
            <numRef>
              <f>'Report'!$A$9:$A$18</f>
            </numRef>
          </cat>
          <val>
            <numRef>
              <f>'Report'!$E$9:$E$18</f>
            </numRef>
          </val>
        </ser>
        <gapWidth val="150"/>
        <overlap val="-2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Feature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Test Cases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792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1" t="inlineStr">
        <is>
          <t>Module 09 - Feature &amp; Priority Summary Report</t>
        </is>
      </c>
    </row>
    <row r="2">
      <c r="A2" s="12" t="inlineStr">
        <is>
          <t>Summary of test cases per feature, calculated via Excel formulas</t>
        </is>
      </c>
    </row>
    <row r="4" ht="18" customHeight="1">
      <c r="A4" s="13" t="inlineStr">
        <is>
          <t>Total Features</t>
        </is>
      </c>
      <c r="B4" s="13" t="inlineStr">
        <is>
          <t>Total Test Cases</t>
        </is>
      </c>
      <c r="C4" s="13" t="inlineStr">
        <is>
          <t>High Priority Features</t>
        </is>
      </c>
      <c r="D4" s="13" t="inlineStr">
        <is>
          <t>Medium Priority Features</t>
        </is>
      </c>
      <c r="E4" s="13" t="inlineStr">
        <is>
          <t>Low Priority Features</t>
        </is>
      </c>
    </row>
    <row r="5" ht="32" customHeight="1">
      <c r="A5" s="14">
        <f>COUNTA(A9:A18)</f>
        <v/>
      </c>
      <c r="B5" s="15">
        <f>F19</f>
        <v/>
      </c>
      <c r="C5" s="16">
        <f>COUNTIF(C9:C18, "&gt;0")</f>
        <v/>
      </c>
      <c r="D5" s="17">
        <f>COUNTIFS(C9:C18, 0, D9:D18, "&gt;0")</f>
        <v/>
      </c>
      <c r="E5" s="18">
        <f>COUNTIFS(C9:C18, 0, D9:D18, 0, E9:E18, "&gt;0")</f>
        <v/>
      </c>
    </row>
    <row r="7">
      <c r="A7" s="19" t="inlineStr">
        <is>
          <t>Feature Categorization &amp; Priority Breakdown</t>
        </is>
      </c>
    </row>
    <row r="8" ht="26" customHeight="1">
      <c r="A8" s="20" t="inlineStr">
        <is>
          <t>Feature ID</t>
        </is>
      </c>
      <c r="B8" s="21" t="inlineStr">
        <is>
          <t>Feature Name</t>
        </is>
      </c>
      <c r="C8" s="20" t="inlineStr">
        <is>
          <t>High Priority</t>
        </is>
      </c>
      <c r="D8" s="20" t="inlineStr">
        <is>
          <t>Medium Priority</t>
        </is>
      </c>
      <c r="E8" s="20" t="inlineStr">
        <is>
          <t>Low Priority</t>
        </is>
      </c>
      <c r="F8" s="20" t="inlineStr">
        <is>
          <t>Total TCs</t>
        </is>
      </c>
    </row>
    <row r="9" ht="22" customHeight="1">
      <c r="A9" s="22" t="inlineStr">
        <is>
          <t>M09-F01</t>
        </is>
      </c>
      <c r="B9" s="23" t="inlineStr">
        <is>
          <t>Role-based Auto-login</t>
        </is>
      </c>
      <c r="C9" s="24">
        <f>COUNTIFS('Module09'!$C$2:$C$24, A9, 'Module09'!$M$2:$M$24, "High")</f>
        <v/>
      </c>
      <c r="D9" s="25">
        <f>COUNTIFS('Module09'!$C$2:$C$24, A9, 'Module09'!$M$2:$M$24, "Medium")</f>
        <v/>
      </c>
      <c r="E9" s="26">
        <f>COUNTIFS('Module09'!$C$2:$C$24, A9, 'Module09'!$M$2:$M$24, "Low")</f>
        <v/>
      </c>
      <c r="F9" s="27">
        <f>SUM(C9:E9)</f>
        <v/>
      </c>
    </row>
    <row r="10" ht="22" customHeight="1">
      <c r="A10" s="28" t="inlineStr">
        <is>
          <t>M09-F02</t>
        </is>
      </c>
      <c r="B10" s="29" t="inlineStr">
        <is>
          <t>Semester Navigation</t>
        </is>
      </c>
      <c r="C10" s="30">
        <f>COUNTIFS('Module09'!$C$2:$C$24, A10, 'Module09'!$M$2:$M$24, "High")</f>
        <v/>
      </c>
      <c r="D10" s="31">
        <f>COUNTIFS('Module09'!$C$2:$C$24, A10, 'Module09'!$M$2:$M$24, "Medium")</f>
        <v/>
      </c>
      <c r="E10" s="32">
        <f>COUNTIFS('Module09'!$C$2:$C$24, A10, 'Module09'!$M$2:$M$24, "Low")</f>
        <v/>
      </c>
      <c r="F10" s="33">
        <f>SUM(C10:E10)</f>
        <v/>
      </c>
    </row>
    <row r="11" ht="22" customHeight="1">
      <c r="A11" s="22" t="inlineStr">
        <is>
          <t>M09-F03</t>
        </is>
      </c>
      <c r="B11" s="23" t="inlineStr">
        <is>
          <t>Subject Categorization</t>
        </is>
      </c>
      <c r="C11" s="24">
        <f>COUNTIFS('Module09'!$C$2:$C$24, A11, 'Module09'!$M$2:$M$24, "High")</f>
        <v/>
      </c>
      <c r="D11" s="25">
        <f>COUNTIFS('Module09'!$C$2:$C$24, A11, 'Module09'!$M$2:$M$24, "Medium")</f>
        <v/>
      </c>
      <c r="E11" s="26">
        <f>COUNTIFS('Module09'!$C$2:$C$24, A11, 'Module09'!$M$2:$M$24, "Low")</f>
        <v/>
      </c>
      <c r="F11" s="27">
        <f>SUM(C11:E11)</f>
        <v/>
      </c>
    </row>
    <row r="12" ht="22" customHeight="1">
      <c r="A12" s="28" t="inlineStr">
        <is>
          <t>M09-F04</t>
        </is>
      </c>
      <c r="B12" s="29" t="inlineStr">
        <is>
          <t>Read-only View Enforcement</t>
        </is>
      </c>
      <c r="C12" s="30">
        <f>COUNTIFS('Module09'!$C$2:$C$24, A12, 'Module09'!$M$2:$M$24, "High")</f>
        <v/>
      </c>
      <c r="D12" s="31">
        <f>COUNTIFS('Module09'!$C$2:$C$24, A12, 'Module09'!$M$2:$M$24, "Medium")</f>
        <v/>
      </c>
      <c r="E12" s="32">
        <f>COUNTIFS('Module09'!$C$2:$C$24, A12, 'Module09'!$M$2:$M$24, "Low")</f>
        <v/>
      </c>
      <c r="F12" s="33">
        <f>SUM(C12:E12)</f>
        <v/>
      </c>
    </row>
    <row r="13" ht="22" customHeight="1">
      <c r="A13" s="22" t="inlineStr">
        <is>
          <t>M09-F05</t>
        </is>
      </c>
      <c r="B13" s="23" t="inlineStr">
        <is>
          <t>Grade Representation &amp; Placeholders</t>
        </is>
      </c>
      <c r="C13" s="24">
        <f>COUNTIFS('Module09'!$C$2:$C$24, A13, 'Module09'!$M$2:$M$24, "High")</f>
        <v/>
      </c>
      <c r="D13" s="25">
        <f>COUNTIFS('Module09'!$C$2:$C$24, A13, 'Module09'!$M$2:$M$24, "Medium")</f>
        <v/>
      </c>
      <c r="E13" s="26">
        <f>COUNTIFS('Module09'!$C$2:$C$24, A13, 'Module09'!$M$2:$M$24, "Low")</f>
        <v/>
      </c>
      <c r="F13" s="27">
        <f>SUM(C13:E13)</f>
        <v/>
      </c>
    </row>
    <row r="14" ht="22" customHeight="1">
      <c r="A14" s="28" t="inlineStr">
        <is>
          <t>M09-F06</t>
        </is>
      </c>
      <c r="B14" s="29" t="inlineStr">
        <is>
          <t>Grade Color Coding</t>
        </is>
      </c>
      <c r="C14" s="30">
        <f>COUNTIFS('Module09'!$C$2:$C$24, A14, 'Module09'!$M$2:$M$24, "High")</f>
        <v/>
      </c>
      <c r="D14" s="31">
        <f>COUNTIFS('Module09'!$C$2:$C$24, A14, 'Module09'!$M$2:$M$24, "Medium")</f>
        <v/>
      </c>
      <c r="E14" s="32">
        <f>COUNTIFS('Module09'!$C$2:$C$24, A14, 'Module09'!$M$2:$M$24, "Low")</f>
        <v/>
      </c>
      <c r="F14" s="33">
        <f>SUM(C14:E14)</f>
        <v/>
      </c>
    </row>
    <row r="15" ht="22" customHeight="1">
      <c r="A15" s="22" t="inlineStr">
        <is>
          <t>M09-F07</t>
        </is>
      </c>
      <c r="B15" s="23" t="inlineStr">
        <is>
          <t>Re-study Status Display</t>
        </is>
      </c>
      <c r="C15" s="24">
        <f>COUNTIFS('Module09'!$C$2:$C$24, A15, 'Module09'!$M$2:$M$24, "High")</f>
        <v/>
      </c>
      <c r="D15" s="25">
        <f>COUNTIFS('Module09'!$C$2:$C$24, A15, 'Module09'!$M$2:$M$24, "Medium")</f>
        <v/>
      </c>
      <c r="E15" s="26">
        <f>COUNTIFS('Module09'!$C$2:$C$24, A15, 'Module09'!$M$2:$M$24, "Low")</f>
        <v/>
      </c>
      <c r="F15" s="27">
        <f>SUM(C15:E15)</f>
        <v/>
      </c>
    </row>
    <row r="16" ht="22" customHeight="1">
      <c r="A16" s="28" t="inlineStr">
        <is>
          <t>M09-F08</t>
        </is>
      </c>
      <c r="B16" s="29" t="inlineStr">
        <is>
          <t>Internship Report Shortcut Visibility</t>
        </is>
      </c>
      <c r="C16" s="30">
        <f>COUNTIFS('Module09'!$C$2:$C$24, A16, 'Module09'!$M$2:$M$24, "High")</f>
        <v/>
      </c>
      <c r="D16" s="31">
        <f>COUNTIFS('Module09'!$C$2:$C$24, A16, 'Module09'!$M$2:$M$24, "Medium")</f>
        <v/>
      </c>
      <c r="E16" s="32">
        <f>COUNTIFS('Module09'!$C$2:$C$24, A16, 'Module09'!$M$2:$M$24, "Low")</f>
        <v/>
      </c>
      <c r="F16" s="33">
        <f>SUM(C16:E16)</f>
        <v/>
      </c>
    </row>
    <row r="17" ht="22" customHeight="1">
      <c r="A17" s="22" t="inlineStr">
        <is>
          <t>M09-F09</t>
        </is>
      </c>
      <c r="B17" s="23" t="inlineStr">
        <is>
          <t>Student Data Isolation</t>
        </is>
      </c>
      <c r="C17" s="24">
        <f>COUNTIFS('Module09'!$C$2:$C$24, A17, 'Module09'!$M$2:$M$24, "High")</f>
        <v/>
      </c>
      <c r="D17" s="25">
        <f>COUNTIFS('Module09'!$C$2:$C$24, A17, 'Module09'!$M$2:$M$24, "Medium")</f>
        <v/>
      </c>
      <c r="E17" s="26">
        <f>COUNTIFS('Module09'!$C$2:$C$24, A17, 'Module09'!$M$2:$M$24, "Low")</f>
        <v/>
      </c>
      <c r="F17" s="27">
        <f>SUM(C17:E17)</f>
        <v/>
      </c>
    </row>
    <row r="18" ht="22" customHeight="1">
      <c r="A18" s="28" t="inlineStr">
        <is>
          <t>M09-F10</t>
        </is>
      </c>
      <c r="B18" s="29" t="inlineStr">
        <is>
          <t>Responsive Design</t>
        </is>
      </c>
      <c r="C18" s="30">
        <f>COUNTIFS('Module09'!$C$2:$C$24, A18, 'Module09'!$M$2:$M$24, "High")</f>
        <v/>
      </c>
      <c r="D18" s="31">
        <f>COUNTIFS('Module09'!$C$2:$C$24, A18, 'Module09'!$M$2:$M$24, "Medium")</f>
        <v/>
      </c>
      <c r="E18" s="32">
        <f>COUNTIFS('Module09'!$C$2:$C$24, A18, 'Module09'!$M$2:$M$24, "Low")</f>
        <v/>
      </c>
      <c r="F18" s="33">
        <f>SUM(C18:E18)</f>
        <v/>
      </c>
    </row>
    <row r="19" ht="24" customHeight="1">
      <c r="A19" s="34" t="inlineStr">
        <is>
          <t>Total</t>
        </is>
      </c>
      <c r="B19" s="35">
        <f>COUNTA(A9:A18)&amp;" Features"</f>
        <v/>
      </c>
      <c r="C19" s="34">
        <f>SUM(C9:C18)</f>
        <v/>
      </c>
      <c r="D19" s="34">
        <f>SUM(D9:D18)</f>
        <v/>
      </c>
      <c r="E19" s="34">
        <f>SUM(E9:E18)</f>
        <v/>
      </c>
      <c r="F19" s="34">
        <f>SUM(F9:F18)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28" customWidth="1" min="4" max="4"/>
    <col width="32" customWidth="1" min="5" max="5"/>
    <col width="36" customWidth="1" min="6" max="6"/>
    <col width="30" customWidth="1" min="7" max="7"/>
    <col width="28" customWidth="1" min="8" max="8"/>
    <col width="48" customWidth="1" min="9" max="9"/>
    <col width="48" customWidth="1" min="10" max="10"/>
    <col width="36" customWidth="1" min="11" max="11"/>
    <col width="16" customWidth="1" min="12" max="12"/>
    <col width="14" customWidth="1" min="13" max="13"/>
    <col width="32" customWidth="1" min="14" max="14"/>
  </cols>
  <sheetData>
    <row r="1" ht="28" customHeight="1">
      <c r="A1" s="1" t="inlineStr">
        <is>
          <t>ID</t>
        </is>
      </c>
      <c r="B1" s="1" t="inlineStr">
        <is>
          <t>Module</t>
        </is>
      </c>
      <c r="C1" s="1" t="inlineStr">
        <is>
          <t>Feature ID</t>
        </is>
      </c>
      <c r="D1" s="1" t="inlineStr">
        <is>
          <t>Feature Name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Preconditions</t>
        </is>
      </c>
      <c r="H1" s="1" t="inlineStr">
        <is>
          <t>TestData</t>
        </is>
      </c>
      <c r="I1" s="1" t="inlineStr">
        <is>
          <t>Steps</t>
        </is>
      </c>
      <c r="J1" s="1" t="inlineStr">
        <is>
          <t>ExpectedResult</t>
        </is>
      </c>
      <c r="K1" s="1" t="inlineStr">
        <is>
          <t>Actual Result</t>
        </is>
      </c>
      <c r="L1" s="1" t="inlineStr">
        <is>
          <t>Status</t>
        </is>
      </c>
      <c r="M1" s="1" t="inlineStr">
        <is>
          <t>Priority</t>
        </is>
      </c>
      <c r="N1" s="1" t="inlineStr">
        <is>
          <t>Notes</t>
        </is>
      </c>
    </row>
    <row r="2" ht="90" customHeight="1">
      <c r="A2" s="2" t="inlineStr">
        <is>
          <t>TC-M09-001</t>
        </is>
      </c>
      <c r="B2" s="2" t="inlineStr">
        <is>
          <t>Module 09 - Student Portal</t>
        </is>
      </c>
      <c r="C2" s="3" t="inlineStr">
        <is>
          <t>M09-F01</t>
        </is>
      </c>
      <c r="D2" s="4" t="inlineStr">
        <is>
          <t>Role-based Auto-login</t>
        </is>
      </c>
      <c r="E2" s="4" t="inlineStr">
        <is>
          <t>Log In with a Valid Student Account</t>
        </is>
      </c>
      <c r="F2" s="4" t="inlineStr">
        <is>
          <t>Verify student with email belonging to @student.passerellesnumeriques.org domain logs in successfully to Student Portal via Google OAuth.</t>
        </is>
      </c>
      <c r="G2" s="4" t="inlineStr">
        <is>
          <t>User is not logged into system. Browser is connected to internet and supports Google OAuth.</t>
        </is>
      </c>
      <c r="H2" s="4" t="inlineStr">
        <is>
          <t>Email="nam.nguyen26@student.passerellesnumeriques.org"</t>
        </is>
      </c>
      <c r="I2" s="4" t="inlineStr">
        <is>
          <t>1. Access Academic Portal login page;
2. Click "Sign in with Google" button;
3. Select account nam.nguyen26@student.passerellesnumeriques.org and authorize.</t>
        </is>
      </c>
      <c r="J2" s="4" t="inlineStr">
        <is>
          <t>Login successful. System recognizes student role and redirects directly to Student Portal interface showing student's academic records.</t>
        </is>
      </c>
      <c r="K2" s="4" t="inlineStr"/>
      <c r="L2" s="5" t="inlineStr">
        <is>
          <t>Not Run</t>
        </is>
      </c>
      <c r="M2" s="6" t="inlineStr">
        <is>
          <t>High</t>
        </is>
      </c>
      <c r="N2" s="4" t="inlineStr">
        <is>
          <t>Related Requirement: M09-F01, Business Rules 6.1</t>
        </is>
      </c>
    </row>
    <row r="3" ht="90" customHeight="1">
      <c r="A3" s="7" t="inlineStr">
        <is>
          <t>TC-M09-002</t>
        </is>
      </c>
      <c r="B3" s="7" t="inlineStr">
        <is>
          <t>Module 09 - Student Portal</t>
        </is>
      </c>
      <c r="C3" s="8" t="inlineStr">
        <is>
          <t>M09-F01</t>
        </is>
      </c>
      <c r="D3" s="9" t="inlineStr">
        <is>
          <t>Role-based Auto-login</t>
        </is>
      </c>
      <c r="E3" s="9" t="inlineStr">
        <is>
          <t>Log In with an Organization Staff Account</t>
        </is>
      </c>
      <c r="F3" s="9" t="inlineStr">
        <is>
          <t>Verify Staff account logging in via Google OAuth is automatically recognized and redirected to Staff Portal instead of Student Portal.</t>
        </is>
      </c>
      <c r="G3" s="9" t="inlineStr">
        <is>
          <t>User is not logged into system.</t>
        </is>
      </c>
      <c r="H3" s="9" t="inlineStr">
        <is>
          <t>Email="staff.manager@passerellesnumeriques.org"</t>
        </is>
      </c>
      <c r="I3" s="9" t="inlineStr">
        <is>
          <t>1. Access Academic Portal login page;
2. Click "Sign in with Google" button;
3. Select Staff account staff.manager@passerellesnumeriques.org and authorize.</t>
        </is>
      </c>
      <c r="J3" s="9" t="inlineStr">
        <is>
          <t>Login successful. System recognizes Staff role and redirects user to Staff Portal interface instead of Student Portal.</t>
        </is>
      </c>
      <c r="K3" s="9" t="inlineStr"/>
      <c r="L3" s="5" t="inlineStr">
        <is>
          <t>Not Run</t>
        </is>
      </c>
      <c r="M3" s="6" t="inlineStr">
        <is>
          <t>High</t>
        </is>
      </c>
      <c r="N3" s="9" t="inlineStr">
        <is>
          <t>Related Requirement: M09-F01, Business Rules 6.1</t>
        </is>
      </c>
    </row>
    <row r="4" ht="90" customHeight="1">
      <c r="A4" s="2" t="inlineStr">
        <is>
          <t>TC-M09-003</t>
        </is>
      </c>
      <c r="B4" s="2" t="inlineStr">
        <is>
          <t>Module 09 - Student Portal</t>
        </is>
      </c>
      <c r="C4" s="3" t="inlineStr">
        <is>
          <t>M09-F01</t>
        </is>
      </c>
      <c r="D4" s="4" t="inlineStr">
        <is>
          <t>Role-based Auto-login</t>
        </is>
      </c>
      <c r="E4" s="4" t="inlineStr">
        <is>
          <t>Log In with an External Personal Account</t>
        </is>
      </c>
      <c r="F4" s="4" t="inlineStr">
        <is>
          <t>Verify system blocks access when user attempts to log in with an external personal email domain.</t>
        </is>
      </c>
      <c r="G4" s="4" t="inlineStr">
        <is>
          <t>User is not logged into system.</t>
        </is>
      </c>
      <c r="H4" s="4" t="inlineStr">
        <is>
          <t>Email="user.test@gmail.com"</t>
        </is>
      </c>
      <c r="I4" s="4" t="inlineStr">
        <is>
          <t>1. Access Academic Portal login page;
2. Click "Sign in with Google" button;
3. Select personal email user.test@gmail.com.</t>
        </is>
      </c>
      <c r="J4" s="4" t="inlineStr">
        <is>
          <t>System blocks login. Error message appears: "Access denied. Please use your organizational email (@passerellesnumeriques.org or @student.passerellesnumeriques.org)."</t>
        </is>
      </c>
      <c r="K4" s="4" t="inlineStr"/>
      <c r="L4" s="5" t="inlineStr">
        <is>
          <t>Not Run</t>
        </is>
      </c>
      <c r="M4" s="6" t="inlineStr">
        <is>
          <t>High</t>
        </is>
      </c>
      <c r="N4" s="4" t="inlineStr">
        <is>
          <t>Related Requirement: M09-F01, Error Handling 8.1</t>
        </is>
      </c>
    </row>
    <row r="5" ht="45" customHeight="1">
      <c r="A5" s="7" t="inlineStr">
        <is>
          <t>TC-M09-004</t>
        </is>
      </c>
      <c r="B5" s="7" t="inlineStr">
        <is>
          <t>Module 09 - Student Portal</t>
        </is>
      </c>
      <c r="C5" s="8" t="inlineStr">
        <is>
          <t>M09-F01</t>
        </is>
      </c>
      <c r="D5" s="9" t="inlineStr">
        <is>
          <t>Role-based Auto-login</t>
        </is>
      </c>
      <c r="E5" s="9" t="inlineStr">
        <is>
          <t>Log In with Valid Student Email but Without Academic Records in System</t>
        </is>
      </c>
      <c r="F5" s="9" t="inlineStr">
        <is>
          <t>Verify system handles student authentication when email domain is valid but student profile is missing from database.</t>
        </is>
      </c>
      <c r="G5" s="9" t="inlineStr">
        <is>
          <t>User has valid student email domain, but student profile record does not exist in database.</t>
        </is>
      </c>
      <c r="H5" s="9" t="inlineStr">
        <is>
          <t>Email="newstudent@student.passerellesnumeriques.org"</t>
        </is>
      </c>
      <c r="I5" s="9" t="inlineStr">
        <is>
          <t>1. Log in via Google OAuth with newstudent@student.passerellesnumeriques.org.</t>
        </is>
      </c>
      <c r="J5" s="9" t="inlineStr">
        <is>
          <t>System authenticates but displays notice: "No academic records found for your account. Please contact Academic Staff."</t>
        </is>
      </c>
      <c r="K5" s="9" t="inlineStr"/>
      <c r="L5" s="5" t="inlineStr">
        <is>
          <t>Not Run</t>
        </is>
      </c>
      <c r="M5" s="10" t="inlineStr">
        <is>
          <t>Medium</t>
        </is>
      </c>
      <c r="N5" s="9" t="inlineStr">
        <is>
          <t>Related Requirement: M09-F01, Error Handling 8.2</t>
        </is>
      </c>
    </row>
    <row r="6" ht="90" customHeight="1">
      <c r="A6" s="2" t="inlineStr">
        <is>
          <t>TC-M09-005</t>
        </is>
      </c>
      <c r="B6" s="2" t="inlineStr">
        <is>
          <t>Module 09 - Student Portal</t>
        </is>
      </c>
      <c r="C6" s="3" t="inlineStr">
        <is>
          <t>M09-F02</t>
        </is>
      </c>
      <c r="D6" s="4" t="inlineStr">
        <is>
          <t>Semester Navigation</t>
        </is>
      </c>
      <c r="E6" s="4" t="inlineStr">
        <is>
          <t>Switch Between Semesters (Semester Selector)</t>
        </is>
      </c>
      <c r="F6" s="4" t="inlineStr">
        <is>
          <t>Verify student can switch between semesters using dropdown menu and view corresponding subject grades and GPA.</t>
        </is>
      </c>
      <c r="G6" s="4" t="inlineStr">
        <is>
          <t>Student is logged into Student Portal. Academic record contains data for Semester 1 and Semester 2.</t>
        </is>
      </c>
      <c r="H6" s="4" t="inlineStr">
        <is>
          <t>Student Email="nam.nguyen26@student.passerellesnumeriques.org"; Selected Semester="Semester 2"</t>
        </is>
      </c>
      <c r="I6" s="4" t="inlineStr">
        <is>
          <t>1. Observe default selected semester (latest semester);
2. Click Semester Selector dropdown menu;
3. Select "Semester 2".</t>
        </is>
      </c>
      <c r="J6" s="4" t="inlineStr">
        <is>
          <t>Interface re-renders smoothly. Grade table and GPA stats update instantly to display Semester 2 academic data.</t>
        </is>
      </c>
      <c r="K6" s="4" t="inlineStr"/>
      <c r="L6" s="5" t="inlineStr">
        <is>
          <t>Not Run</t>
        </is>
      </c>
      <c r="M6" s="6" t="inlineStr">
        <is>
          <t>High</t>
        </is>
      </c>
      <c r="N6" s="4" t="inlineStr">
        <is>
          <t>Related Requirement: M09-F02, Business Rules 6.2</t>
        </is>
      </c>
    </row>
    <row r="7" ht="60" customHeight="1">
      <c r="A7" s="7" t="inlineStr">
        <is>
          <t>TC-M09-006</t>
        </is>
      </c>
      <c r="B7" s="7" t="inlineStr">
        <is>
          <t>Module 09 - Student Portal</t>
        </is>
      </c>
      <c r="C7" s="8" t="inlineStr">
        <is>
          <t>M09-F03</t>
        </is>
      </c>
      <c r="D7" s="9" t="inlineStr">
        <is>
          <t>Subject Categorization</t>
        </is>
      </c>
      <c r="E7" s="9" t="inlineStr">
        <is>
          <t>Verify Subject Categorization by Category (Subject Categories)</t>
        </is>
      </c>
      <c r="F7" s="9" t="inlineStr">
        <is>
          <t>Verify subjects on Student Portal are grouped into correct categories (IT, English, Professional Skills).</t>
        </is>
      </c>
      <c r="G7" s="9" t="inlineStr">
        <is>
          <t>Student is logged into Student Portal. Student has enrolled subjects across multiple categories.</t>
        </is>
      </c>
      <c r="H7" s="9" t="inlineStr">
        <is>
          <t>Categories=["IT", "English", "Professional Skills"]</t>
        </is>
      </c>
      <c r="I7" s="9" t="inlineStr">
        <is>
          <t>1. Navigate to Grade Report tab on Student Portal;
2. Observe layout of subject table.</t>
        </is>
      </c>
      <c r="J7" s="9" t="inlineStr">
        <is>
          <t>Subjects are grouped clearly under Category header sections (IT, English, Professional Skills).</t>
        </is>
      </c>
      <c r="K7" s="9" t="inlineStr"/>
      <c r="L7" s="5" t="inlineStr">
        <is>
          <t>Not Run</t>
        </is>
      </c>
      <c r="M7" s="6" t="inlineStr">
        <is>
          <t>High</t>
        </is>
      </c>
      <c r="N7" s="9" t="inlineStr">
        <is>
          <t>Related Requirement: M09-F03, Business Rules 6.3</t>
        </is>
      </c>
    </row>
    <row r="8" ht="75" customHeight="1">
      <c r="A8" s="2" t="inlineStr">
        <is>
          <t>TC-M09-007</t>
        </is>
      </c>
      <c r="B8" s="2" t="inlineStr">
        <is>
          <t>Module 09 - Student Portal</t>
        </is>
      </c>
      <c r="C8" s="3" t="inlineStr">
        <is>
          <t>M09-F04</t>
        </is>
      </c>
      <c r="D8" s="4" t="inlineStr">
        <is>
          <t>Read-only View Enforcement</t>
        </is>
      </c>
      <c r="E8" s="4" t="inlineStr">
        <is>
          <t>Verify Read-Only Nature of Student Portal</t>
        </is>
      </c>
      <c r="F8" s="4" t="inlineStr">
        <is>
          <t>Verify Student Portal is strictly Read-Only and provides no edit controls for grades or attendance.</t>
        </is>
      </c>
      <c r="G8" s="4" t="inlineStr">
        <is>
          <t>Student is logged into Student Portal.</t>
        </is>
      </c>
      <c r="H8" s="4" t="inlineStr">
        <is>
          <t>Role="Student"</t>
        </is>
      </c>
      <c r="I8" s="4" t="inlineStr">
        <is>
          <t>1. Browse all sections of Student Portal (Grades, Attendance, Profile, Materials);
2. Check for any edit, save, or input fields.</t>
        </is>
      </c>
      <c r="J8" s="4" t="inlineStr">
        <is>
          <t>All academic data displays in Read-Only mode. No input fields or save buttons are present.</t>
        </is>
      </c>
      <c r="K8" s="4" t="inlineStr"/>
      <c r="L8" s="5" t="inlineStr">
        <is>
          <t>Not Run</t>
        </is>
      </c>
      <c r="M8" s="6" t="inlineStr">
        <is>
          <t>High</t>
        </is>
      </c>
      <c r="N8" s="4" t="inlineStr">
        <is>
          <t>Related Requirement: M09-F04, Business Rules 6.4</t>
        </is>
      </c>
    </row>
    <row r="9" ht="60" customHeight="1">
      <c r="A9" s="7" t="inlineStr">
        <is>
          <t>TC-M09-008</t>
        </is>
      </c>
      <c r="B9" s="7" t="inlineStr">
        <is>
          <t>Module 09 - Student Portal</t>
        </is>
      </c>
      <c r="C9" s="8" t="inlineStr">
        <is>
          <t>M09-F05</t>
        </is>
      </c>
      <c r="D9" s="9" t="inlineStr">
        <is>
          <t>Grade Representation &amp; Placeholders</t>
        </is>
      </c>
      <c r="E9" s="9" t="inlineStr">
        <is>
          <t>Display Unentered Grades (Empty Grades)</t>
        </is>
      </c>
      <c r="F9" s="9" t="inlineStr">
        <is>
          <t>Verify system displays hyphen placeholder "-" when a grade component has not been entered yet.</t>
        </is>
      </c>
      <c r="G9" s="9" t="inlineStr">
        <is>
          <t>Student is logged into Student Portal. Final Exam grade for subject "Web Dev" has not been entered by Staff.</t>
        </is>
      </c>
      <c r="H9" s="9" t="inlineStr">
        <is>
          <t>Subject="Web Dev"; GradeComponent="Final Exam"</t>
        </is>
      </c>
      <c r="I9" s="9" t="inlineStr">
        <is>
          <t>1. View grade details for subject "Web Dev";
2. Check cell display for Final Exam grade.</t>
        </is>
      </c>
      <c r="J9" s="9" t="inlineStr">
        <is>
          <t>Cell displays "-" placeholder instead of 0 or blank, indicating grade is pending.</t>
        </is>
      </c>
      <c r="K9" s="9" t="inlineStr"/>
      <c r="L9" s="5" t="inlineStr">
        <is>
          <t>Not Run</t>
        </is>
      </c>
      <c r="M9" s="10" t="inlineStr">
        <is>
          <t>Medium</t>
        </is>
      </c>
      <c r="N9" s="9" t="inlineStr">
        <is>
          <t>Related Requirement: M09-F05, Business Rules 6.5</t>
        </is>
      </c>
    </row>
    <row r="10" ht="45" customHeight="1">
      <c r="A10" s="2" t="inlineStr">
        <is>
          <t>TC-M09-009</t>
        </is>
      </c>
      <c r="B10" s="2" t="inlineStr">
        <is>
          <t>Module 09 - Student Portal</t>
        </is>
      </c>
      <c r="C10" s="3" t="inlineStr">
        <is>
          <t>M09-F06</t>
        </is>
      </c>
      <c r="D10" s="4" t="inlineStr">
        <is>
          <t>Grade Color Coding</t>
        </is>
      </c>
      <c r="E10" s="4" t="inlineStr">
        <is>
          <t>Color Code Final Grade (/10) for Excellent Grade (&gt;= 8.0)</t>
        </is>
      </c>
      <c r="F10" s="4" t="inlineStr">
        <is>
          <t>Verify final subject grade &gt;= 8.0 displays in Green badge styling.</t>
        </is>
      </c>
      <c r="G10" s="4" t="inlineStr">
        <is>
          <t>Student is logged into Student Portal.</t>
        </is>
      </c>
      <c r="H10" s="4" t="inlineStr">
        <is>
          <t>Subject="Algorithms"; FinalGrade=8.5</t>
        </is>
      </c>
      <c r="I10" s="4" t="inlineStr">
        <is>
          <t>1. Locate subject "Algorithms" with final grade 8.5;
2. Inspect badge color.</t>
        </is>
      </c>
      <c r="J10" s="4" t="inlineStr">
        <is>
          <t>Grade 8.5 displays in Green badge styling (#137333 / light green fill).</t>
        </is>
      </c>
      <c r="K10" s="4" t="inlineStr"/>
      <c r="L10" s="5" t="inlineStr">
        <is>
          <t>Not Run</t>
        </is>
      </c>
      <c r="M10" s="6" t="inlineStr">
        <is>
          <t>High</t>
        </is>
      </c>
      <c r="N10" s="4" t="inlineStr">
        <is>
          <t>Related Requirement: M09-F06, Color Rules 5.1</t>
        </is>
      </c>
    </row>
    <row r="11" ht="45" customHeight="1">
      <c r="A11" s="7" t="inlineStr">
        <is>
          <t>TC-M09-010</t>
        </is>
      </c>
      <c r="B11" s="7" t="inlineStr">
        <is>
          <t>Module 09 - Student Portal</t>
        </is>
      </c>
      <c r="C11" s="8" t="inlineStr">
        <is>
          <t>M09-F06</t>
        </is>
      </c>
      <c r="D11" s="9" t="inlineStr">
        <is>
          <t>Grade Color Coding</t>
        </is>
      </c>
      <c r="E11" s="9" t="inlineStr">
        <is>
          <t>Color Code Final Grade (/10) for Good/Average Grade (5.5 - 7.9)</t>
        </is>
      </c>
      <c r="F11" s="9" t="inlineStr">
        <is>
          <t>Verify final subject grade between 5.5 and 7.9 displays in Orange/Yellow badge styling.</t>
        </is>
      </c>
      <c r="G11" s="9" t="inlineStr">
        <is>
          <t>Student is logged into Student Portal.</t>
        </is>
      </c>
      <c r="H11" s="9" t="inlineStr">
        <is>
          <t>Subject="Database"; FinalGrade=6.5</t>
        </is>
      </c>
      <c r="I11" s="9" t="inlineStr">
        <is>
          <t>1. Locate subject "Database" with final grade 6.5;
2. Inspect badge color.</t>
        </is>
      </c>
      <c r="J11" s="9" t="inlineStr">
        <is>
          <t>Grade 6.5 displays in Orange/Yellow badge styling (#B06000 / light yellow fill).</t>
        </is>
      </c>
      <c r="K11" s="9" t="inlineStr"/>
      <c r="L11" s="5" t="inlineStr">
        <is>
          <t>Not Run</t>
        </is>
      </c>
      <c r="M11" s="6" t="inlineStr">
        <is>
          <t>High</t>
        </is>
      </c>
      <c r="N11" s="9" t="inlineStr">
        <is>
          <t>Related Requirement: M09-F06, Color Rules 5.1</t>
        </is>
      </c>
    </row>
    <row r="12" ht="45" customHeight="1">
      <c r="A12" s="2" t="inlineStr">
        <is>
          <t>TC-M09-011</t>
        </is>
      </c>
      <c r="B12" s="2" t="inlineStr">
        <is>
          <t>Module 09 - Student Portal</t>
        </is>
      </c>
      <c r="C12" s="3" t="inlineStr">
        <is>
          <t>M09-F06</t>
        </is>
      </c>
      <c r="D12" s="4" t="inlineStr">
        <is>
          <t>Grade Color Coding</t>
        </is>
      </c>
      <c r="E12" s="4" t="inlineStr">
        <is>
          <t>Color Code Final Grade (/10) for Failing Grade (&lt; 5.5)</t>
        </is>
      </c>
      <c r="F12" s="4" t="inlineStr">
        <is>
          <t>Verify final subject grade &lt; 5.5 displays in Red badge styling.</t>
        </is>
      </c>
      <c r="G12" s="4" t="inlineStr">
        <is>
          <t>Student is logged into Student Portal.</t>
        </is>
      </c>
      <c r="H12" s="4" t="inlineStr">
        <is>
          <t>Subject="English 1"; FinalGrade=4.0</t>
        </is>
      </c>
      <c r="I12" s="4" t="inlineStr">
        <is>
          <t>1. Locate subject "English 1" with final grade 4.0;
2. Inspect badge color.</t>
        </is>
      </c>
      <c r="J12" s="4" t="inlineStr">
        <is>
          <t>Grade 4.0 displays in Red badge styling (#A50E0E / light red fill).</t>
        </is>
      </c>
      <c r="K12" s="4" t="inlineStr"/>
      <c r="L12" s="5" t="inlineStr">
        <is>
          <t>Not Run</t>
        </is>
      </c>
      <c r="M12" s="6" t="inlineStr">
        <is>
          <t>High</t>
        </is>
      </c>
      <c r="N12" s="4" t="inlineStr">
        <is>
          <t>Related Requirement: M09-F06, Color Rules 5.1</t>
        </is>
      </c>
    </row>
    <row r="13" ht="45" customHeight="1">
      <c r="A13" s="7" t="inlineStr">
        <is>
          <t>TC-M09-012</t>
        </is>
      </c>
      <c r="B13" s="7" t="inlineStr">
        <is>
          <t>Module 09 - Student Portal</t>
        </is>
      </c>
      <c r="C13" s="8" t="inlineStr">
        <is>
          <t>M09-F06</t>
        </is>
      </c>
      <c r="D13" s="9" t="inlineStr">
        <is>
          <t>Grade Color Coding</t>
        </is>
      </c>
      <c r="E13" s="9" t="inlineStr">
        <is>
          <t>Color Code GPA (/4) for Excellent GPA (&gt;= 3.5)</t>
        </is>
      </c>
      <c r="F13" s="9" t="inlineStr">
        <is>
          <t>Verify semester GPA &gt;= 3.5 displays in Green highlight styling.</t>
        </is>
      </c>
      <c r="G13" s="9" t="inlineStr">
        <is>
          <t>Student is logged into Student Portal.</t>
        </is>
      </c>
      <c r="H13" s="9" t="inlineStr">
        <is>
          <t>GPA=3.65</t>
        </is>
      </c>
      <c r="I13" s="9" t="inlineStr">
        <is>
          <t>1. View GPA Summary card on Student Portal;
2. Inspect GPA badge color.</t>
        </is>
      </c>
      <c r="J13" s="9" t="inlineStr">
        <is>
          <t>GPA 3.65 displays with Green text/background styling.</t>
        </is>
      </c>
      <c r="K13" s="9" t="inlineStr"/>
      <c r="L13" s="5" t="inlineStr">
        <is>
          <t>Not Run</t>
        </is>
      </c>
      <c r="M13" s="6" t="inlineStr">
        <is>
          <t>High</t>
        </is>
      </c>
      <c r="N13" s="9" t="inlineStr">
        <is>
          <t>Related Requirement: M09-F06, Color Rules 5.2</t>
        </is>
      </c>
    </row>
    <row r="14" ht="45" customHeight="1">
      <c r="A14" s="2" t="inlineStr">
        <is>
          <t>TC-M09-013</t>
        </is>
      </c>
      <c r="B14" s="2" t="inlineStr">
        <is>
          <t>Module 09 - Student Portal</t>
        </is>
      </c>
      <c r="C14" s="3" t="inlineStr">
        <is>
          <t>M09-F06</t>
        </is>
      </c>
      <c r="D14" s="4" t="inlineStr">
        <is>
          <t>Grade Color Coding</t>
        </is>
      </c>
      <c r="E14" s="4" t="inlineStr">
        <is>
          <t>Color Code GPA (/4) for Good/Average GPA (2.0 - 3.4)</t>
        </is>
      </c>
      <c r="F14" s="4" t="inlineStr">
        <is>
          <t>Verify semester GPA between 2.0 and 3.4 displays in Orange/Yellow highlight styling.</t>
        </is>
      </c>
      <c r="G14" s="4" t="inlineStr">
        <is>
          <t>Student is logged into Student Portal.</t>
        </is>
      </c>
      <c r="H14" s="4" t="inlineStr">
        <is>
          <t>GPA=2.85</t>
        </is>
      </c>
      <c r="I14" s="4" t="inlineStr">
        <is>
          <t>1. View GPA Summary card on Student Portal;
2. Inspect GPA badge color.</t>
        </is>
      </c>
      <c r="J14" s="4" t="inlineStr">
        <is>
          <t>GPA 2.85 displays with Orange/Yellow text/background styling.</t>
        </is>
      </c>
      <c r="K14" s="4" t="inlineStr"/>
      <c r="L14" s="5" t="inlineStr">
        <is>
          <t>Not Run</t>
        </is>
      </c>
      <c r="M14" s="6" t="inlineStr">
        <is>
          <t>High</t>
        </is>
      </c>
      <c r="N14" s="4" t="inlineStr">
        <is>
          <t>Related Requirement: M09-F06, Color Rules 5.2</t>
        </is>
      </c>
    </row>
    <row r="15" ht="45" customHeight="1">
      <c r="A15" s="7" t="inlineStr">
        <is>
          <t>TC-M09-014</t>
        </is>
      </c>
      <c r="B15" s="7" t="inlineStr">
        <is>
          <t>Module 09 - Student Portal</t>
        </is>
      </c>
      <c r="C15" s="8" t="inlineStr">
        <is>
          <t>M09-F06</t>
        </is>
      </c>
      <c r="D15" s="9" t="inlineStr">
        <is>
          <t>Grade Color Coding</t>
        </is>
      </c>
      <c r="E15" s="9" t="inlineStr">
        <is>
          <t>Color Code GPA (/4) for Low GPA (&lt; 2.0)</t>
        </is>
      </c>
      <c r="F15" s="9" t="inlineStr">
        <is>
          <t>Verify semester GPA &lt; 2.0 displays in Red highlight styling.</t>
        </is>
      </c>
      <c r="G15" s="9" t="inlineStr">
        <is>
          <t>Student is logged into Student Portal.</t>
        </is>
      </c>
      <c r="H15" s="9" t="inlineStr">
        <is>
          <t>GPA=1.75</t>
        </is>
      </c>
      <c r="I15" s="9" t="inlineStr">
        <is>
          <t>1. View GPA Summary card on Student Portal;
2. Inspect GPA badge color.</t>
        </is>
      </c>
      <c r="J15" s="9" t="inlineStr">
        <is>
          <t>GPA 1.75 displays with Red text/background styling.</t>
        </is>
      </c>
      <c r="K15" s="9" t="inlineStr"/>
      <c r="L15" s="5" t="inlineStr">
        <is>
          <t>Not Run</t>
        </is>
      </c>
      <c r="M15" s="6" t="inlineStr">
        <is>
          <t>High</t>
        </is>
      </c>
      <c r="N15" s="9" t="inlineStr">
        <is>
          <t>Related Requirement: M09-F06, Color Rules 5.2</t>
        </is>
      </c>
    </row>
    <row r="16" ht="60" customHeight="1">
      <c r="A16" s="2" t="inlineStr">
        <is>
          <t>TC-M09-015</t>
        </is>
      </c>
      <c r="B16" s="2" t="inlineStr">
        <is>
          <t>Module 09 - Student Portal</t>
        </is>
      </c>
      <c r="C16" s="3" t="inlineStr">
        <is>
          <t>M09-F07</t>
        </is>
      </c>
      <c r="D16" s="4" t="inlineStr">
        <is>
          <t>Re-study Status Display</t>
        </is>
      </c>
      <c r="E16" s="4" t="inlineStr">
        <is>
          <t>Display Retake/Re-study Badge for Retaken Course</t>
        </is>
      </c>
      <c r="F16" s="4" t="inlineStr">
        <is>
          <t>Verify system displays a clear "Re-study" or "Retake" badge next to subjects flagged for re-study.</t>
        </is>
      </c>
      <c r="G16" s="4" t="inlineStr">
        <is>
          <t>Student is logged into Student Portal. Subject "Networking" is flagged as Re-study.</t>
        </is>
      </c>
      <c r="H16" s="4" t="inlineStr">
        <is>
          <t>Subject="Networking"; IsRestudy=True</t>
        </is>
      </c>
      <c r="I16" s="4" t="inlineStr">
        <is>
          <t>1. View subject list for current semester;
2. Inspect row for subject "Networking".</t>
        </is>
      </c>
      <c r="J16" s="4" t="inlineStr">
        <is>
          <t>Subject row displays a prominent "Re-study" badge next to course name.</t>
        </is>
      </c>
      <c r="K16" s="4" t="inlineStr"/>
      <c r="L16" s="5" t="inlineStr">
        <is>
          <t>Not Run</t>
        </is>
      </c>
      <c r="M16" s="6" t="inlineStr">
        <is>
          <t>High</t>
        </is>
      </c>
      <c r="N16" s="4" t="inlineStr">
        <is>
          <t>Related Requirement: M09-F07, Business Rules 6.7</t>
        </is>
      </c>
    </row>
    <row r="17" ht="60" customHeight="1">
      <c r="A17" s="7" t="inlineStr">
        <is>
          <t>TC-M09-016</t>
        </is>
      </c>
      <c r="B17" s="7" t="inlineStr">
        <is>
          <t>Module 09 - Student Portal</t>
        </is>
      </c>
      <c r="C17" s="8" t="inlineStr">
        <is>
          <t>M09-F08</t>
        </is>
      </c>
      <c r="D17" s="9" t="inlineStr">
        <is>
          <t>Internship Report Shortcut Visibility</t>
        </is>
      </c>
      <c r="E17" s="9" t="inlineStr">
        <is>
          <t>Display Internship Report Shortcut when Internship Group Is Active (On-going)</t>
        </is>
      </c>
      <c r="F17" s="9" t="inlineStr">
        <is>
          <t>Verify system displays Internship Report shortcut button on Student Portal header when student belongs to an active internship group.</t>
        </is>
      </c>
      <c r="G17" s="9" t="inlineStr">
        <is>
          <t>Student is logged into Student Portal. Student belongs to an internship group with status "On-going".</t>
        </is>
      </c>
      <c r="H17" s="9" t="inlineStr">
        <is>
          <t>InternshipGroupStatus="On-going"</t>
        </is>
      </c>
      <c r="I17" s="9" t="inlineStr">
        <is>
          <t>1. Open Student Portal home page;
2. Check header navigation bar.</t>
        </is>
      </c>
      <c r="J17" s="9" t="inlineStr">
        <is>
          <t>Internship Report shortcut button is visible and clicking it opens bi-weekly report submission module.</t>
        </is>
      </c>
      <c r="K17" s="9" t="inlineStr"/>
      <c r="L17" s="5" t="inlineStr">
        <is>
          <t>Not Run</t>
        </is>
      </c>
      <c r="M17" s="6" t="inlineStr">
        <is>
          <t>High</t>
        </is>
      </c>
      <c r="N17" s="9" t="inlineStr">
        <is>
          <t>Related Requirement: M09-F08, Business Rules 6.8</t>
        </is>
      </c>
    </row>
    <row r="18" ht="45" customHeight="1">
      <c r="A18" s="2" t="inlineStr">
        <is>
          <t>TC-M09-017</t>
        </is>
      </c>
      <c r="B18" s="2" t="inlineStr">
        <is>
          <t>Module 09 - Student Portal</t>
        </is>
      </c>
      <c r="C18" s="3" t="inlineStr">
        <is>
          <t>M09-F08</t>
        </is>
      </c>
      <c r="D18" s="4" t="inlineStr">
        <is>
          <t>Internship Report Shortcut Visibility</t>
        </is>
      </c>
      <c r="E18" s="4" t="inlineStr">
        <is>
          <t>Hide Internship Report Shortcut when Internship Group Status Is Not On-going</t>
        </is>
      </c>
      <c r="F18" s="4" t="inlineStr">
        <is>
          <t>Verify system hides Internship Report shortcut button when internship group status is Completed or Archived.</t>
        </is>
      </c>
      <c r="G18" s="4" t="inlineStr">
        <is>
          <t>Student is logged into Student Portal. Student belongs to an internship group with status "Completed".</t>
        </is>
      </c>
      <c r="H18" s="4" t="inlineStr">
        <is>
          <t>InternshipGroupStatus="Completed"</t>
        </is>
      </c>
      <c r="I18" s="4" t="inlineStr">
        <is>
          <t>1. Open Student Portal home page;
2. Check header navigation bar.</t>
        </is>
      </c>
      <c r="J18" s="4" t="inlineStr">
        <is>
          <t>Internship Report shortcut button is hidden from header.</t>
        </is>
      </c>
      <c r="K18" s="4" t="inlineStr"/>
      <c r="L18" s="5" t="inlineStr">
        <is>
          <t>Not Run</t>
        </is>
      </c>
      <c r="M18" s="6" t="inlineStr">
        <is>
          <t>High</t>
        </is>
      </c>
      <c r="N18" s="4" t="inlineStr">
        <is>
          <t>Related Requirement: M09-F08, Business Rules 6.8</t>
        </is>
      </c>
    </row>
    <row r="19" ht="45" customHeight="1">
      <c r="A19" s="7" t="inlineStr">
        <is>
          <t>TC-M09-018</t>
        </is>
      </c>
      <c r="B19" s="7" t="inlineStr">
        <is>
          <t>Module 09 - Student Portal</t>
        </is>
      </c>
      <c r="C19" s="8" t="inlineStr">
        <is>
          <t>M09-F08</t>
        </is>
      </c>
      <c r="D19" s="9" t="inlineStr">
        <is>
          <t>Internship Report Shortcut Visibility</t>
        </is>
      </c>
      <c r="E19" s="9" t="inlineStr">
        <is>
          <t>Hide Internship Report Shortcut when Student Is Not Assigned to Any Internship Group</t>
        </is>
      </c>
      <c r="F19" s="9" t="inlineStr">
        <is>
          <t>Verify system hides Internship Report shortcut button when student has not been assigned to any internship group.</t>
        </is>
      </c>
      <c r="G19" s="9" t="inlineStr">
        <is>
          <t>Student is logged into Student Portal. Student is not in any internship group.</t>
        </is>
      </c>
      <c r="H19" s="9" t="inlineStr">
        <is>
          <t>InternshipGroup=None</t>
        </is>
      </c>
      <c r="I19" s="9" t="inlineStr">
        <is>
          <t>1. Open Student Portal home page;
2. Check header navigation bar.</t>
        </is>
      </c>
      <c r="J19" s="9" t="inlineStr">
        <is>
          <t>Internship Report shortcut button is completely hidden from header.</t>
        </is>
      </c>
      <c r="K19" s="9" t="inlineStr"/>
      <c r="L19" s="5" t="inlineStr">
        <is>
          <t>Not Run</t>
        </is>
      </c>
      <c r="M19" s="6" t="inlineStr">
        <is>
          <t>High</t>
        </is>
      </c>
      <c r="N19" s="9" t="inlineStr">
        <is>
          <t>Related Requirement: M09-F08, Business Rules 6.8</t>
        </is>
      </c>
    </row>
    <row r="20" ht="90" customHeight="1">
      <c r="A20" s="2" t="inlineStr">
        <is>
          <t>TC-M09-019</t>
        </is>
      </c>
      <c r="B20" s="2" t="inlineStr">
        <is>
          <t>Module 09 - Student Portal</t>
        </is>
      </c>
      <c r="C20" s="3" t="inlineStr">
        <is>
          <t>M09-F09</t>
        </is>
      </c>
      <c r="D20" s="4" t="inlineStr">
        <is>
          <t>Student Data Isolation</t>
        </is>
      </c>
      <c r="E20" s="4" t="inlineStr">
        <is>
          <t>Verify Data Isolation Between Students (Data Isolation)</t>
        </is>
      </c>
      <c r="F20" s="4" t="inlineStr">
        <is>
          <t>Verify student can only view their own grades and cannot access academic records of other students.</t>
        </is>
      </c>
      <c r="G20" s="4" t="inlineStr">
        <is>
          <t>Student A (ST001) is logged into Student Portal.</t>
        </is>
      </c>
      <c r="H20" s="4" t="inlineStr">
        <is>
          <t>StudentA_ID="ST001"; StudentB_ID="ST002"</t>
        </is>
      </c>
      <c r="I20" s="4" t="inlineStr">
        <is>
          <t>1. Log in as Student A;
2. Inspect displayed student name, ID, and grades;
3. Attempt to alter URL parameters to request Student B (ST002) record.</t>
        </is>
      </c>
      <c r="J20" s="4" t="inlineStr">
        <is>
          <t>Student A sees strictly ST001 records. Attempting to tamper URL parameters returns 403 Forbidden or redirects to own profile.</t>
        </is>
      </c>
      <c r="K20" s="4" t="inlineStr"/>
      <c r="L20" s="5" t="inlineStr">
        <is>
          <t>Not Run</t>
        </is>
      </c>
      <c r="M20" s="6" t="inlineStr">
        <is>
          <t>High</t>
        </is>
      </c>
      <c r="N20" s="4" t="inlineStr">
        <is>
          <t>Related Requirement: M09-F09, Security Standards 7.1</t>
        </is>
      </c>
    </row>
    <row r="21" ht="45" customHeight="1">
      <c r="A21" s="7" t="inlineStr">
        <is>
          <t>TC-M09-020</t>
        </is>
      </c>
      <c r="B21" s="7" t="inlineStr">
        <is>
          <t>Module 09 - Student Portal</t>
        </is>
      </c>
      <c r="C21" s="8" t="inlineStr">
        <is>
          <t>M09-F09</t>
        </is>
      </c>
      <c r="D21" s="9" t="inlineStr">
        <is>
          <t>Student Data Isolation</t>
        </is>
      </c>
      <c r="E21" s="9" t="inlineStr">
        <is>
          <t>Block Direct API Calls for Unauthenticated Grade Retrieval</t>
        </is>
      </c>
      <c r="F21" s="9" t="inlineStr">
        <is>
          <t>Verify backend grade fetch API rejects requests lacking valid session JWT token.</t>
        </is>
      </c>
      <c r="G21" s="9" t="inlineStr">
        <is>
          <t>Unauthenticated user.</t>
        </is>
      </c>
      <c r="H21" s="9" t="inlineStr">
        <is>
          <t>ApiEndpoint="GET /api/student/grades"</t>
        </is>
      </c>
      <c r="I21" s="9" t="inlineStr">
        <is>
          <t>1. Submit direct HTTP GET request to grade API without Authorization header.</t>
        </is>
      </c>
      <c r="J21" s="9" t="inlineStr">
        <is>
          <t>Backend rejects request with HTTP 401 Unauthorized.</t>
        </is>
      </c>
      <c r="K21" s="9" t="inlineStr"/>
      <c r="L21" s="5" t="inlineStr">
        <is>
          <t>Not Run</t>
        </is>
      </c>
      <c r="M21" s="6" t="inlineStr">
        <is>
          <t>High</t>
        </is>
      </c>
      <c r="N21" s="9" t="inlineStr">
        <is>
          <t>Related Requirement: M09-F09, Security Standards 7.1</t>
        </is>
      </c>
    </row>
    <row r="22" ht="60" customHeight="1">
      <c r="A22" s="2" t="inlineStr">
        <is>
          <t>TC-M09-021</t>
        </is>
      </c>
      <c r="B22" s="2" t="inlineStr">
        <is>
          <t>Module 09 - Student Portal</t>
        </is>
      </c>
      <c r="C22" s="3" t="inlineStr">
        <is>
          <t>M09-F10</t>
        </is>
      </c>
      <c r="D22" s="4" t="inlineStr">
        <is>
          <t>Responsive Design</t>
        </is>
      </c>
      <c r="E22" s="4" t="inlineStr">
        <is>
          <t>Verify Interface Rendering on Mobile Devices (Responsive UI)</t>
        </is>
      </c>
      <c r="F22" s="4" t="inlineStr">
        <is>
          <t>Verify Student Portal layout adapts cleanly to small screen viewports (smartphones/tablets).</t>
        </is>
      </c>
      <c r="G22" s="4" t="inlineStr">
        <is>
          <t>Student is logged into Student Portal. Browser viewport set to 375px width (iPhone dimensions).</t>
        </is>
      </c>
      <c r="H22" s="4" t="inlineStr">
        <is>
          <t>ViewportWidth="375px"</t>
        </is>
      </c>
      <c r="I22" s="4" t="inlineStr">
        <is>
          <t>1. Resize viewport to 375px width;
2. Inspect grade table, cards, navigation bar, and buttons.</t>
        </is>
      </c>
      <c r="J22" s="4" t="inlineStr">
        <is>
          <t>Layout stacks vertically without horizontal scroll overflow. Table scrolls smoothly or collapses into cards cleanly.</t>
        </is>
      </c>
      <c r="K22" s="4" t="inlineStr"/>
      <c r="L22" s="5" t="inlineStr">
        <is>
          <t>Not Run</t>
        </is>
      </c>
      <c r="M22" s="10" t="inlineStr">
        <is>
          <t>Medium</t>
        </is>
      </c>
      <c r="N22" s="4" t="inlineStr">
        <is>
          <t>Related Requirement: M09-F10, UI Standards</t>
        </is>
      </c>
    </row>
    <row r="23" ht="60" customHeight="1">
      <c r="A23" s="7" t="inlineStr">
        <is>
          <t>TC-M09-022</t>
        </is>
      </c>
      <c r="B23" s="7" t="inlineStr">
        <is>
          <t>Module 09 - Student Portal</t>
        </is>
      </c>
      <c r="C23" s="8" t="inlineStr">
        <is>
          <t>M09-F01</t>
        </is>
      </c>
      <c r="D23" s="9" t="inlineStr">
        <is>
          <t>Role-based Auto-login</t>
        </is>
      </c>
      <c r="E23" s="9" t="inlineStr">
        <is>
          <t>Verify Behavior when Session Expires (Google Sign-Out / Session Expiry)</t>
        </is>
      </c>
      <c r="F23" s="9" t="inlineStr">
        <is>
          <t>Verify system redirects student to login page when session token expires.</t>
        </is>
      </c>
      <c r="G23" s="9" t="inlineStr">
        <is>
          <t>Student session token has expired after period of inactivity.</t>
        </is>
      </c>
      <c r="H23" s="9" t="inlineStr">
        <is>
          <t>SessionState="Expired"</t>
        </is>
      </c>
      <c r="I23" s="9" t="inlineStr">
        <is>
          <t>1. Perform action on Student Portal after session expiration.</t>
        </is>
      </c>
      <c r="J23" s="9" t="inlineStr">
        <is>
          <t>System clears session state, displays notification "Session expired. Please sign in again", and redirects to login page.</t>
        </is>
      </c>
      <c r="K23" s="9" t="inlineStr"/>
      <c r="L23" s="5" t="inlineStr">
        <is>
          <t>Not Run</t>
        </is>
      </c>
      <c r="M23" s="6" t="inlineStr">
        <is>
          <t>High</t>
        </is>
      </c>
      <c r="N23" s="9" t="inlineStr">
        <is>
          <t>Related Requirement: M09-F01, Security Standards 7.2</t>
        </is>
      </c>
    </row>
    <row r="24" ht="45" customHeight="1">
      <c r="A24" s="2" t="inlineStr">
        <is>
          <t>TC-M09-023</t>
        </is>
      </c>
      <c r="B24" s="2" t="inlineStr">
        <is>
          <t>Module 09 - Student Portal</t>
        </is>
      </c>
      <c r="C24" s="3" t="inlineStr">
        <is>
          <t>M09-F02</t>
        </is>
      </c>
      <c r="D24" s="4" t="inlineStr">
        <is>
          <t>Semester Navigation</t>
        </is>
      </c>
      <c r="E24" s="4" t="inlineStr">
        <is>
          <t>Verify Validation of Invalid Semester Parameter (Semester Validation)</t>
        </is>
      </c>
      <c r="F24" s="4" t="inlineStr">
        <is>
          <t>Verify system handles invalid or non-existent semester parameters in URL gracefully.</t>
        </is>
      </c>
      <c r="G24" s="4" t="inlineStr">
        <is>
          <t>Student is logged into Student Portal.</t>
        </is>
      </c>
      <c r="H24" s="4" t="inlineStr">
        <is>
          <t>InvalidSemesterParam="semester=999"</t>
        </is>
      </c>
      <c r="I24" s="4" t="inlineStr">
        <is>
          <t>1. Navigate to Student Portal URL with parameter semester=999.</t>
        </is>
      </c>
      <c r="J24" s="4" t="inlineStr">
        <is>
          <t>System defaults to current active semester without crashing or throwing unhandled exception.</t>
        </is>
      </c>
      <c r="K24" s="4" t="inlineStr"/>
      <c r="L24" s="5" t="inlineStr">
        <is>
          <t>Not Run</t>
        </is>
      </c>
      <c r="M24" s="10" t="inlineStr">
        <is>
          <t>Medium</t>
        </is>
      </c>
      <c r="N24" s="4" t="inlineStr">
        <is>
          <t>Related Requirement: M09-F02, Error Handling 8.3</t>
        </is>
      </c>
    </row>
  </sheetData>
  <autoFilter ref="A1:N24"/>
  <dataValidations count="2">
    <dataValidation sqref="L2:L124" showDropDown="0" showInputMessage="0" showErrorMessage="0" allowBlank="1" errorTitle="Invalid Status" error="Please select a valid state: Passed, Failed, or Not Run" type="list">
      <formula1>"Passed,Failed,Not Run"</formula1>
    </dataValidation>
    <dataValidation sqref="M2:M124" showDropDown="0" showInputMessage="0" showErrorMessage="0" allowBlank="1" errorTitle="Invalid Priority" error="Please select a valid priority: High, Medium, or Low" type="list">
      <formula1>"High,Medium,Low"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2026-07-23T01:56:12Z</dcterms:created>
  <dcterms:modified xsi:type="dcterms:W3CDTF">2026-07-23T01:56:13Z</dcterms:modified>
</cp:coreProperties>
</file>