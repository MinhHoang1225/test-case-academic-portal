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Module09" sheetId="2" state="visible" r:id="rId2"/>
  </sheets>
  <definedNames>
    <definedName name="_xlnm._FilterDatabase" localSheetId="1" hidden="1">'Module09'!$A$1:$N$24</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Segoe UI"/>
      <b val="1"/>
      <color rgb="00FFFFFF"/>
      <sz val="11"/>
    </font>
    <font>
      <name val="Segoe UI"/>
      <color rgb="00000000"/>
      <sz val="10"/>
    </font>
    <font>
      <name val="Segoe UI"/>
      <b val="1"/>
      <color rgb="001F4E78"/>
      <sz val="10"/>
    </font>
    <font>
      <name val="Segoe UI"/>
      <b val="1"/>
      <color rgb="0064748B"/>
      <sz val="10"/>
    </font>
    <font>
      <name val="Segoe UI"/>
      <b val="1"/>
      <color rgb="00A50E0E"/>
      <sz val="10"/>
    </font>
    <font>
      <name val="Segoe UI"/>
      <b val="1"/>
      <color rgb="00B06000"/>
      <sz val="10"/>
    </font>
    <font>
      <name val="Segoe UI"/>
      <b val="1"/>
      <color rgb="001F4E78"/>
      <sz val="16"/>
    </font>
    <font>
      <name val="Segoe UI"/>
      <i val="1"/>
      <color rgb="00555555"/>
      <sz val="10"/>
    </font>
    <font>
      <name val="Segoe UI"/>
      <b val="1"/>
      <color rgb="00137333"/>
      <sz val="10"/>
    </font>
    <font>
      <name val="Segoe UI"/>
      <b val="1"/>
      <color rgb="00000000"/>
      <sz val="10"/>
    </font>
    <font>
      <name val="Segoe UI"/>
      <b val="1"/>
      <color rgb="0064748B"/>
      <sz val="9"/>
    </font>
    <font>
      <name val="Segoe UI"/>
      <b val="1"/>
      <color rgb="001E293B"/>
      <sz val="18"/>
    </font>
    <font>
      <name val="Segoe UI"/>
      <b val="1"/>
      <color rgb="001F4E78"/>
      <sz val="18"/>
    </font>
    <font>
      <name val="Segoe UI"/>
      <b val="1"/>
      <color rgb="00A50E0E"/>
      <sz val="18"/>
    </font>
    <font>
      <name val="Segoe UI"/>
      <b val="1"/>
      <color rgb="00B06000"/>
      <sz val="18"/>
    </font>
    <font>
      <name val="Segoe UI"/>
      <b val="1"/>
      <color rgb="00137333"/>
      <sz val="18"/>
    </font>
    <font>
      <name val="Segoe UI"/>
      <b val="1"/>
      <color rgb="001F4E78"/>
      <sz val="12"/>
    </font>
  </fonts>
  <fills count="9">
    <fill>
      <patternFill/>
    </fill>
    <fill>
      <patternFill patternType="gray125"/>
    </fill>
    <fill>
      <patternFill patternType="solid">
        <fgColor rgb="001F4E78"/>
        <bgColor rgb="001F4E78"/>
      </patternFill>
    </fill>
    <fill>
      <patternFill patternType="solid">
        <fgColor rgb="00F1F5F9"/>
        <bgColor rgb="00F1F5F9"/>
      </patternFill>
    </fill>
    <fill>
      <patternFill patternType="solid">
        <fgColor rgb="00FCE8E6"/>
        <bgColor rgb="00FCE8E6"/>
      </patternFill>
    </fill>
    <fill>
      <patternFill patternType="solid">
        <fgColor rgb="00F8FAFC"/>
        <bgColor rgb="00F8FAFC"/>
      </patternFill>
    </fill>
    <fill>
      <patternFill patternType="solid">
        <fgColor rgb="00FEF7E0"/>
        <bgColor rgb="00FEF7E0"/>
      </patternFill>
    </fill>
    <fill>
      <patternFill patternType="solid">
        <fgColor rgb="00E2E8F0"/>
        <bgColor rgb="00E2E8F0"/>
      </patternFill>
    </fill>
    <fill>
      <patternFill patternType="solid">
        <fgColor rgb="00E6F4EA"/>
        <bgColor rgb="00E6F4EA"/>
      </patternFill>
    </fill>
  </fills>
  <borders count="3">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medium">
        <color rgb="001E293B"/>
      </top>
      <bottom style="double">
        <color rgb="001E293B"/>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3"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2" fillId="5" borderId="1" applyAlignment="1" pivotButton="0" quotePrefix="0" xfId="0">
      <alignment horizontal="center" vertical="top" wrapText="1"/>
    </xf>
    <xf numFmtId="0" fontId="3" fillId="5" borderId="1" applyAlignment="1" pivotButton="0" quotePrefix="0" xfId="0">
      <alignment horizontal="center" vertical="top" wrapText="1"/>
    </xf>
    <xf numFmtId="0" fontId="2" fillId="5" borderId="1" applyAlignment="1" pivotButton="0" quotePrefix="0" xfId="0">
      <alignment horizontal="left" vertical="top" wrapText="1"/>
    </xf>
    <xf numFmtId="0" fontId="6" fillId="6" borderId="1" applyAlignment="1" pivotButton="0" quotePrefix="0" xfId="0">
      <alignment horizontal="center" vertical="top" wrapText="1"/>
    </xf>
    <xf numFmtId="0" fontId="7" fillId="0" borderId="0" pivotButton="0" quotePrefix="0" xfId="0"/>
    <xf numFmtId="0" fontId="8" fillId="0" borderId="0" pivotButton="0" quotePrefix="0" xfId="0"/>
    <xf numFmtId="0" fontId="11" fillId="0" borderId="0" applyAlignment="1" pivotButton="0" quotePrefix="0" xfId="0">
      <alignment horizontal="center" vertical="center"/>
    </xf>
    <xf numFmtId="0" fontId="12" fillId="3" borderId="1" applyAlignment="1" pivotButton="0" quotePrefix="0" xfId="0">
      <alignment horizontal="center" vertical="center"/>
    </xf>
    <xf numFmtId="0" fontId="13" fillId="7" borderId="1" applyAlignment="1" pivotButton="0" quotePrefix="0" xfId="0">
      <alignment horizontal="center" vertical="center"/>
    </xf>
    <xf numFmtId="0" fontId="14" fillId="4" borderId="1" applyAlignment="1" pivotButton="0" quotePrefix="0" xfId="0">
      <alignment horizontal="center" vertical="center"/>
    </xf>
    <xf numFmtId="0" fontId="15" fillId="6" borderId="1" applyAlignment="1" pivotButton="0" quotePrefix="0" xfId="0">
      <alignment horizontal="center" vertical="center"/>
    </xf>
    <xf numFmtId="0" fontId="16" fillId="8" borderId="1" applyAlignment="1" pivotButton="0" quotePrefix="0" xfId="0">
      <alignment horizontal="center" vertical="center"/>
    </xf>
    <xf numFmtId="0" fontId="17"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left" vertical="center"/>
    </xf>
    <xf numFmtId="0" fontId="3" fillId="5" borderId="1" applyAlignment="1" pivotButton="0" quotePrefix="0" xfId="0">
      <alignment horizontal="center" vertical="center"/>
    </xf>
    <xf numFmtId="0" fontId="2" fillId="5" borderId="1" applyAlignment="1" pivotButton="0" quotePrefix="0" xfId="0">
      <alignment horizontal="left" vertical="center"/>
    </xf>
    <xf numFmtId="0" fontId="5" fillId="5" borderId="1" applyAlignment="1" pivotButton="0" quotePrefix="0" xfId="0">
      <alignment horizontal="center" vertical="center"/>
    </xf>
    <xf numFmtId="0" fontId="6" fillId="5" borderId="1" applyAlignment="1" pivotButton="0" quotePrefix="0" xfId="0">
      <alignment horizontal="center" vertical="center"/>
    </xf>
    <xf numFmtId="0" fontId="9" fillId="5" borderId="1" applyAlignment="1" pivotButton="0" quotePrefix="0" xfId="0">
      <alignment horizontal="center" vertical="center"/>
    </xf>
    <xf numFmtId="0" fontId="2" fillId="5"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2" fillId="0" borderId="1" applyAlignment="1" pivotButton="0" quotePrefix="0" xfId="0">
      <alignment horizontal="center" vertical="center"/>
    </xf>
    <xf numFmtId="0" fontId="10" fillId="7" borderId="2" applyAlignment="1" pivotButton="0" quotePrefix="0" xfId="0">
      <alignment horizontal="center" vertical="center"/>
    </xf>
    <xf numFmtId="0" fontId="10" fillId="7"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Test Cases by Feature (Grouped by Priority)</a:t>
            </a:r>
          </a:p>
        </rich>
      </tx>
    </title>
    <plotArea>
      <barChart>
        <barDir val="col"/>
        <grouping val="clustered"/>
        <ser>
          <idx val="0"/>
          <order val="0"/>
          <tx>
            <strRef>
              <f>'Report'!C8</f>
            </strRef>
          </tx>
          <spPr>
            <a:solidFill xmlns:a="http://schemas.openxmlformats.org/drawingml/2006/main">
              <a:srgbClr val="FF0000"/>
            </a:solidFill>
            <a:ln xmlns:a="http://schemas.openxmlformats.org/drawingml/2006/main">
              <a:prstDash val="solid"/>
            </a:ln>
          </spPr>
          <cat>
            <numRef>
              <f>'Report'!$A$9:$A$16</f>
            </numRef>
          </cat>
          <val>
            <numRef>
              <f>'Report'!$C$9:$C$16</f>
            </numRef>
          </val>
        </ser>
        <ser>
          <idx val="1"/>
          <order val="1"/>
          <tx>
            <strRef>
              <f>'Report'!D8</f>
            </strRef>
          </tx>
          <spPr>
            <a:solidFill xmlns:a="http://schemas.openxmlformats.org/drawingml/2006/main">
              <a:srgbClr val="FFFF00"/>
            </a:solidFill>
            <a:ln xmlns:a="http://schemas.openxmlformats.org/drawingml/2006/main">
              <a:prstDash val="solid"/>
            </a:ln>
          </spPr>
          <cat>
            <numRef>
              <f>'Report'!$A$9:$A$16</f>
            </numRef>
          </cat>
          <val>
            <numRef>
              <f>'Report'!$D$9:$D$16</f>
            </numRef>
          </val>
        </ser>
        <ser>
          <idx val="2"/>
          <order val="2"/>
          <tx>
            <strRef>
              <f>'Report'!E8</f>
            </strRef>
          </tx>
          <spPr>
            <a:solidFill xmlns:a="http://schemas.openxmlformats.org/drawingml/2006/main">
              <a:srgbClr val="00FF00"/>
            </a:solidFill>
            <a:ln xmlns:a="http://schemas.openxmlformats.org/drawingml/2006/main">
              <a:prstDash val="solid"/>
            </a:ln>
          </spPr>
          <cat>
            <numRef>
              <f>'Report'!$A$9:$A$16</f>
            </numRef>
          </cat>
          <val>
            <numRef>
              <f>'Report'!$E$9:$E$16</f>
            </numRef>
          </val>
        </ser>
        <gapWidth val="150"/>
        <overlap val="-20"/>
        <axId val="10"/>
        <axId val="100"/>
      </barChart>
      <catAx>
        <axId val="10"/>
        <scaling>
          <orientation val="minMax"/>
        </scaling>
        <axPos val="l"/>
        <title>
          <tx>
            <rich>
              <a:bodyPr xmlns:a="http://schemas.openxmlformats.org/drawingml/2006/main"/>
              <a:p xmlns:a="http://schemas.openxmlformats.org/drawingml/2006/main">
                <a:pPr>
                  <a:defRPr/>
                </a:pPr>
                <a:r>
                  <a:t>Feature ID</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Number of Test Cases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7</col>
      <colOff>0</colOff>
      <row>3</row>
      <rowOff>0</rowOff>
    </from>
    <ext cx="7920000" cy="50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7"/>
  <sheetViews>
    <sheetView showGridLines="1" workbookViewId="0">
      <selection activeCell="A1" sqref="A1"/>
    </sheetView>
  </sheetViews>
  <sheetFormatPr baseColWidth="8" defaultRowHeight="15"/>
  <cols>
    <col width="16" customWidth="1" min="1" max="1"/>
    <col width="32" customWidth="1" min="2" max="2"/>
    <col width="16" customWidth="1" min="3" max="3"/>
    <col width="16" customWidth="1" min="4" max="4"/>
    <col width="16" customWidth="1" min="5" max="5"/>
    <col width="16" customWidth="1" min="6" max="6"/>
  </cols>
  <sheetData>
    <row r="1">
      <c r="A1" s="11" t="inlineStr">
        <is>
          <t>Module 09 - Feature &amp; Priority Summary Report</t>
        </is>
      </c>
    </row>
    <row r="2">
      <c r="A2" s="12" t="inlineStr">
        <is>
          <t>Summary of test cases per feature, calculated via Excel formulas</t>
        </is>
      </c>
    </row>
    <row r="4" ht="18" customHeight="1">
      <c r="A4" s="13" t="inlineStr">
        <is>
          <t>Total Features</t>
        </is>
      </c>
      <c r="B4" s="13" t="inlineStr">
        <is>
          <t>Total Test Cases</t>
        </is>
      </c>
      <c r="C4" s="13" t="inlineStr">
        <is>
          <t>High Priority Features</t>
        </is>
      </c>
      <c r="D4" s="13" t="inlineStr">
        <is>
          <t>Medium Priority Features</t>
        </is>
      </c>
      <c r="E4" s="13" t="inlineStr">
        <is>
          <t>Low Priority Features</t>
        </is>
      </c>
    </row>
    <row r="5" ht="32" customHeight="1">
      <c r="A5" s="14">
        <f>COUNTA(A9:A16)</f>
        <v/>
      </c>
      <c r="B5" s="15">
        <f>F17</f>
        <v/>
      </c>
      <c r="C5" s="16">
        <f>COUNTIF(C9:C16, "&gt;0")</f>
        <v/>
      </c>
      <c r="D5" s="17">
        <f>COUNTIFS(C9:C16, 0, D9:D16, "&gt;0")</f>
        <v/>
      </c>
      <c r="E5" s="18">
        <f>COUNTIFS(C9:C16, 0, D9:D16, 0, E9:E16, "&gt;0")</f>
        <v/>
      </c>
    </row>
    <row r="7">
      <c r="A7" s="19" t="inlineStr">
        <is>
          <t>Feature Categorization &amp; Priority Breakdown</t>
        </is>
      </c>
    </row>
    <row r="8" ht="26" customHeight="1">
      <c r="A8" s="20" t="inlineStr">
        <is>
          <t>Feature ID</t>
        </is>
      </c>
      <c r="B8" s="21" t="inlineStr">
        <is>
          <t>Feature Name</t>
        </is>
      </c>
      <c r="C8" s="20" t="inlineStr">
        <is>
          <t>High Priority</t>
        </is>
      </c>
      <c r="D8" s="20" t="inlineStr">
        <is>
          <t>Medium Priority</t>
        </is>
      </c>
      <c r="E8" s="20" t="inlineStr">
        <is>
          <t>Low Priority</t>
        </is>
      </c>
      <c r="F8" s="20" t="inlineStr">
        <is>
          <t>Total TCs</t>
        </is>
      </c>
    </row>
    <row r="9" ht="22" customHeight="1">
      <c r="A9" s="22" t="inlineStr">
        <is>
          <t>M09-F01</t>
        </is>
      </c>
      <c r="B9" s="23" t="inlineStr">
        <is>
          <t>Role-based Auto-login</t>
        </is>
      </c>
      <c r="C9" s="24">
        <f>COUNTIFS('Module09'!$C$2:$C$24, A9, 'Module09'!$M$2:$M$24, "High")</f>
        <v/>
      </c>
      <c r="D9" s="25">
        <f>COUNTIFS('Module09'!$C$2:$C$24, A9, 'Module09'!$M$2:$M$24, "Medium")</f>
        <v/>
      </c>
      <c r="E9" s="26">
        <f>COUNTIFS('Module09'!$C$2:$C$24, A9, 'Module09'!$M$2:$M$24, "Low")</f>
        <v/>
      </c>
      <c r="F9" s="27">
        <f>SUM(C9:E9)</f>
        <v/>
      </c>
    </row>
    <row r="10" ht="22" customHeight="1">
      <c r="A10" s="28" t="inlineStr">
        <is>
          <t>M09-F02</t>
        </is>
      </c>
      <c r="B10" s="29" t="inlineStr">
        <is>
          <t>Read-only Academic View</t>
        </is>
      </c>
      <c r="C10" s="30">
        <f>COUNTIFS('Module09'!$C$2:$C$24, A10, 'Module09'!$M$2:$M$24, "High")</f>
        <v/>
      </c>
      <c r="D10" s="31">
        <f>COUNTIFS('Module09'!$C$2:$C$24, A10, 'Module09'!$M$2:$M$24, "Medium")</f>
        <v/>
      </c>
      <c r="E10" s="32">
        <f>COUNTIFS('Module09'!$C$2:$C$24, A10, 'Module09'!$M$2:$M$24, "Low")</f>
        <v/>
      </c>
      <c r="F10" s="33">
        <f>SUM(C10:E10)</f>
        <v/>
      </c>
    </row>
    <row r="11" ht="22" customHeight="1">
      <c r="A11" s="22" t="inlineStr">
        <is>
          <t>M09-F03</t>
        </is>
      </c>
      <c r="B11" s="23" t="inlineStr">
        <is>
          <t>Empty Grade Display</t>
        </is>
      </c>
      <c r="C11" s="24">
        <f>COUNTIFS('Module09'!$C$2:$C$24, A11, 'Module09'!$M$2:$M$24, "High")</f>
        <v/>
      </c>
      <c r="D11" s="25">
        <f>COUNTIFS('Module09'!$C$2:$C$24, A11, 'Module09'!$M$2:$M$24, "Medium")</f>
        <v/>
      </c>
      <c r="E11" s="26">
        <f>COUNTIFS('Module09'!$C$2:$C$24, A11, 'Module09'!$M$2:$M$24, "Low")</f>
        <v/>
      </c>
      <c r="F11" s="27">
        <f>SUM(C11:E11)</f>
        <v/>
      </c>
    </row>
    <row r="12" ht="22" customHeight="1">
      <c r="A12" s="28" t="inlineStr">
        <is>
          <t>M09-F04</t>
        </is>
      </c>
      <c r="B12" s="29" t="inlineStr">
        <is>
          <t>Score Color Coding</t>
        </is>
      </c>
      <c r="C12" s="30">
        <f>COUNTIFS('Module09'!$C$2:$C$24, A12, 'Module09'!$M$2:$M$24, "High")</f>
        <v/>
      </c>
      <c r="D12" s="31">
        <f>COUNTIFS('Module09'!$C$2:$C$24, A12, 'Module09'!$M$2:$M$24, "Medium")</f>
        <v/>
      </c>
      <c r="E12" s="32">
        <f>COUNTIFS('Module09'!$C$2:$C$24, A12, 'Module09'!$M$2:$M$24, "Low")</f>
        <v/>
      </c>
      <c r="F12" s="33">
        <f>SUM(C12:E12)</f>
        <v/>
      </c>
    </row>
    <row r="13" ht="22" customHeight="1">
      <c r="A13" s="22" t="inlineStr">
        <is>
          <t>M09-F05</t>
        </is>
      </c>
      <c r="B13" s="23" t="inlineStr">
        <is>
          <t>Re-study Flag Display</t>
        </is>
      </c>
      <c r="C13" s="24">
        <f>COUNTIFS('Module09'!$C$2:$C$24, A13, 'Module09'!$M$2:$M$24, "High")</f>
        <v/>
      </c>
      <c r="D13" s="25">
        <f>COUNTIFS('Module09'!$C$2:$C$24, A13, 'Module09'!$M$2:$M$24, "Medium")</f>
        <v/>
      </c>
      <c r="E13" s="26">
        <f>COUNTIFS('Module09'!$C$2:$C$24, A13, 'Module09'!$M$2:$M$24, "Low")</f>
        <v/>
      </c>
      <c r="F13" s="27">
        <f>SUM(C13:E13)</f>
        <v/>
      </c>
    </row>
    <row r="14" ht="22" customHeight="1">
      <c r="A14" s="28" t="inlineStr">
        <is>
          <t>M09-F06</t>
        </is>
      </c>
      <c r="B14" s="29" t="inlineStr">
        <is>
          <t>Quick Access to Bi-Weekly Reports</t>
        </is>
      </c>
      <c r="C14" s="30">
        <f>COUNTIFS('Module09'!$C$2:$C$24, A14, 'Module09'!$M$2:$M$24, "High")</f>
        <v/>
      </c>
      <c r="D14" s="31">
        <f>COUNTIFS('Module09'!$C$2:$C$24, A14, 'Module09'!$M$2:$M$24, "Medium")</f>
        <v/>
      </c>
      <c r="E14" s="32">
        <f>COUNTIFS('Module09'!$C$2:$C$24, A14, 'Module09'!$M$2:$M$24, "Low")</f>
        <v/>
      </c>
      <c r="F14" s="33">
        <f>SUM(C14:E14)</f>
        <v/>
      </c>
    </row>
    <row r="15" ht="22" customHeight="1">
      <c r="A15" s="22" t="inlineStr">
        <is>
          <t>M09-F07</t>
        </is>
      </c>
      <c r="B15" s="23" t="inlineStr">
        <is>
          <t>Data Isolation</t>
        </is>
      </c>
      <c r="C15" s="24">
        <f>COUNTIFS('Module09'!$C$2:$C$24, A15, 'Module09'!$M$2:$M$24, "High")</f>
        <v/>
      </c>
      <c r="D15" s="25">
        <f>COUNTIFS('Module09'!$C$2:$C$24, A15, 'Module09'!$M$2:$M$24, "Medium")</f>
        <v/>
      </c>
      <c r="E15" s="26">
        <f>COUNTIFS('Module09'!$C$2:$C$24, A15, 'Module09'!$M$2:$M$24, "Low")</f>
        <v/>
      </c>
      <c r="F15" s="27">
        <f>SUM(C15:E15)</f>
        <v/>
      </c>
    </row>
    <row r="16" ht="22" customHeight="1">
      <c r="A16" s="28" t="inlineStr">
        <is>
          <t>M09-UI</t>
        </is>
      </c>
      <c r="B16" s="29" t="inlineStr">
        <is>
          <t>User Interface &amp; Responsiveness</t>
        </is>
      </c>
      <c r="C16" s="30">
        <f>COUNTIFS('Module09'!$C$2:$C$24, A16, 'Module09'!$M$2:$M$24, "High")</f>
        <v/>
      </c>
      <c r="D16" s="31">
        <f>COUNTIFS('Module09'!$C$2:$C$24, A16, 'Module09'!$M$2:$M$24, "Medium")</f>
        <v/>
      </c>
      <c r="E16" s="32">
        <f>COUNTIFS('Module09'!$C$2:$C$24, A16, 'Module09'!$M$2:$M$24, "Low")</f>
        <v/>
      </c>
      <c r="F16" s="33">
        <f>SUM(C16:E16)</f>
        <v/>
      </c>
    </row>
    <row r="17" ht="24" customHeight="1">
      <c r="A17" s="34" t="inlineStr">
        <is>
          <t>Total</t>
        </is>
      </c>
      <c r="B17" s="35">
        <f>COUNTA(A9:A16)&amp;" Features"</f>
        <v/>
      </c>
      <c r="C17" s="34">
        <f>SUM(C9:C16)</f>
        <v/>
      </c>
      <c r="D17" s="34">
        <f>SUM(D9:D16)</f>
        <v/>
      </c>
      <c r="E17" s="34">
        <f>SUM(E9:E16)</f>
        <v/>
      </c>
      <c r="F17" s="34">
        <f>SUM(F9:F16)</f>
        <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24"/>
  <sheetViews>
    <sheetView showGridLines="1" workbookViewId="0">
      <selection activeCell="A1" sqref="A1"/>
    </sheetView>
  </sheetViews>
  <sheetFormatPr baseColWidth="8" defaultRowHeight="15"/>
  <cols>
    <col width="15" customWidth="1" min="1" max="1"/>
    <col width="14" customWidth="1" min="2" max="2"/>
    <col width="14" customWidth="1" min="3" max="3"/>
    <col width="28" customWidth="1" min="4" max="4"/>
    <col width="32" customWidth="1" min="5" max="5"/>
    <col width="36" customWidth="1" min="6" max="6"/>
    <col width="30" customWidth="1" min="7" max="7"/>
    <col width="28" customWidth="1" min="8" max="8"/>
    <col width="48" customWidth="1" min="9" max="9"/>
    <col width="48" customWidth="1" min="10" max="10"/>
    <col width="36" customWidth="1" min="11" max="11"/>
    <col width="16" customWidth="1" min="12" max="12"/>
    <col width="14" customWidth="1" min="13" max="13"/>
    <col width="32" customWidth="1" min="14" max="14"/>
  </cols>
  <sheetData>
    <row r="1" ht="28" customHeight="1">
      <c r="A1" s="1" t="inlineStr">
        <is>
          <t>ID</t>
        </is>
      </c>
      <c r="B1" s="1" t="inlineStr">
        <is>
          <t>Module</t>
        </is>
      </c>
      <c r="C1" s="1" t="inlineStr">
        <is>
          <t>Feature ID</t>
        </is>
      </c>
      <c r="D1" s="1" t="inlineStr">
        <is>
          <t>Feature Name</t>
        </is>
      </c>
      <c r="E1" s="1" t="inlineStr">
        <is>
          <t>Title</t>
        </is>
      </c>
      <c r="F1" s="1" t="inlineStr">
        <is>
          <t>Objective</t>
        </is>
      </c>
      <c r="G1" s="1" t="inlineStr">
        <is>
          <t>Preconditions</t>
        </is>
      </c>
      <c r="H1" s="1" t="inlineStr">
        <is>
          <t>TestData</t>
        </is>
      </c>
      <c r="I1" s="1" t="inlineStr">
        <is>
          <t>Steps</t>
        </is>
      </c>
      <c r="J1" s="1" t="inlineStr">
        <is>
          <t>ExpectedResult</t>
        </is>
      </c>
      <c r="K1" s="1" t="inlineStr">
        <is>
          <t>Actual Result</t>
        </is>
      </c>
      <c r="L1" s="1" t="inlineStr">
        <is>
          <t>Status</t>
        </is>
      </c>
      <c r="M1" s="1" t="inlineStr">
        <is>
          <t>Priority</t>
        </is>
      </c>
      <c r="N1" s="1" t="inlineStr">
        <is>
          <t>Notes</t>
        </is>
      </c>
    </row>
    <row r="2" ht="135" customHeight="1">
      <c r="A2" s="2" t="inlineStr">
        <is>
          <t>TC-M09-001</t>
        </is>
      </c>
      <c r="B2" s="2" t="inlineStr">
        <is>
          <t>Module 09 – Student Portal</t>
        </is>
      </c>
      <c r="C2" s="3" t="inlineStr">
        <is>
          <t>M09-F01</t>
        </is>
      </c>
      <c r="D2" s="4" t="inlineStr">
        <is>
          <t>Role-based Auto-login</t>
        </is>
      </c>
      <c r="E2" s="4" t="inlineStr">
        <is>
          <t>Log in with a valid Student account</t>
        </is>
      </c>
      <c r="F2" s="4" t="inlineStr">
        <is>
          <t>Verify student co email thuoc domain @student.passerellesnumeriques.org log in successfully vao Student Portal qua Google OAuth.</t>
        </is>
      </c>
      <c r="G2" s="4" t="inlineStr">
        <is>
          <t>Nguoi dung chua log in system. Trinh duyet da ket noi internet va ho tro Google OAuth.</t>
        </is>
      </c>
      <c r="H2" s="4" t="inlineStr">
        <is>
          <t>UserEmail=student01@student.passerellesnumeriques.org; Role=Student</t>
        </is>
      </c>
      <c r="I2" s="4" t="inlineStr">
        <is>
          <t>1. Truy cap URL cua system.
2. Tai man hinh log in Google OAuth, enter account student01@student.passerellesnumeriques.org.
3. Enter mat khau hop le va dong y cap quyen neu co.
4. Observe trang web sau khi redirect.</t>
        </is>
      </c>
      <c r="J2" s="4" t="inlineStr">
        <is>
          <t>Log in successfully. Interface tu dong redirect den Student Portal (mac dinh mo tab Academic).
Thong tin cua student display chinh xac bao gom Ho ten, Ma student o goc man hinh.
Du lieu grade hoc tap cua chinh student nay duoc tai len successfully.</t>
        </is>
      </c>
      <c r="K2" s="4" t="inlineStr"/>
      <c r="L2" s="5" t="inlineStr">
        <is>
          <t>Not Run</t>
        </is>
      </c>
      <c r="M2" s="6" t="inlineStr">
        <is>
          <t>High</t>
        </is>
      </c>
      <c r="N2" s="4" t="inlineStr">
        <is>
          <t>Related to M09-F01, M09-F07, Rule 7.1, Rule 7.9</t>
        </is>
      </c>
    </row>
    <row r="3" ht="105" customHeight="1">
      <c r="A3" s="7" t="inlineStr">
        <is>
          <t>TC-M09-002</t>
        </is>
      </c>
      <c r="B3" s="7" t="inlineStr">
        <is>
          <t>Module 09 – Student Portal</t>
        </is>
      </c>
      <c r="C3" s="8" t="inlineStr">
        <is>
          <t>M09-F01</t>
        </is>
      </c>
      <c r="D3" s="9" t="inlineStr">
        <is>
          <t>Role-based Auto-login</t>
        </is>
      </c>
      <c r="E3" s="9" t="inlineStr">
        <is>
          <t>Log in with an organization Staff account</t>
        </is>
      </c>
      <c r="F3" s="9" t="inlineStr">
        <is>
          <t>Verify account Staff khi log in qua Google OAuth se duoc tu dong nhan dien domain va redirect den Staff Portal thay vi Student Portal.</t>
        </is>
      </c>
      <c r="G3" s="9" t="inlineStr">
        <is>
          <t>Nguoi dung chua log in system.</t>
        </is>
      </c>
      <c r="H3" s="9" t="inlineStr">
        <is>
          <t>UserEmail=staff_user@passerellesnumeriques.org; Role=Staff</t>
        </is>
      </c>
      <c r="I3" s="9" t="inlineStr">
        <is>
          <t>1. Truy cap URL cua system.
2. Thuc hien log in qua Google OAuth bang account staff_user@passerellesnumeriques.org.
3. Observe interface sau khi log in successfully.</t>
        </is>
      </c>
      <c r="J3" s="9" t="inlineStr">
        <is>
          <t>Log in successfully.
System tu dong nhan dien email thuoc domain @passerellesnumeriques.org.
Chuyen huong user sang Staff Portal voi day du tinh nang quan tri. Khong display interface Student Portal.</t>
        </is>
      </c>
      <c r="K3" s="9" t="inlineStr"/>
      <c r="L3" s="5" t="inlineStr">
        <is>
          <t>Not Run</t>
        </is>
      </c>
      <c r="M3" s="6" t="inlineStr">
        <is>
          <t>High</t>
        </is>
      </c>
      <c r="N3" s="9" t="inlineStr">
        <is>
          <t>Related to M09-F01, Rule 7.1, Docs - Section 6</t>
        </is>
      </c>
    </row>
    <row r="4" ht="105" customHeight="1">
      <c r="A4" s="2" t="inlineStr">
        <is>
          <t>TC-M09-003</t>
        </is>
      </c>
      <c r="B4" s="2" t="inlineStr">
        <is>
          <t>Module 09 – Student Portal</t>
        </is>
      </c>
      <c r="C4" s="3" t="inlineStr">
        <is>
          <t>M09-F01</t>
        </is>
      </c>
      <c r="D4" s="4" t="inlineStr">
        <is>
          <t>Role-based Auto-login</t>
        </is>
      </c>
      <c r="E4" s="4" t="inlineStr">
        <is>
          <t>Log in with an external personal account</t>
        </is>
      </c>
      <c r="F4" s="4" t="inlineStr">
        <is>
          <t>Verify account email khong thuoc cac domain cua organization (e.g. @gmail.com) bi system chan access.</t>
        </is>
      </c>
      <c r="G4" s="4" t="inlineStr">
        <is>
          <t>Nguoi dung chua log in system.</t>
        </is>
      </c>
      <c r="H4" s="4" t="inlineStr">
        <is>
          <t>UserEmail=guest_user@gmail.com; Role=Guest</t>
        </is>
      </c>
      <c r="I4" s="4" t="inlineStr">
        <is>
          <t>1. Truy cap URL cua system.
2. Thuc hien log in qua Google OAuth bang account guest_user@gmail.com.
3. Observe phan hoi cua system.</t>
        </is>
      </c>
      <c r="J4" s="4" t="inlineStr">
        <is>
          <t>Log in failed.
System denies quyen access cua email domain @gmail.com.
Chuyen huong user sang trang bao error "Access Denied" (Tu choi access). Khong tai bat ky du lieu nao cua system.</t>
        </is>
      </c>
      <c r="K4" s="4" t="inlineStr"/>
      <c r="L4" s="5" t="inlineStr">
        <is>
          <t>Not Run</t>
        </is>
      </c>
      <c r="M4" s="6" t="inlineStr">
        <is>
          <t>High</t>
        </is>
      </c>
      <c r="N4" s="4" t="inlineStr">
        <is>
          <t>Related to M09-F01, Rule 7.1, Error Handling (Section 9)</t>
        </is>
      </c>
    </row>
    <row r="5" ht="105" customHeight="1">
      <c r="A5" s="7" t="inlineStr">
        <is>
          <t>TC-M09-004</t>
        </is>
      </c>
      <c r="B5" s="7" t="inlineStr">
        <is>
          <t>Module 09 – Student Portal</t>
        </is>
      </c>
      <c r="C5" s="8" t="inlineStr">
        <is>
          <t>M09-F01</t>
        </is>
      </c>
      <c r="D5" s="9" t="inlineStr">
        <is>
          <t>Role-based Auto-login</t>
        </is>
      </c>
      <c r="E5" s="9" t="inlineStr">
        <is>
          <t>Log in with valid student email but without academic records in system</t>
        </is>
      </c>
      <c r="F5" s="9" t="inlineStr">
        <is>
          <t>Verify system khong bi error crash va display thong diep phu hop khi email student thuoc domain hop le nhung khong nam trong danh sach du lieu student.</t>
        </is>
      </c>
      <c r="G5" s="9" t="inlineStr">
        <is>
          <t>Nguoi dung chua log in system. Tai khoan Google student ton tai nhung email nay chua duoc cau hinh trong Sheet danh sach student.</t>
        </is>
      </c>
      <c r="H5" s="9" t="inlineStr">
        <is>
          <t>UserEmail=new_student@student.passerellesnumeriques.org</t>
        </is>
      </c>
      <c r="I5" s="9" t="inlineStr">
        <is>
          <t>1. Truy cap URL cua system.
2. Thuc hien log in qua Google OAuth bang account new_student@student.passerellesnumeriques.org.
3. Observe interface sau khi redirect successfully.</t>
        </is>
      </c>
      <c r="J5" s="9" t="inlineStr">
        <is>
          <t>Log in successfully vao Student Portal.
System khong bi error crash/trang man hinh.
Hien thi notification ro rang cho user: "No academic records found." (Khong tim thay du lieu hoc tap).</t>
        </is>
      </c>
      <c r="K5" s="9" t="inlineStr"/>
      <c r="L5" s="5" t="inlineStr">
        <is>
          <t>Not Run</t>
        </is>
      </c>
      <c r="M5" s="6" t="inlineStr">
        <is>
          <t>High</t>
        </is>
      </c>
      <c r="N5" s="9" t="inlineStr">
        <is>
          <t>Related to M09-F01, M09-F07, Error Handling (Section 9)</t>
        </is>
      </c>
    </row>
    <row r="6" ht="180" customHeight="1">
      <c r="A6" s="2" t="inlineStr">
        <is>
          <t>TC-M09-005</t>
        </is>
      </c>
      <c r="B6" s="2" t="inlineStr">
        <is>
          <t>Module 09 – Student Portal</t>
        </is>
      </c>
      <c r="C6" s="3" t="inlineStr">
        <is>
          <t>M09-F02</t>
        </is>
      </c>
      <c r="D6" s="4" t="inlineStr">
        <is>
          <t>Read-only Academic View</t>
        </is>
      </c>
      <c r="E6" s="4" t="inlineStr">
        <is>
          <t>Switching between semesters (Semester Selector)</t>
        </is>
      </c>
      <c r="F6" s="4" t="inlineStr">
        <is>
          <t>Verify tinh nang switching semester display dung du lieu grade cua semester duoc select.</t>
        </is>
      </c>
      <c r="G6" s="4" t="inlineStr">
        <is>
          <t>Hoc sinh da log in successfully vao Student Portal.
Hoc sinh nay da co du lieu grade o nhieu semester (e.g.: Semester 1 va Semester 2).</t>
        </is>
      </c>
      <c r="H6" s="4" t="inlineStr">
        <is>
          <t>StudentCode=PNV26001; TargetSemester=Semester 2</t>
        </is>
      </c>
      <c r="I6" s="4" t="inlineStr">
        <is>
          <t>1. Tai interface Student Portal, dinh vi bo select semester (Semester Selector).
2. Nhap vao danh sach tha xuong va select "Semester 2" (Semester 2).
3. Observe danh sach course va grades display.
4. Nhap select lai "Semester 1" (Semester 1).
5. Observe danh sach course va grades display.</t>
        </is>
      </c>
      <c r="J6" s="4" t="inlineStr">
        <is>
          <t>Bang grade cap nhat nhanh chong va chinh xac theo semester duoc select.
Khi select "Semester 2", system chi tai cac course va grades thuoc Semester 2.
Khi select "Semester 1", system chi tai cac course va grades thuoc Semester 1.</t>
        </is>
      </c>
      <c r="K6" s="4" t="inlineStr"/>
      <c r="L6" s="5" t="inlineStr">
        <is>
          <t>Not Run</t>
        </is>
      </c>
      <c r="M6" s="6" t="inlineStr">
        <is>
          <t>High</t>
        </is>
      </c>
      <c r="N6" s="4" t="inlineStr">
        <is>
          <t>Related to M09-F02, Rule 7.2</t>
        </is>
      </c>
    </row>
    <row r="7" ht="150" customHeight="1">
      <c r="A7" s="7" t="inlineStr">
        <is>
          <t>TC-M09-006</t>
        </is>
      </c>
      <c r="B7" s="7" t="inlineStr">
        <is>
          <t>Module 09 – Student Portal</t>
        </is>
      </c>
      <c r="C7" s="8" t="inlineStr">
        <is>
          <t>M09-F02</t>
        </is>
      </c>
      <c r="D7" s="9" t="inlineStr">
        <is>
          <t>Read-only Academic View</t>
        </is>
      </c>
      <c r="E7" s="9" t="inlineStr">
        <is>
          <t>Verify categorization course theo category (Subject Categories)</t>
        </is>
      </c>
      <c r="F7" s="9" t="inlineStr">
        <is>
          <t>Verify cac course trong semester display dung categorization theo 4 category dao create.</t>
        </is>
      </c>
      <c r="G7" s="9" t="inlineStr">
        <is>
          <t>Hoc sinh da log in successfully vao Student Portal.
Semester hien tai co chua cac course thuoc ca 4 category.</t>
        </is>
      </c>
      <c r="H7" s="9" t="inlineStr">
        <is>
          <t>StudentCode=PNV26001; SelectedSemester=Semester 1</t>
        </is>
      </c>
      <c r="I7" s="9" t="inlineStr">
        <is>
          <t>1. Select Semester 1.
2. Observe bo cuc display cua danh sach course.
3. Verify whether cac course co duoc xep duoi cac tieu de group tuong ung hay khong: Fundamental, IT, English, Soft Skills.
4. Doi chieu course cu the (e.g. mon Math phai thuoc Fundamental, Java thuoc IT).</t>
        </is>
      </c>
      <c r="J7" s="9" t="inlineStr">
        <is>
          <t>Cac course duoc categorization chinh xac va display duoi cac tieu de category: Fundamental, IT, English, Soft Skills.
Bo cuc categorization ro rang, de doc, khong co course nao bi xep sai group hoac khong co group.</t>
        </is>
      </c>
      <c r="K7" s="9" t="inlineStr"/>
      <c r="L7" s="5" t="inlineStr">
        <is>
          <t>Not Run</t>
        </is>
      </c>
      <c r="M7" s="10" t="inlineStr">
        <is>
          <t>Medium</t>
        </is>
      </c>
      <c r="N7" s="9" t="inlineStr">
        <is>
          <t>Related to M09-F02, Rule 7.3</t>
        </is>
      </c>
    </row>
    <row r="8" ht="165" customHeight="1">
      <c r="A8" s="2" t="inlineStr">
        <is>
          <t>TC-M09-007</t>
        </is>
      </c>
      <c r="B8" s="2" t="inlineStr">
        <is>
          <t>Module 09 – Student Portal</t>
        </is>
      </c>
      <c r="C8" s="3" t="inlineStr">
        <is>
          <t>M09-F02</t>
        </is>
      </c>
      <c r="D8" s="4" t="inlineStr">
        <is>
          <t>Read-only Academic View</t>
        </is>
      </c>
      <c r="E8" s="4" t="inlineStr">
        <is>
          <t>Verify tinh nang Read-only (Read-only) cua Student Portal</t>
        </is>
      </c>
      <c r="F8" s="4" t="inlineStr">
        <is>
          <t>Verify student hoan toan khong co quyen edit grades hay thuc hien cac tac vu thay doi du lieu tren interface.</t>
        </is>
      </c>
      <c r="G8" s="4" t="inlineStr">
        <is>
          <t>Hoc sinh da log in successfully vao Student Portal va dang o man hinh display grade.</t>
        </is>
      </c>
      <c r="H8" s="4" t="inlineStr">
        <is>
          <t>StudentCode=PNV26001</t>
        </is>
      </c>
      <c r="I8" s="4" t="inlineStr">
        <is>
          <t>1. Observe toan bo interface man hinh Academic.
2. Verify su xuat hien cua cac nut: Edit (Edit), Save (Save), Delete (Delete), Enter grade (Import), Upload (Upload).
3. Thu click chuot vao cac o grades (KT TX, DK1-DK6, TCK, TLCK, Final Score, GPA).
4. Thu go ban phim de thay doi gia tri grade.</t>
        </is>
      </c>
      <c r="J8" s="4" t="inlineStr">
        <is>
          <t>Interface not displayed bat ky nut hoac cong cu nao allows edit, save, delete hoac enter du lieu.
Tat ca grades display as van ban tinh (read-only), cannot click vao de edit hay enter lieu tu ban phim.</t>
        </is>
      </c>
      <c r="K8" s="4" t="inlineStr"/>
      <c r="L8" s="5" t="inlineStr">
        <is>
          <t>Not Run</t>
        </is>
      </c>
      <c r="M8" s="6" t="inlineStr">
        <is>
          <t>High</t>
        </is>
      </c>
      <c r="N8" s="4" t="inlineStr">
        <is>
          <t>Related to M09-F02, Rule 7.4</t>
        </is>
      </c>
    </row>
    <row r="9" ht="90" customHeight="1">
      <c r="A9" s="7" t="inlineStr">
        <is>
          <t>TC-M09-008</t>
        </is>
      </c>
      <c r="B9" s="7" t="inlineStr">
        <is>
          <t>Module 09 – Student Portal</t>
        </is>
      </c>
      <c r="C9" s="8" t="inlineStr">
        <is>
          <t>M09-F03</t>
        </is>
      </c>
      <c r="D9" s="9" t="inlineStr">
        <is>
          <t>Empty Grade Display</t>
        </is>
      </c>
      <c r="E9" s="9" t="inlineStr">
        <is>
          <t>Hien thi grades chua duoc enter (Empty Grades)</t>
        </is>
      </c>
      <c r="F9" s="9" t="inlineStr">
        <is>
          <t>Verify cac o grades chua co du lieu se display ky tu "—" de tranh gay hieu lam cho student.</t>
        </is>
      </c>
      <c r="G9" s="9" t="inlineStr">
        <is>
          <t>Hoc sinh da log in. Hoc sinh nay co mot so cot grade chua duoc giao vien enter (e.g. grade thi lai TLCK hoac grade dinh ky DK3 dang trong tren Sheets).</t>
        </is>
      </c>
      <c r="H9" s="9" t="inlineStr">
        <is>
          <t>StudentCode=PNV26001; Subject=Java Programming; EmptyColumn=TLCK</t>
        </is>
      </c>
      <c r="I9" s="9" t="inlineStr">
        <is>
          <t>1. Truy cap transcript cua semester chua mon Java Programming.
2. Observe display tai cot thi lai "TLCK" va cac o grade trong khac cua course nay.</t>
        </is>
      </c>
      <c r="J9" s="9" t="inlineStr">
        <is>
          <t>System display ky tu "—" (gach quang) tai cac o grade chua duoc enter.
Khong display so "0" hoac "0.0" hoac de khoang trong gay hieu lam, khong xay ra error display hoac error system.</t>
        </is>
      </c>
      <c r="K9" s="9" t="inlineStr"/>
      <c r="L9" s="5" t="inlineStr">
        <is>
          <t>Not Run</t>
        </is>
      </c>
      <c r="M9" s="6" t="inlineStr">
        <is>
          <t>High</t>
        </is>
      </c>
      <c r="N9" s="9" t="inlineStr">
        <is>
          <t>Related to M09-F03, Rule 7.5, Error Handling (Section 9)</t>
        </is>
      </c>
    </row>
    <row r="10" ht="75" customHeight="1">
      <c r="A10" s="2" t="inlineStr">
        <is>
          <t>TC-M09-009</t>
        </is>
      </c>
      <c r="B10" s="2" t="inlineStr">
        <is>
          <t>Module 09 – Student Portal</t>
        </is>
      </c>
      <c r="C10" s="3" t="inlineStr">
        <is>
          <t>M09-F04</t>
        </is>
      </c>
      <c r="D10" s="4" t="inlineStr">
        <is>
          <t>Score Color Coding</t>
        </is>
      </c>
      <c r="E10" s="4" t="inlineStr">
        <is>
          <t>Ma mau grade tong ket (/10) dat loai Gioi (&gt;= 8.0)</t>
        </is>
      </c>
      <c r="F10" s="4" t="inlineStr">
        <is>
          <t>Verify grade tong ket lon hon hoac bang 8.0 display mau Xanh la (Green).</t>
        </is>
      </c>
      <c r="G10" s="4" t="inlineStr">
        <is>
          <t>Hoc sinh da log in va dang xem transcript semester. Mon Math co grade tong ket la 8.0, mon IT Basics co grade tong ket la 9.2.</t>
        </is>
      </c>
      <c r="H10" s="4" t="inlineStr">
        <is>
          <t>StudentCode=PNV26001; Subject1=Math; FinalScore1=8.0; Subject2=IT Basics; FinalScore2=9.2</t>
        </is>
      </c>
      <c r="I10" s="4" t="inlineStr">
        <is>
          <t>1. Tim den cac mon Math va IT Basics tren transcript.
2. Observe mau sac cua grades display tai cot grade tong ket "/10".</t>
        </is>
      </c>
      <c r="J10" s="4" t="inlineStr">
        <is>
          <t>Diem so "8.0" va "9.2" display voi mau xanh la cay (Green) ro rang.</t>
        </is>
      </c>
      <c r="K10" s="4" t="inlineStr"/>
      <c r="L10" s="5" t="inlineStr">
        <is>
          <t>Not Run</t>
        </is>
      </c>
      <c r="M10" s="10" t="inlineStr">
        <is>
          <t>Medium</t>
        </is>
      </c>
      <c r="N10" s="4" t="inlineStr">
        <is>
          <t>Related to M09-F04, Rule 5.5, Rule 7.6</t>
        </is>
      </c>
    </row>
    <row r="11" ht="60" customHeight="1">
      <c r="A11" s="7" t="inlineStr">
        <is>
          <t>TC-M09-010</t>
        </is>
      </c>
      <c r="B11" s="7" t="inlineStr">
        <is>
          <t>Module 09 – Student Portal</t>
        </is>
      </c>
      <c r="C11" s="8" t="inlineStr">
        <is>
          <t>M09-F04</t>
        </is>
      </c>
      <c r="D11" s="9" t="inlineStr">
        <is>
          <t>Score Color Coding</t>
        </is>
      </c>
      <c r="E11" s="9" t="inlineStr">
        <is>
          <t>Ma mau grade tong ket (/10) dat loai Kha/Trung binh (5.5 – 7.9)</t>
        </is>
      </c>
      <c r="F11" s="9" t="inlineStr">
        <is>
          <t>Verify grade tong ket tu 5.5 den 7.9 display mau Cam (Orange).</t>
        </is>
      </c>
      <c r="G11" s="9" t="inlineStr">
        <is>
          <t>Hoc sinh da log in va dang xem transcript semester. Mon English co grade tong ket la 5.5, mon Soft Skills co grade tong ket la 7.9.</t>
        </is>
      </c>
      <c r="H11" s="9" t="inlineStr">
        <is>
          <t>StudentCode=PNV26001; Subject1=English; FinalScore1=5.5; Subject2=Soft Skills; FinalScore2=7.9</t>
        </is>
      </c>
      <c r="I11" s="9" t="inlineStr">
        <is>
          <t>1. Tim mon English va Soft Skills tren transcript.
2. Observe mau sac display cua grades tai cot grade tong ket "/10".</t>
        </is>
      </c>
      <c r="J11" s="9" t="inlineStr">
        <is>
          <t>Diem so "5.5" va "7.9" display voi mau cam (Orange) ro rang.</t>
        </is>
      </c>
      <c r="K11" s="9" t="inlineStr"/>
      <c r="L11" s="5" t="inlineStr">
        <is>
          <t>Not Run</t>
        </is>
      </c>
      <c r="M11" s="10" t="inlineStr">
        <is>
          <t>Medium</t>
        </is>
      </c>
      <c r="N11" s="9" t="inlineStr">
        <is>
          <t>Related to M09-F04, Rule 5.5, Rule 7.6</t>
        </is>
      </c>
    </row>
    <row r="12" ht="75" customHeight="1">
      <c r="A12" s="2" t="inlineStr">
        <is>
          <t>TC-M09-011</t>
        </is>
      </c>
      <c r="B12" s="2" t="inlineStr">
        <is>
          <t>Module 09 – Student Portal</t>
        </is>
      </c>
      <c r="C12" s="3" t="inlineStr">
        <is>
          <t>M09-F04</t>
        </is>
      </c>
      <c r="D12" s="4" t="inlineStr">
        <is>
          <t>Score Color Coding</t>
        </is>
      </c>
      <c r="E12" s="4" t="inlineStr">
        <is>
          <t>Ma mau grade tong ket (/10) loai Yeu (&lt; 5.5)</t>
        </is>
      </c>
      <c r="F12" s="4" t="inlineStr">
        <is>
          <t>Verify grade tong ket nho hon 5.5 display mau Do (Red).</t>
        </is>
      </c>
      <c r="G12" s="4" t="inlineStr">
        <is>
          <t>Hoc sinh da log in va dang xem transcript. Mon Web Development co grade tong ket la 5.4, mon Algorithms co grade tong ket la 4.0.</t>
        </is>
      </c>
      <c r="H12" s="4" t="inlineStr">
        <is>
          <t>StudentCode=PNV26001; Subject1=Web Development; FinalScore1=5.4; Subject2=Algorithms; FinalScore2=4.0</t>
        </is>
      </c>
      <c r="I12" s="4" t="inlineStr">
        <is>
          <t>1. Tim mon Web Development va Algorithms tren transcript.
2. Observe mau sac display cua grades tai cot grade tong ket "/10".</t>
        </is>
      </c>
      <c r="J12" s="4" t="inlineStr">
        <is>
          <t>Diem so "5.4" va "4.0" display voi mau do (Red) ro rang.</t>
        </is>
      </c>
      <c r="K12" s="4" t="inlineStr"/>
      <c r="L12" s="5" t="inlineStr">
        <is>
          <t>Not Run</t>
        </is>
      </c>
      <c r="M12" s="10" t="inlineStr">
        <is>
          <t>Medium</t>
        </is>
      </c>
      <c r="N12" s="4" t="inlineStr">
        <is>
          <t>Related to M09-F04, Rule 5.5, Rule 7.6</t>
        </is>
      </c>
    </row>
    <row r="13" ht="60" customHeight="1">
      <c r="A13" s="7" t="inlineStr">
        <is>
          <t>TC-M09-012</t>
        </is>
      </c>
      <c r="B13" s="7" t="inlineStr">
        <is>
          <t>Module 09 – Student Portal</t>
        </is>
      </c>
      <c r="C13" s="8" t="inlineStr">
        <is>
          <t>M09-F04</t>
        </is>
      </c>
      <c r="D13" s="9" t="inlineStr">
        <is>
          <t>Score Color Coding</t>
        </is>
      </c>
      <c r="E13" s="9" t="inlineStr">
        <is>
          <t>Ma mau grade GPA (/4) dat loai Gioi/Xuat sac (&gt;= 3.5)</t>
        </is>
      </c>
      <c r="F13" s="9" t="inlineStr">
        <is>
          <t>Verify grade trung binh tich luy semester GPA lon hon hoac bang 3.5 display mau Xanh la (Green).</t>
        </is>
      </c>
      <c r="G13" s="9" t="inlineStr">
        <is>
          <t>Hoc sinh da log in. Semester hien tai student dat grade trung binh GPA la 3.5 hoac 3.8.</t>
        </is>
      </c>
      <c r="H13" s="9" t="inlineStr">
        <is>
          <t>StudentCode=PNV26001; GPA=3.5; GPA2=3.8</t>
        </is>
      </c>
      <c r="I13" s="9" t="inlineStr">
        <is>
          <t>1. Observe vung display grade trung binh GPA semester hien tai tren interface.
2. Verify mau sac display cua grade GPA.</t>
        </is>
      </c>
      <c r="J13" s="9" t="inlineStr">
        <is>
          <t>Diem so GPA "3.5" va "3.8" display voi mau xanh la cay (Green).</t>
        </is>
      </c>
      <c r="K13" s="9" t="inlineStr"/>
      <c r="L13" s="5" t="inlineStr">
        <is>
          <t>Not Run</t>
        </is>
      </c>
      <c r="M13" s="10" t="inlineStr">
        <is>
          <t>Medium</t>
        </is>
      </c>
      <c r="N13" s="9" t="inlineStr">
        <is>
          <t>Related to M09-F04, Rule 5.5, Rule 7.6</t>
        </is>
      </c>
    </row>
    <row r="14" ht="60" customHeight="1">
      <c r="A14" s="2" t="inlineStr">
        <is>
          <t>TC-M09-013</t>
        </is>
      </c>
      <c r="B14" s="2" t="inlineStr">
        <is>
          <t>Module 09 – Student Portal</t>
        </is>
      </c>
      <c r="C14" s="3" t="inlineStr">
        <is>
          <t>M09-F04</t>
        </is>
      </c>
      <c r="D14" s="4" t="inlineStr">
        <is>
          <t>Score Color Coding</t>
        </is>
      </c>
      <c r="E14" s="4" t="inlineStr">
        <is>
          <t>Ma mau grade GPA (/4) dat loai Trung binh/Kha (2.0 – 3.4)</t>
        </is>
      </c>
      <c r="F14" s="4" t="inlineStr">
        <is>
          <t>Verify grade trung binh tich luy semester GPA tu 2.0 den 3.4 display mau Cam (Orange).</t>
        </is>
      </c>
      <c r="G14" s="4" t="inlineStr">
        <is>
          <t>Hoc sinh da log in. Semester hien tai student dat GPA la 2.0 hoac 3.1.</t>
        </is>
      </c>
      <c r="H14" s="4" t="inlineStr">
        <is>
          <t>StudentCode=PNV26001; GPA=2.0; GPA2=3.1</t>
        </is>
      </c>
      <c r="I14" s="4" t="inlineStr">
        <is>
          <t>1. Observe khu vuc display grade trung binh GPA tren man hinh.
2. Verify mau sac display cua grade GPA.</t>
        </is>
      </c>
      <c r="J14" s="4" t="inlineStr">
        <is>
          <t>Diem GPA "2.0" va "3.1" display voi mau cam (Orange).</t>
        </is>
      </c>
      <c r="K14" s="4" t="inlineStr"/>
      <c r="L14" s="5" t="inlineStr">
        <is>
          <t>Not Run</t>
        </is>
      </c>
      <c r="M14" s="10" t="inlineStr">
        <is>
          <t>Medium</t>
        </is>
      </c>
      <c r="N14" s="4" t="inlineStr">
        <is>
          <t>Related to M09-F04, Rule 5.5, Rule 7.6</t>
        </is>
      </c>
    </row>
    <row r="15" ht="60" customHeight="1">
      <c r="A15" s="7" t="inlineStr">
        <is>
          <t>TC-M09-014</t>
        </is>
      </c>
      <c r="B15" s="7" t="inlineStr">
        <is>
          <t>Module 09 – Student Portal</t>
        </is>
      </c>
      <c r="C15" s="8" t="inlineStr">
        <is>
          <t>M09-F04</t>
        </is>
      </c>
      <c r="D15" s="9" t="inlineStr">
        <is>
          <t>Score Color Coding</t>
        </is>
      </c>
      <c r="E15" s="9" t="inlineStr">
        <is>
          <t>Ma mau grade GPA (/4) loai Yeu (&lt; 2.0)</t>
        </is>
      </c>
      <c r="F15" s="9" t="inlineStr">
        <is>
          <t>Verify grade trung binh tich luy semester GPA nho hon 2.0 display mau Do (Red).</t>
        </is>
      </c>
      <c r="G15" s="9" t="inlineStr">
        <is>
          <t>Hoc sinh da log in. Semester hien tai student dat GPA la 1.9 hoac 1.2.</t>
        </is>
      </c>
      <c r="H15" s="9" t="inlineStr">
        <is>
          <t>StudentCode=PNV26001; GPA=1.9; GPA2=1.2</t>
        </is>
      </c>
      <c r="I15" s="9" t="inlineStr">
        <is>
          <t>1. Observe khu vuc display grade trung binh GPA tren man hinh.
2. Verify mau sac display cua grade GPA.</t>
        </is>
      </c>
      <c r="J15" s="9" t="inlineStr">
        <is>
          <t>Diem GPA "1.9" va "1.2" display voi mau do (Red).</t>
        </is>
      </c>
      <c r="K15" s="9" t="inlineStr"/>
      <c r="L15" s="5" t="inlineStr">
        <is>
          <t>Not Run</t>
        </is>
      </c>
      <c r="M15" s="10" t="inlineStr">
        <is>
          <t>Medium</t>
        </is>
      </c>
      <c r="N15" s="9" t="inlineStr">
        <is>
          <t>Related to M09-F04, Rule 5.5, Rule 7.6</t>
        </is>
      </c>
    </row>
    <row r="16" ht="75" customHeight="1">
      <c r="A16" s="2" t="inlineStr">
        <is>
          <t>TC-M09-015</t>
        </is>
      </c>
      <c r="B16" s="2" t="inlineStr">
        <is>
          <t>Module 09 – Student Portal</t>
        </is>
      </c>
      <c r="C16" s="3" t="inlineStr">
        <is>
          <t>M09-F05</t>
        </is>
      </c>
      <c r="D16" s="4" t="inlineStr">
        <is>
          <t>Re-study Flag Display</t>
        </is>
      </c>
      <c r="E16" s="4" t="inlineStr">
        <is>
          <t>Hien thi nhan Hoc lai (Re-study) cho course bi danh dau hoc lai</t>
        </is>
      </c>
      <c r="F16" s="4" t="inlineStr">
        <is>
          <t>Verify course bi danh dau hoc lai tren system (Re-study = True) se display nhan cphoto bao mau do.</t>
        </is>
      </c>
      <c r="G16" s="4" t="inlineStr">
        <is>
          <t>Hoc sinh da log in. Mon Database Management cua student nay bi danh dau Re-study = True tren Sheets database. Mon Java Basics co Re-study = False.</t>
        </is>
      </c>
      <c r="H16" s="4" t="inlineStr">
        <is>
          <t>StudentCode=PNV26001; Subject1=Database Management; ReStudy1=True; Subject2=Java Basics; ReStudy2=False</t>
        </is>
      </c>
      <c r="I16" s="4" t="inlineStr">
        <is>
          <t>1. Truy cap transcript semester chua mon Database Management va Java Basics.
2. Verify cot "Re-study" hoac phan nhan ben canh ten moi course.</t>
        </is>
      </c>
      <c r="J16" s="4" t="inlineStr">
        <is>
          <t>Mon Database Management display mot nhan hoac huy hieu "Re-study" mau do noi bat.
Mon Java Basics not displayed bat ky nhan cphoto bao hoc lai nao.</t>
        </is>
      </c>
      <c r="K16" s="4" t="inlineStr"/>
      <c r="L16" s="5" t="inlineStr">
        <is>
          <t>Not Run</t>
        </is>
      </c>
      <c r="M16" s="6" t="inlineStr">
        <is>
          <t>High</t>
        </is>
      </c>
      <c r="N16" s="4" t="inlineStr">
        <is>
          <t>Related to M09-F05, Rule 7.7</t>
        </is>
      </c>
    </row>
    <row r="17" ht="120" customHeight="1">
      <c r="A17" s="7" t="inlineStr">
        <is>
          <t>TC-M09-016</t>
        </is>
      </c>
      <c r="B17" s="7" t="inlineStr">
        <is>
          <t>Module 09 – Student Portal</t>
        </is>
      </c>
      <c r="C17" s="8" t="inlineStr">
        <is>
          <t>M09-F06</t>
        </is>
      </c>
      <c r="D17" s="9" t="inlineStr">
        <is>
          <t>Quick Access to Bi-Weekly Reports</t>
        </is>
      </c>
      <c r="E17" s="9" t="inlineStr">
        <is>
          <t>Hien thi shortcut Bao cao internship khi internship group dang hoat dong (On-going)</t>
        </is>
      </c>
      <c r="F17" s="9" t="inlineStr">
        <is>
          <t>Verify shortcut dan den Bao cao internship display khi student thuoc internship group o status On-going.</t>
        </is>
      </c>
      <c r="G17" s="9" t="inlineStr">
        <is>
          <t>Hoc sinh PNV26001 duoc phan bo vao internship group "Internship Group 2026". Status cua internship group nay trong Sheet la "On-going".</t>
        </is>
      </c>
      <c r="H17" s="9" t="inlineStr">
        <is>
          <t>StudentCode=PNV26001; InternshipGroup=Internship Group 2026; Status=On-going</t>
        </is>
      </c>
      <c r="I17" s="9" t="inlineStr">
        <is>
          <t>1. Log in account student PNV26001.
2. Observe interface Student Portal (khu vuc thanh dieu huong hoac bang dieu khien).
3. Verify su xuat hien cua shortcut/nut "Bi-Weekly Internship Reports" (Bao cao internship dinh ky).</t>
        </is>
      </c>
      <c r="J17" s="9" t="inlineStr">
        <is>
          <t>Shortcut "Bi-Weekly Internship Reports" xuat hien ro rang tren interface.
Hoc sinh can click vao de mo interface internship report.</t>
        </is>
      </c>
      <c r="K17" s="9" t="inlineStr"/>
      <c r="L17" s="5" t="inlineStr">
        <is>
          <t>Not Run</t>
        </is>
      </c>
      <c r="M17" s="6" t="inlineStr">
        <is>
          <t>High</t>
        </is>
      </c>
      <c r="N17" s="9" t="inlineStr">
        <is>
          <t>Related to M09-F06, Rule 7.8</t>
        </is>
      </c>
    </row>
    <row r="18" ht="90" customHeight="1">
      <c r="A18" s="2" t="inlineStr">
        <is>
          <t>TC-M09-017</t>
        </is>
      </c>
      <c r="B18" s="2" t="inlineStr">
        <is>
          <t>Module 09 – Student Portal</t>
        </is>
      </c>
      <c r="C18" s="3" t="inlineStr">
        <is>
          <t>M09-F06</t>
        </is>
      </c>
      <c r="D18" s="4" t="inlineStr">
        <is>
          <t>Quick Access to Bi-Weekly Reports</t>
        </is>
      </c>
      <c r="E18" s="4" t="inlineStr">
        <is>
          <t>An shortcut Bao cao internship khi internship group o status khac On-going</t>
        </is>
      </c>
      <c r="F18" s="4" t="inlineStr">
        <is>
          <t>Verify shortcut dan den Bao cao internship bi an khi internship group cua student o status Planned hoac Completed.</t>
        </is>
      </c>
      <c r="G18" s="4" t="inlineStr">
        <is>
          <t>Hoc sinh PNV26002 thuoc internship group "Internship Group 2025" da hoan thanh (status "Completed" tren system).</t>
        </is>
      </c>
      <c r="H18" s="4" t="inlineStr">
        <is>
          <t>StudentCode=PNV26002; InternshipGroup=Internship Group 2025; Status=Completed</t>
        </is>
      </c>
      <c r="I18" s="4" t="inlineStr">
        <is>
          <t>1. Log in account student PNV26002.
2. Observe interface Student Portal.
3. Verify su xuat hien cua nut/shortcut "Bi-Weekly Internship Reports".</t>
        </is>
      </c>
      <c r="J18" s="4" t="inlineStr">
        <is>
          <t>Shortcut/nut lien ket den Bao cao internship hoan toan an khoi interface.
Hoc sinh cannot nhin thay hay click button nay.</t>
        </is>
      </c>
      <c r="K18" s="4" t="inlineStr"/>
      <c r="L18" s="5" t="inlineStr">
        <is>
          <t>Not Run</t>
        </is>
      </c>
      <c r="M18" s="6" t="inlineStr">
        <is>
          <t>High</t>
        </is>
      </c>
      <c r="N18" s="4" t="inlineStr">
        <is>
          <t>Related to M09-F06, Rule 7.8</t>
        </is>
      </c>
    </row>
    <row r="19" ht="90" customHeight="1">
      <c r="A19" s="7" t="inlineStr">
        <is>
          <t>TC-M09-018</t>
        </is>
      </c>
      <c r="B19" s="7" t="inlineStr">
        <is>
          <t>Module 09 – Student Portal</t>
        </is>
      </c>
      <c r="C19" s="8" t="inlineStr">
        <is>
          <t>M09-F06</t>
        </is>
      </c>
      <c r="D19" s="9" t="inlineStr">
        <is>
          <t>Quick Access to Bi-Weekly Reports</t>
        </is>
      </c>
      <c r="E19" s="9" t="inlineStr">
        <is>
          <t>An shortcut Bao cao internship khi student chua duoc phan bo internship</t>
        </is>
      </c>
      <c r="F19" s="9" t="inlineStr">
        <is>
          <t>Verify shortcut Bao cao internship bi an khi student khong thuoc bat ky internship group nao.</t>
        </is>
      </c>
      <c r="G19" s="9" t="inlineStr">
        <is>
          <t>Hoc sinh PNV26003 chua duoc gan vao bat ky internship group nao tren Sheets co so du lieu.</t>
        </is>
      </c>
      <c r="H19" s="9" t="inlineStr">
        <is>
          <t>StudentCode=PNV26003; InternshipGroup=None</t>
        </is>
      </c>
      <c r="I19" s="9" t="inlineStr">
        <is>
          <t>1. Log in account student PNV26003.
2. Observe interface Student Portal.
3. Verify su xuat hien cua nut/shortcut "Bi-Weekly Internship Reports".</t>
        </is>
      </c>
      <c r="J19" s="9" t="inlineStr">
        <is>
          <t>Shortcut/nut lien ket den Bao cao internship an hoan toan, not displayed tren interface cua student.</t>
        </is>
      </c>
      <c r="K19" s="9" t="inlineStr"/>
      <c r="L19" s="5" t="inlineStr">
        <is>
          <t>Not Run</t>
        </is>
      </c>
      <c r="M19" s="6" t="inlineStr">
        <is>
          <t>High</t>
        </is>
      </c>
      <c r="N19" s="9" t="inlineStr">
        <is>
          <t>Related to M09-F06, Rule 7.8</t>
        </is>
      </c>
    </row>
    <row r="20" ht="165" customHeight="1">
      <c r="A20" s="2" t="inlineStr">
        <is>
          <t>TC-M09-019</t>
        </is>
      </c>
      <c r="B20" s="2" t="inlineStr">
        <is>
          <t>Module 09 – Student Portal</t>
        </is>
      </c>
      <c r="C20" s="3" t="inlineStr">
        <is>
          <t>M09-F07</t>
        </is>
      </c>
      <c r="D20" s="4" t="inlineStr">
        <is>
          <t>Data Isolation</t>
        </is>
      </c>
      <c r="E20" s="4" t="inlineStr">
        <is>
          <t>Verify cach ly du lieu giua cac student (Data Isolation)</t>
        </is>
      </c>
      <c r="F20" s="4" t="inlineStr">
        <is>
          <t>Verify co che bao mat phia server dam bao student chi xem duoc grade cua chinh minh va bi denies access du lieu cua student khac.</t>
        </is>
      </c>
      <c r="G20" s="4" t="inlineStr">
        <is>
          <t>Hoc sinh PNV26001 va student PNV26002 deu exist in system. Da log in bang account student PNV26001.</t>
        </is>
      </c>
      <c r="H20" s="4" t="inlineStr">
        <is>
          <t>AuthEmail=student01@student.passerellesnumeriques.org; TargetStudentCode=PNV26002</t>
        </is>
      </c>
      <c r="I20" s="4" t="inlineStr">
        <is>
          <t>1. Log in bang account student01@student.passerellesnumeriques.org.
2. Tai interface transcript, thu thay doi tham so tren URL (e.g. tu `?studentCode=PNV26001` thanh `?studentCode=PNV26002`) hoac dung DevTools sua ma request gui ve API backend de requires du lieu grade cua student PNV26002.
3. Observe ket qua display va phan hoi tu system.</t>
        </is>
      </c>
      <c r="J20" s="4" t="inlineStr">
        <is>
          <t>System denies requires access du lieu grade cua student B.
Man hinh not displayed grade cua student B.
Backend tra ve notification error phan quyen (e.g.: "Unauthorized access" hoac Access Denied).
Bang grade display tren interface van giu nguyen cua student PNV26001 (hoac display trang notification error bao mat).</t>
        </is>
      </c>
      <c r="K20" s="4" t="inlineStr"/>
      <c r="L20" s="5" t="inlineStr">
        <is>
          <t>Not Run</t>
        </is>
      </c>
      <c r="M20" s="6" t="inlineStr">
        <is>
          <t>High</t>
        </is>
      </c>
      <c r="N20" s="4" t="inlineStr">
        <is>
          <t>Related to M09-F07, Rule 7.9, Error Handling (Section 9)</t>
        </is>
      </c>
    </row>
    <row r="21" ht="105" customHeight="1">
      <c r="A21" s="7" t="inlineStr">
        <is>
          <t>TC-M09-020</t>
        </is>
      </c>
      <c r="B21" s="7" t="inlineStr">
        <is>
          <t>Module 09 – Student Portal</t>
        </is>
      </c>
      <c r="C21" s="8" t="inlineStr">
        <is>
          <t>M09-F07</t>
        </is>
      </c>
      <c r="D21" s="9" t="inlineStr">
        <is>
          <t>Data Isolation</t>
        </is>
      </c>
      <c r="E21" s="9" t="inlineStr">
        <is>
          <t>Chan goi API lay grade tu ben external khi chua xac thuc</t>
        </is>
      </c>
      <c r="F21" s="9" t="inlineStr">
        <is>
          <t>Verify cac requires goi API lay grade cua student gui truc tiep tu ben external ma chua qua log in Google OAuth deu bi denies.</t>
        </is>
      </c>
      <c r="G21" s="9" t="inlineStr">
        <is>
          <t>Nguoi dung chua log in account. Trinh duyet o che do an danh hoac su dung cong cu kiem thu API (nhu Postman).</t>
        </is>
      </c>
      <c r="H21" s="9" t="inlineStr">
        <is>
          <t>TargetApiUrl=https://script.google.com/macros/s/.../exec?action=getGrades&amp;studentCode=PNV26001</t>
        </is>
      </c>
      <c r="I21" s="9" t="inlineStr">
        <is>
          <t>1. Mo cua so an danh hoac cong cu kiem thu API.
2. Gui request truc tiep (HTTP GET/POST) den URL API cua system de lay du lieu grade cua student PNV26001.
3. Observe phan hoi tra ve tu system.</t>
        </is>
      </c>
      <c r="J21" s="9" t="inlineStr">
        <is>
          <t>Yeu cau bi denies.
System phan hoi ma error 401 Unauthorized (hoac tuong duong) hoac redirect request ve interface log in Google OAuth.
Khong co du lieu grade nao duoc tra ve.</t>
        </is>
      </c>
      <c r="K21" s="9" t="inlineStr"/>
      <c r="L21" s="5" t="inlineStr">
        <is>
          <t>Not Run</t>
        </is>
      </c>
      <c r="M21" s="6" t="inlineStr">
        <is>
          <t>High</t>
        </is>
      </c>
      <c r="N21" s="9" t="inlineStr">
        <is>
          <t>Related to M09-F07, Rule 7.9</t>
        </is>
      </c>
    </row>
    <row r="22" ht="165" customHeight="1">
      <c r="A22" s="2" t="inlineStr">
        <is>
          <t>TC-M09-021</t>
        </is>
      </c>
      <c r="B22" s="2" t="inlineStr">
        <is>
          <t>Module 09 – Student Portal</t>
        </is>
      </c>
      <c r="C22" s="3" t="inlineStr">
        <is>
          <t>M09-UI</t>
        </is>
      </c>
      <c r="D22" s="4" t="inlineStr">
        <is>
          <t>User Interface &amp; Responsiveness</t>
        </is>
      </c>
      <c r="E22" s="4" t="inlineStr">
        <is>
          <t>Verify display interface tren thiet bi di dong (Responsive UI)</t>
        </is>
      </c>
      <c r="F22" s="4" t="inlineStr">
        <is>
          <t>Verify interface Student Portal display tot tren cac thiet bi di dong ma khong bi vo khung hoac mat thong tin grades.</t>
        </is>
      </c>
      <c r="G22" s="4" t="inlineStr">
        <is>
          <t>Hoc sinh da log in successfully.</t>
        </is>
      </c>
      <c r="H22" s="4" t="inlineStr">
        <is>
          <t>ViewportSize=375x812 (iPhone X)</t>
        </is>
      </c>
      <c r="I22" s="4" t="inlineStr">
        <is>
          <t>1. Log in Student Portal.
2. Mo DevTools (F12) va kich hoat che do Responsive Viewport gia lap man hinh iPhone X (375x812 px).
3. Observe bo select semester, cac category va transcript.
4. Thao tac vuot cuon ngang transcript de xem day du cac cot grade (KT TX, DK1-DK6, TCK, TLCK...).</t>
        </is>
      </c>
      <c r="J22" s="4" t="inlineStr">
        <is>
          <t>Interface tu dong co gian tuong thich.
Cac tieu de category va chu display ro rang, khong de len nhau.
Bang grade display thanh cuon ngang muot ma allows xem het cac cot grade ma khong pha vo bo cuc tong the cua trang.</t>
        </is>
      </c>
      <c r="K22" s="4" t="inlineStr"/>
      <c r="L22" s="5" t="inlineStr">
        <is>
          <t>Not Run</t>
        </is>
      </c>
      <c r="M22" s="10" t="inlineStr">
        <is>
          <t>Medium</t>
        </is>
      </c>
      <c r="N22" s="4" t="inlineStr">
        <is>
          <t>Related to Testing Environment (Section 9)</t>
        </is>
      </c>
    </row>
    <row r="23" ht="150" customHeight="1">
      <c r="A23" s="7" t="inlineStr">
        <is>
          <t>TC-M09-022</t>
        </is>
      </c>
      <c r="B23" s="7" t="inlineStr">
        <is>
          <t>Module 09 – Student Portal</t>
        </is>
      </c>
      <c r="C23" s="8" t="inlineStr">
        <is>
          <t>M09-F01</t>
        </is>
      </c>
      <c r="D23" s="9" t="inlineStr">
        <is>
          <t>Role-based Auto-login</t>
        </is>
      </c>
      <c r="E23" s="9" t="inlineStr">
        <is>
          <t>Verify hanh vi khi het han phien lam viec Google (Google Sign-Out)</t>
        </is>
      </c>
      <c r="F23" s="9" t="inlineStr">
        <is>
          <t>Dam bao system phat hien phien log in Google da ket thuc va ngan student tiep tuc access du lieu.</t>
        </is>
      </c>
      <c r="G23" s="9" t="inlineStr">
        <is>
          <t>Hoc sinh dang log in va mo tab Student Portal.</t>
        </is>
      </c>
      <c r="H23" s="9" t="inlineStr">
        <is>
          <t>Action=Google Sign-Out</t>
        </is>
      </c>
      <c r="I23" s="9" t="inlineStr">
        <is>
          <t>1. Mo mot tab trinh duyet khac, access accounts.google.com va dang xuat account Google hien tai.
2. Quay lai tab Student Portal.
3. Thuc hien switching semester tren bo select Semester Selector hoac click F5 de tai lai trang.
4. Observe phan hoi cua system.</t>
        </is>
      </c>
      <c r="J23" s="9" t="inlineStr">
        <is>
          <t>System phat hien phien lam viec da ket thuc.
Cac thao tac requires du lieu semester moi bi dung lai.
Nguoi dung duoc redirect ve trang log in Google OAuth hoac display thong diep requires log in lai de tiep tuc.</t>
        </is>
      </c>
      <c r="K23" s="9" t="inlineStr"/>
      <c r="L23" s="5" t="inlineStr">
        <is>
          <t>Not Run</t>
        </is>
      </c>
      <c r="M23" s="6" t="inlineStr">
        <is>
          <t>High</t>
        </is>
      </c>
      <c r="N23" s="9" t="inlineStr">
        <is>
          <t>Related to Rule 7.1</t>
        </is>
      </c>
    </row>
    <row r="24" ht="120" customHeight="1">
      <c r="A24" s="2" t="inlineStr">
        <is>
          <t>TC-M09-023</t>
        </is>
      </c>
      <c r="B24" s="2" t="inlineStr">
        <is>
          <t>Module 09 – Student Portal</t>
        </is>
      </c>
      <c r="C24" s="3" t="inlineStr">
        <is>
          <t>M09-F02</t>
        </is>
      </c>
      <c r="D24" s="4" t="inlineStr">
        <is>
          <t>Read-only Academic View</t>
        </is>
      </c>
      <c r="E24" s="4" t="inlineStr">
        <is>
          <t>Verify xac thuc tham so semester khong hop le (Semester Validation)</t>
        </is>
      </c>
      <c r="F24" s="4" t="inlineStr">
        <is>
          <t>Verify system khong bi error crash va tu dong xu ly an toan khi tham so semester duoc truyen vao khong hop le hoac khong ton tai.</t>
        </is>
      </c>
      <c r="G24" s="4" t="inlineStr">
        <is>
          <t>Hoc sinh da log in successfully.</t>
        </is>
      </c>
      <c r="H24" s="4" t="inlineStr">
        <is>
          <t>InvalidSemester=Semester 7; InvalidSemester2=abc</t>
        </is>
      </c>
      <c r="I24" s="4" t="inlineStr">
        <is>
          <t>1. Co y thay doi tham so semester tren duong dan URL thanh gia tri khong hop le (e.g.: `?semester=7` or `?semester=abc`).
2. Tai lai trang hoac co tinh gui request voi tham so khong hop le do.
3. Observe phan hoi cua interface.</t>
        </is>
      </c>
      <c r="J24" s="4" t="inlineStr">
        <is>
          <t>System khong bi error crash/trang trang.
Tu dong quay ve display du lieu cua semester mac dinh (e.g.: Semester 1 hoac semester hien tai hoat dong gan nhat), hoac display notification error "Semester khong hop le".</t>
        </is>
      </c>
      <c r="K24" s="4" t="inlineStr"/>
      <c r="L24" s="5" t="inlineStr">
        <is>
          <t>Not Run</t>
        </is>
      </c>
      <c r="M24" s="10" t="inlineStr">
        <is>
          <t>Medium</t>
        </is>
      </c>
      <c r="N24" s="4" t="inlineStr">
        <is>
          <t>Related to Validation Rules (Section 8 - Semester)</t>
        </is>
      </c>
    </row>
  </sheetData>
  <autoFilter ref="A1:N24"/>
  <dataValidations count="2">
    <dataValidation sqref="L2:L124" showDropDown="0" showInputMessage="0" showErrorMessage="0" allowBlank="1" errorTitle="Invalid Status" error="Please select a valid state: Passed, Failed, or Not Run" type="list">
      <formula1>"Passed,Failed,Not Run"</formula1>
    </dataValidation>
    <dataValidation sqref="M2:M124" showDropDown="0" showInputMessage="0" showErrorMessage="0" allowBlank="1" errorTitle="Invalid Priority" error="Please select a valid priority: High, Medium, or Low" type="list">
      <formula1>"High,Medium,Low"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2026-07-22T09:41:08Z</dcterms:created>
  <dcterms:modified xmlns:dcterms="http://purl.org/dc/terms/" xmlns:xsi="http://www.w3.org/2001/XMLSchema-instance" xsi:type="dcterms:W3CDTF">2026-07-22T09:41:09Z</dcterms:modified>
</cp:coreProperties>
</file>