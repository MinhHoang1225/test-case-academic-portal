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9" sheetId="2" state="visible" r:id="rId2"/>
  </sheets>
  <definedNames>
    <definedName name="_xlnm._FilterDatabase" localSheetId="1" hidden="1">'Module09'!$A$1:$N$24</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'Report'!$A$9:$A$16</f>
            </numRef>
          </cat>
          <val>
            <numRef>
              <f>'Report'!$C$9:$C$16</f>
            </numRef>
          </val>
        </ser>
        <ser>
          <idx val="1"/>
          <order val="1"/>
          <tx>
            <strRef>
              <f>'Report'!D8</f>
            </strRef>
          </tx>
          <spPr>
            <a:solidFill xmlns:a="http://schemas.openxmlformats.org/drawingml/2006/main">
              <a:srgbClr val="FFFF00"/>
            </a:solidFill>
            <a:ln xmlns:a="http://schemas.openxmlformats.org/drawingml/2006/main">
              <a:prstDash val="solid"/>
            </a:ln>
          </spPr>
          <cat>
            <numRef>
              <f>'Report'!$A$9:$A$16</f>
            </numRef>
          </cat>
          <val>
            <numRef>
              <f>'Report'!$D$9:$D$16</f>
            </numRef>
          </val>
        </ser>
        <ser>
          <idx val="2"/>
          <order val="2"/>
          <tx>
            <strRef>
              <f>'Report'!E8</f>
            </strRef>
          </tx>
          <spPr>
            <a:solidFill xmlns:a="http://schemas.openxmlformats.org/drawingml/2006/main">
              <a:srgbClr val="00FF00"/>
            </a:solidFill>
            <a:ln xmlns:a="http://schemas.openxmlformats.org/drawingml/2006/main">
              <a:prstDash val="solid"/>
            </a:ln>
          </spPr>
          <cat>
            <numRef>
              <f>'Report'!$A$9:$A$16</f>
            </numRef>
          </cat>
          <val>
            <numRef>
              <f>'Report'!$E$9:$E$16</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7"/>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09 -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COUNTA(A9:A16)</f>
        <v/>
      </c>
      <c r="B5" s="15">
        <f>F17</f>
        <v/>
      </c>
      <c r="C5" s="16">
        <f>COUNTIF(C9:C16, "&gt;0")</f>
        <v/>
      </c>
      <c r="D5" s="17">
        <f>COUNTIFS(C9:C16, 0, D9:D16, "&gt;0")</f>
        <v/>
      </c>
      <c r="E5" s="18">
        <f>COUNTIFS(C9:C16, 0, D9:D16, 0, E9:E16,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M09-F01</t>
        </is>
      </c>
      <c r="B9" s="23" t="inlineStr">
        <is>
          <t>Role-based Auto-login</t>
        </is>
      </c>
      <c r="C9" s="24">
        <f>COUNTIFS('Module09'!$C$2:$C$24, A9, 'Module09'!$M$2:$M$24, "High")</f>
        <v/>
      </c>
      <c r="D9" s="25">
        <f>COUNTIFS('Module09'!$C$2:$C$24, A9, 'Module09'!$M$2:$M$24, "Medium")</f>
        <v/>
      </c>
      <c r="E9" s="26">
        <f>COUNTIFS('Module09'!$C$2:$C$24, A9, 'Module09'!$M$2:$M$24, "Low")</f>
        <v/>
      </c>
      <c r="F9" s="27">
        <f>SUM(C9:E9)</f>
        <v/>
      </c>
    </row>
    <row r="10" ht="22" customHeight="1">
      <c r="A10" s="28" t="inlineStr">
        <is>
          <t>M09-F02</t>
        </is>
      </c>
      <c r="B10" s="29" t="inlineStr">
        <is>
          <t>Read-only Academic View</t>
        </is>
      </c>
      <c r="C10" s="30">
        <f>COUNTIFS('Module09'!$C$2:$C$24, A10, 'Module09'!$M$2:$M$24, "High")</f>
        <v/>
      </c>
      <c r="D10" s="31">
        <f>COUNTIFS('Module09'!$C$2:$C$24, A10, 'Module09'!$M$2:$M$24, "Medium")</f>
        <v/>
      </c>
      <c r="E10" s="32">
        <f>COUNTIFS('Module09'!$C$2:$C$24, A10, 'Module09'!$M$2:$M$24, "Low")</f>
        <v/>
      </c>
      <c r="F10" s="33">
        <f>SUM(C10:E10)</f>
        <v/>
      </c>
    </row>
    <row r="11" ht="22" customHeight="1">
      <c r="A11" s="22" t="inlineStr">
        <is>
          <t>M09-F03</t>
        </is>
      </c>
      <c r="B11" s="23" t="inlineStr">
        <is>
          <t>Empty Grade Display</t>
        </is>
      </c>
      <c r="C11" s="24">
        <f>COUNTIFS('Module09'!$C$2:$C$24, A11, 'Module09'!$M$2:$M$24, "High")</f>
        <v/>
      </c>
      <c r="D11" s="25">
        <f>COUNTIFS('Module09'!$C$2:$C$24, A11, 'Module09'!$M$2:$M$24, "Medium")</f>
        <v/>
      </c>
      <c r="E11" s="26">
        <f>COUNTIFS('Module09'!$C$2:$C$24, A11, 'Module09'!$M$2:$M$24, "Low")</f>
        <v/>
      </c>
      <c r="F11" s="27">
        <f>SUM(C11:E11)</f>
        <v/>
      </c>
    </row>
    <row r="12" ht="22" customHeight="1">
      <c r="A12" s="28" t="inlineStr">
        <is>
          <t>M09-F04</t>
        </is>
      </c>
      <c r="B12" s="29" t="inlineStr">
        <is>
          <t>Score Color Coding</t>
        </is>
      </c>
      <c r="C12" s="30">
        <f>COUNTIFS('Module09'!$C$2:$C$24, A12, 'Module09'!$M$2:$M$24, "High")</f>
        <v/>
      </c>
      <c r="D12" s="31">
        <f>COUNTIFS('Module09'!$C$2:$C$24, A12, 'Module09'!$M$2:$M$24, "Medium")</f>
        <v/>
      </c>
      <c r="E12" s="32">
        <f>COUNTIFS('Module09'!$C$2:$C$24, A12, 'Module09'!$M$2:$M$24, "Low")</f>
        <v/>
      </c>
      <c r="F12" s="33">
        <f>SUM(C12:E12)</f>
        <v/>
      </c>
    </row>
    <row r="13" ht="22" customHeight="1">
      <c r="A13" s="22" t="inlineStr">
        <is>
          <t>M09-F05</t>
        </is>
      </c>
      <c r="B13" s="23" t="inlineStr">
        <is>
          <t>Re-study Flag Display</t>
        </is>
      </c>
      <c r="C13" s="24">
        <f>COUNTIFS('Module09'!$C$2:$C$24, A13, 'Module09'!$M$2:$M$24, "High")</f>
        <v/>
      </c>
      <c r="D13" s="25">
        <f>COUNTIFS('Module09'!$C$2:$C$24, A13, 'Module09'!$M$2:$M$24, "Medium")</f>
        <v/>
      </c>
      <c r="E13" s="26">
        <f>COUNTIFS('Module09'!$C$2:$C$24, A13, 'Module09'!$M$2:$M$24, "Low")</f>
        <v/>
      </c>
      <c r="F13" s="27">
        <f>SUM(C13:E13)</f>
        <v/>
      </c>
    </row>
    <row r="14" ht="22" customHeight="1">
      <c r="A14" s="28" t="inlineStr">
        <is>
          <t>M09-F06</t>
        </is>
      </c>
      <c r="B14" s="29" t="inlineStr">
        <is>
          <t>Quick Access to Bi-Weekly Reports</t>
        </is>
      </c>
      <c r="C14" s="30">
        <f>COUNTIFS('Module09'!$C$2:$C$24, A14, 'Module09'!$M$2:$M$24, "High")</f>
        <v/>
      </c>
      <c r="D14" s="31">
        <f>COUNTIFS('Module09'!$C$2:$C$24, A14, 'Module09'!$M$2:$M$24, "Medium")</f>
        <v/>
      </c>
      <c r="E14" s="32">
        <f>COUNTIFS('Module09'!$C$2:$C$24, A14, 'Module09'!$M$2:$M$24, "Low")</f>
        <v/>
      </c>
      <c r="F14" s="33">
        <f>SUM(C14:E14)</f>
        <v/>
      </c>
    </row>
    <row r="15" ht="22" customHeight="1">
      <c r="A15" s="22" t="inlineStr">
        <is>
          <t>M09-F07</t>
        </is>
      </c>
      <c r="B15" s="23" t="inlineStr">
        <is>
          <t>Data Isolation</t>
        </is>
      </c>
      <c r="C15" s="24">
        <f>COUNTIFS('Module09'!$C$2:$C$24, A15, 'Module09'!$M$2:$M$24, "High")</f>
        <v/>
      </c>
      <c r="D15" s="25">
        <f>COUNTIFS('Module09'!$C$2:$C$24, A15, 'Module09'!$M$2:$M$24, "Medium")</f>
        <v/>
      </c>
      <c r="E15" s="26">
        <f>COUNTIFS('Module09'!$C$2:$C$24, A15, 'Module09'!$M$2:$M$24, "Low")</f>
        <v/>
      </c>
      <c r="F15" s="27">
        <f>SUM(C15:E15)</f>
        <v/>
      </c>
    </row>
    <row r="16" ht="22" customHeight="1">
      <c r="A16" s="28" t="inlineStr">
        <is>
          <t>M09-UI</t>
        </is>
      </c>
      <c r="B16" s="29" t="inlineStr">
        <is>
          <t>User Interface &amp; Responsiveness</t>
        </is>
      </c>
      <c r="C16" s="30">
        <f>COUNTIFS('Module09'!$C$2:$C$24, A16, 'Module09'!$M$2:$M$24, "High")</f>
        <v/>
      </c>
      <c r="D16" s="31">
        <f>COUNTIFS('Module09'!$C$2:$C$24, A16, 'Module09'!$M$2:$M$24, "Medium")</f>
        <v/>
      </c>
      <c r="E16" s="32">
        <f>COUNTIFS('Module09'!$C$2:$C$24, A16, 'Module09'!$M$2:$M$24, "Low")</f>
        <v/>
      </c>
      <c r="F16" s="33">
        <f>SUM(C16:E16)</f>
        <v/>
      </c>
    </row>
    <row r="17" ht="24" customHeight="1">
      <c r="A17" s="34" t="inlineStr">
        <is>
          <t>Total</t>
        </is>
      </c>
      <c r="B17" s="35">
        <f>COUNTA(A9:A16)&amp;" Features"</f>
        <v/>
      </c>
      <c r="C17" s="34">
        <f>SUM(C9:C16)</f>
        <v/>
      </c>
      <c r="D17" s="34">
        <f>SUM(D9:D16)</f>
        <v/>
      </c>
      <c r="E17" s="34">
        <f>SUM(E9:E16)</f>
        <v/>
      </c>
      <c r="F17" s="34">
        <f>SUM(F9:F16)</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35" customHeight="1">
      <c r="A2" s="2" t="inlineStr">
        <is>
          <t>TC-M09-001</t>
        </is>
      </c>
      <c r="B2" s="2" t="inlineStr">
        <is>
          <t>Module 09 – Student Portal</t>
        </is>
      </c>
      <c r="C2" s="3" t="inlineStr">
        <is>
          <t>M09-F01</t>
        </is>
      </c>
      <c r="D2" s="4" t="inlineStr">
        <is>
          <t>Role-based Auto-login</t>
        </is>
      </c>
      <c r="E2" s="4" t="inlineStr">
        <is>
          <t>Đăng nhập bằng tài khoản Student hợp lệ</t>
        </is>
      </c>
      <c r="F2" s="4" t="inlineStr">
        <is>
          <t>Xác minh học sinh có email thuộc domain @student.passerellesnumeriques.org đăng nhập thành công vào Student Portal qua Google OAuth.</t>
        </is>
      </c>
      <c r="G2" s="4" t="inlineStr">
        <is>
          <t>Người dùng chưa đăng nhập hệ thống. Trình duyệt đã kết nối internet và hỗ trợ Google OAuth.</t>
        </is>
      </c>
      <c r="H2" s="4" t="inlineStr">
        <is>
          <t>UserEmail=student01@student.passerellesnumeriques.org; Role=Student</t>
        </is>
      </c>
      <c r="I2" s="4" t="inlineStr">
        <is>
          <t>1. Truy cập URL của hệ thống.
2. Tại màn hình đăng nhập Google OAuth, nhập tài khoản student01@student.passerellesnumeriques.org.
3. Nhập mật khẩu hợp lệ và đồng ý cấp quyền nếu có.
4. Quan sát trang web sau khi chuyển hướng.</t>
        </is>
      </c>
      <c r="J2" s="4" t="inlineStr">
        <is>
          <t>Đăng nhập thành công. Giao diện tự động chuyển hướng đến Student Portal (mặc định mở tab Academic).
Thông tin của học sinh hiển thị chính xác bao gồm Họ tên, Mã học sinh ở góc màn hình.
Dữ liệu điểm học tập của chính học sinh này được tải lên thành công.</t>
        </is>
      </c>
      <c r="K2" s="4" t="inlineStr"/>
      <c r="L2" s="5" t="inlineStr">
        <is>
          <t>Not Run</t>
        </is>
      </c>
      <c r="M2" s="6" t="inlineStr">
        <is>
          <t>High</t>
        </is>
      </c>
      <c r="N2" s="4" t="inlineStr">
        <is>
          <t>Liên quan đến M09-F01, M09-F07, Rule 7.1, Rule 7.9</t>
        </is>
      </c>
    </row>
    <row r="3" ht="120" customHeight="1">
      <c r="A3" s="7" t="inlineStr">
        <is>
          <t>TC-M09-002</t>
        </is>
      </c>
      <c r="B3" s="7" t="inlineStr">
        <is>
          <t>Module 09 – Student Portal</t>
        </is>
      </c>
      <c r="C3" s="8" t="inlineStr">
        <is>
          <t>M09-F01</t>
        </is>
      </c>
      <c r="D3" s="9" t="inlineStr">
        <is>
          <t>Role-based Auto-login</t>
        </is>
      </c>
      <c r="E3" s="9" t="inlineStr">
        <is>
          <t>Đăng nhập bằng tài khoản Staff của tổ chức</t>
        </is>
      </c>
      <c r="F3" s="9" t="inlineStr">
        <is>
          <t>Xác minh tài khoản Staff khi đăng nhập qua Google OAuth sẽ được tự động nhận diện domain và chuyển hướng đến Staff Portal thay vì Student Portal.</t>
        </is>
      </c>
      <c r="G3" s="9" t="inlineStr">
        <is>
          <t>Người dùng chưa đăng nhập hệ thống.</t>
        </is>
      </c>
      <c r="H3" s="9" t="inlineStr">
        <is>
          <t>UserEmail=staff_user@passerellesnumeriques.org; Role=Staff</t>
        </is>
      </c>
      <c r="I3" s="9" t="inlineStr">
        <is>
          <t>1. Truy cập URL của hệ thống.
2. Thực hiện đăng nhập qua Google OAuth bằng tài khoản staff_user@passerellesnumeriques.org.
3. Quan sát giao diện sau khi đăng nhập thành công.</t>
        </is>
      </c>
      <c r="J3" s="9" t="inlineStr">
        <is>
          <t>Đăng nhập thành công.
Hệ thống tự động nhận diện email thuộc domain @passerellesnumeriques.org.
Chuyển hướng người dùng sang Staff Portal với đầy đủ tính năng quản trị. Không hiển thị giao diện Student Portal.</t>
        </is>
      </c>
      <c r="K3" s="9" t="inlineStr"/>
      <c r="L3" s="5" t="inlineStr">
        <is>
          <t>Not Run</t>
        </is>
      </c>
      <c r="M3" s="6" t="inlineStr">
        <is>
          <t>High</t>
        </is>
      </c>
      <c r="N3" s="9" t="inlineStr">
        <is>
          <t>Liên quan đến M09-F01, Rule 7.1, Docs - Mục 6</t>
        </is>
      </c>
    </row>
    <row r="4" ht="120" customHeight="1">
      <c r="A4" s="2" t="inlineStr">
        <is>
          <t>TC-M09-003</t>
        </is>
      </c>
      <c r="B4" s="2" t="inlineStr">
        <is>
          <t>Module 09 – Student Portal</t>
        </is>
      </c>
      <c r="C4" s="3" t="inlineStr">
        <is>
          <t>M09-F01</t>
        </is>
      </c>
      <c r="D4" s="4" t="inlineStr">
        <is>
          <t>Role-based Auto-login</t>
        </is>
      </c>
      <c r="E4" s="4" t="inlineStr">
        <is>
          <t>Đăng nhập bằng tài khoản cá nhân ngoài tổ chức</t>
        </is>
      </c>
      <c r="F4" s="4" t="inlineStr">
        <is>
          <t>Xác minh tài khoản email không thuộc các domain của tổ chức (ví dụ @gmail.com) bị hệ thống chặn truy cập.</t>
        </is>
      </c>
      <c r="G4" s="4" t="inlineStr">
        <is>
          <t>Người dùng chưa đăng nhập hệ thống.</t>
        </is>
      </c>
      <c r="H4" s="4" t="inlineStr">
        <is>
          <t>UserEmail=guest_user@gmail.com; Role=Guest</t>
        </is>
      </c>
      <c r="I4" s="4" t="inlineStr">
        <is>
          <t>1. Truy cập URL của hệ thống.
2. Thực hiện đăng nhập qua Google OAuth bằng tài khoản guest_user@gmail.com.
3. Quan sát phản hồi của hệ thống.</t>
        </is>
      </c>
      <c r="J4" s="4" t="inlineStr">
        <is>
          <t>Đăng nhập thất bại.
Hệ thống từ chối quyền truy cập của email domain @gmail.com.
Chuyển hướng người dùng sang trang báo lỗi "Access Denied" (Từ chối truy cập). Không tải bất kỳ dữ liệu nào của hệ thống.</t>
        </is>
      </c>
      <c r="K4" s="4" t="inlineStr"/>
      <c r="L4" s="5" t="inlineStr">
        <is>
          <t>Not Run</t>
        </is>
      </c>
      <c r="M4" s="6" t="inlineStr">
        <is>
          <t>High</t>
        </is>
      </c>
      <c r="N4" s="4" t="inlineStr">
        <is>
          <t>Liên quan đến M09-F01, Rule 7.1, Error Handling (Mục 9)</t>
        </is>
      </c>
    </row>
    <row r="5" ht="105" customHeight="1">
      <c r="A5" s="7" t="inlineStr">
        <is>
          <t>TC-M09-004</t>
        </is>
      </c>
      <c r="B5" s="7" t="inlineStr">
        <is>
          <t>Module 09 – Student Portal</t>
        </is>
      </c>
      <c r="C5" s="8" t="inlineStr">
        <is>
          <t>M09-F01</t>
        </is>
      </c>
      <c r="D5" s="9" t="inlineStr">
        <is>
          <t>Role-based Auto-login</t>
        </is>
      </c>
      <c r="E5" s="9" t="inlineStr">
        <is>
          <t>Đăng nhập bằng email student hợp lệ nhưng không có dữ liệu trong hệ thống</t>
        </is>
      </c>
      <c r="F5" s="9" t="inlineStr">
        <is>
          <t>Xác minh hệ thống không bị lỗi crash và hiển thị thông điệp phù hợp khi email student thuộc domain hợp lệ nhưng không nằm trong danh sách dữ liệu học sinh.</t>
        </is>
      </c>
      <c r="G5" s="9" t="inlineStr">
        <is>
          <t>Người dùng chưa đăng nhập hệ thống. Tài khoản Google student tồn tại nhưng email này chưa được cấu hình trong Sheet danh sách học sinh.</t>
        </is>
      </c>
      <c r="H5" s="9" t="inlineStr">
        <is>
          <t>UserEmail=new_student@student.passerellesnumeriques.org</t>
        </is>
      </c>
      <c r="I5" s="9" t="inlineStr">
        <is>
          <t>1. Truy cập URL của hệ thống.
2. Thực hiện đăng nhập qua Google OAuth bằng tài khoản new_student@student.passerellesnumeriques.org.
3. Quan sát giao diện sau khi chuyển hướng thành công.</t>
        </is>
      </c>
      <c r="J5" s="9" t="inlineStr">
        <is>
          <t>Đăng nhập thành công vào Student Portal.
Hệ thống không bị lỗi crash/trắng màn hình.
Hiển thị thông báo rõ ràng cho người dùng: "No academic records found." (Không tìm thấy dữ liệu học tập).</t>
        </is>
      </c>
      <c r="K5" s="9" t="inlineStr"/>
      <c r="L5" s="5" t="inlineStr">
        <is>
          <t>Not Run</t>
        </is>
      </c>
      <c r="M5" s="6" t="inlineStr">
        <is>
          <t>High</t>
        </is>
      </c>
      <c r="N5" s="9" t="inlineStr">
        <is>
          <t>Liên quan đến M09-F01, M09-F07, Error Handling (Mục 9)</t>
        </is>
      </c>
    </row>
    <row r="6" ht="180" customHeight="1">
      <c r="A6" s="2" t="inlineStr">
        <is>
          <t>TC-M09-005</t>
        </is>
      </c>
      <c r="B6" s="2" t="inlineStr">
        <is>
          <t>Module 09 – Student Portal</t>
        </is>
      </c>
      <c r="C6" s="3" t="inlineStr">
        <is>
          <t>M09-F02</t>
        </is>
      </c>
      <c r="D6" s="4" t="inlineStr">
        <is>
          <t>Read-only Academic View</t>
        </is>
      </c>
      <c r="E6" s="4" t="inlineStr">
        <is>
          <t>Chuyển đổi giữa các học kỳ (Semester Selector)</t>
        </is>
      </c>
      <c r="F6" s="4" t="inlineStr">
        <is>
          <t>Xác minh tính năng chuyển đổi học kỳ hiển thị đúng dữ liệu điểm của học kỳ được chọn.</t>
        </is>
      </c>
      <c r="G6" s="4" t="inlineStr">
        <is>
          <t>Học sinh đã đăng nhập thành công vào Student Portal.
Học sinh này đã có dữ liệu điểm ở nhiều học kỳ (ví dụ: Học kỳ 1 và Học kỳ 2).</t>
        </is>
      </c>
      <c r="H6" s="4" t="inlineStr">
        <is>
          <t>StudentCode=PNV26001; TargetSemester=Semester 2</t>
        </is>
      </c>
      <c r="I6" s="4" t="inlineStr">
        <is>
          <t>1. Tại giao diện Student Portal, định vị bộ chọn học kỳ (Semester Selector).
2. Nhấp vào danh sách thả xuống và chọn "Semester 2" (Học kỳ 2).
3. Quan sát danh sách môn học và điểm số hiển thị.
4. Nhấp chọn lại "Semester 1" (Học kỳ 1).
5. Quan sát danh sách môn học và điểm số hiển thị.</t>
        </is>
      </c>
      <c r="J6" s="4" t="inlineStr">
        <is>
          <t>Bảng điểm cập nhật nhanh chóng và chính xác theo học kỳ được chọn.
Khi chọn "Semester 2", hệ thống chỉ tải các môn học và điểm số thuộc Học kỳ 2.
Khi chọn "Semester 1", hệ thống chỉ tải các môn học và điểm số thuộc Học kỳ 1.</t>
        </is>
      </c>
      <c r="K6" s="4" t="inlineStr"/>
      <c r="L6" s="5" t="inlineStr">
        <is>
          <t>Not Run</t>
        </is>
      </c>
      <c r="M6" s="6" t="inlineStr">
        <is>
          <t>High</t>
        </is>
      </c>
      <c r="N6" s="4" t="inlineStr">
        <is>
          <t>Liên quan đến M09-F02, Rule 7.2</t>
        </is>
      </c>
    </row>
    <row r="7" ht="150" customHeight="1">
      <c r="A7" s="7" t="inlineStr">
        <is>
          <t>TC-M09-006</t>
        </is>
      </c>
      <c r="B7" s="7" t="inlineStr">
        <is>
          <t>Module 09 – Student Portal</t>
        </is>
      </c>
      <c r="C7" s="8" t="inlineStr">
        <is>
          <t>M09-F02</t>
        </is>
      </c>
      <c r="D7" s="9" t="inlineStr">
        <is>
          <t>Read-only Academic View</t>
        </is>
      </c>
      <c r="E7" s="9" t="inlineStr">
        <is>
          <t>Kiểm tra phân nhóm môn học theo danh mục (Subject Categories)</t>
        </is>
      </c>
      <c r="F7" s="9" t="inlineStr">
        <is>
          <t>Xác minh các môn học trong học kỳ hiển thị đúng phân nhóm theo 4 danh mục đào tạo.</t>
        </is>
      </c>
      <c r="G7" s="9" t="inlineStr">
        <is>
          <t>Học sinh đã đăng nhập thành công vào Student Portal.
Học kỳ hiện tại có chứa các môn học thuộc cả 4 danh mục.</t>
        </is>
      </c>
      <c r="H7" s="9" t="inlineStr">
        <is>
          <t>StudentCode=PNV26001; SelectedSemester=Semester 1</t>
        </is>
      </c>
      <c r="I7" s="9" t="inlineStr">
        <is>
          <t>1. Chọn Học kỳ 1.
2. Quan sát bố cục hiển thị của danh sách môn học.
3. Kiểm tra xem các môn học có được xếp dưới các tiêu đề nhóm tương ứng hay không: Fundamental, IT, English, Soft Skills.
4. Đối chiếu môn học cụ thể (ví dụ môn Math phải thuộc Fundamental, Java thuộc IT).</t>
        </is>
      </c>
      <c r="J7" s="9" t="inlineStr">
        <is>
          <t>Các môn học được phân nhóm chính xác và hiển thị dưới các tiêu đề danh mục: Fundamental, IT, English, Soft Skills.
Bố cục phân nhóm rõ ràng, dễ đọc, không có môn học nào bị xếp sai nhóm hoặc không có nhóm.</t>
        </is>
      </c>
      <c r="K7" s="9" t="inlineStr"/>
      <c r="L7" s="5" t="inlineStr">
        <is>
          <t>Not Run</t>
        </is>
      </c>
      <c r="M7" s="10" t="inlineStr">
        <is>
          <t>Medium</t>
        </is>
      </c>
      <c r="N7" s="9" t="inlineStr">
        <is>
          <t>Liên quan đến M09-F02, Rule 7.3</t>
        </is>
      </c>
    </row>
    <row r="8" ht="165" customHeight="1">
      <c r="A8" s="2" t="inlineStr">
        <is>
          <t>TC-M09-007</t>
        </is>
      </c>
      <c r="B8" s="2" t="inlineStr">
        <is>
          <t>Module 09 – Student Portal</t>
        </is>
      </c>
      <c r="C8" s="3" t="inlineStr">
        <is>
          <t>M09-F02</t>
        </is>
      </c>
      <c r="D8" s="4" t="inlineStr">
        <is>
          <t>Read-only Academic View</t>
        </is>
      </c>
      <c r="E8" s="4" t="inlineStr">
        <is>
          <t>Kiểm tra tính năng Chỉ đọc (Read-only) của Student Portal</t>
        </is>
      </c>
      <c r="F8" s="4" t="inlineStr">
        <is>
          <t>Xác minh học sinh hoàn toàn không có quyền chỉnh sửa điểm số hay thực hiện các tác vụ thay đổi dữ liệu trên giao diện.</t>
        </is>
      </c>
      <c r="G8" s="4" t="inlineStr">
        <is>
          <t>Học sinh đã đăng nhập thành công vào Student Portal và đang ở màn hình hiển thị điểm.</t>
        </is>
      </c>
      <c r="H8" s="4" t="inlineStr">
        <is>
          <t>StudentCode=PNV26001</t>
        </is>
      </c>
      <c r="I8" s="4" t="inlineStr">
        <is>
          <t>1. Quan sát toàn bộ giao diện màn hình Academic.
2. Kiểm tra sự xuất hiện của các nút: Chỉnh sửa (Edit), Lưu (Save), Xóa (Delete), Nhập điểm (Import), Tải lên (Upload).
3. Thử nhấp chuột vào các ô điểm số (KT TX, ĐK1-ĐK6, TCK, TLCK, Final Score, GPA).
4. Thử gõ bàn phím để thay đổi giá trị điểm.</t>
        </is>
      </c>
      <c r="J8" s="4" t="inlineStr">
        <is>
          <t>Giao diện không hiển thị bất kỳ nút hoặc công cụ nào cho phép chỉnh sửa, lưu, xóa hoặc nhập dữ liệu.
Tất cả điểm số hiển thị dưới dạng văn bản tĩnh (read-only), không thể nhấp vào để chỉnh sửa hay nhập liệu từ bàn phím.</t>
        </is>
      </c>
      <c r="K8" s="4" t="inlineStr"/>
      <c r="L8" s="5" t="inlineStr">
        <is>
          <t>Not Run</t>
        </is>
      </c>
      <c r="M8" s="6" t="inlineStr">
        <is>
          <t>High</t>
        </is>
      </c>
      <c r="N8" s="4" t="inlineStr">
        <is>
          <t>Liên quan đến M09-F02, Rule 7.4</t>
        </is>
      </c>
    </row>
    <row r="9" ht="90" customHeight="1">
      <c r="A9" s="7" t="inlineStr">
        <is>
          <t>TC-M09-008</t>
        </is>
      </c>
      <c r="B9" s="7" t="inlineStr">
        <is>
          <t>Module 09 – Student Portal</t>
        </is>
      </c>
      <c r="C9" s="8" t="inlineStr">
        <is>
          <t>M09-F03</t>
        </is>
      </c>
      <c r="D9" s="9" t="inlineStr">
        <is>
          <t>Empty Grade Display</t>
        </is>
      </c>
      <c r="E9" s="9" t="inlineStr">
        <is>
          <t>Hiển thị điểm số chưa được nhập (Empty Grades)</t>
        </is>
      </c>
      <c r="F9" s="9" t="inlineStr">
        <is>
          <t>Xác minh các ô điểm số chưa có dữ liệu sẽ hiển thị ký tự "—" để tránh gây hiểu lầm cho học sinh.</t>
        </is>
      </c>
      <c r="G9" s="9" t="inlineStr">
        <is>
          <t>Học sinh đã đăng nhập. Học sinh này có một số cột điểm chưa được giáo viên nhập (ví dụ điểm thi lại TLCK hoặc điểm định kỳ ĐK3 đang trống trên Sheets).</t>
        </is>
      </c>
      <c r="H9" s="9" t="inlineStr">
        <is>
          <t>StudentCode=PNV26001; Subject=Java Programming; EmptyColumn=TLCK</t>
        </is>
      </c>
      <c r="I9" s="9" t="inlineStr">
        <is>
          <t>1. Truy cập bảng điểm của học kỳ chứa môn Java Programming.
2. Quan sát hiển thị tại cột thi lại "TLCK" và các ô điểm trống khác của môn học này.</t>
        </is>
      </c>
      <c r="J9" s="9" t="inlineStr">
        <is>
          <t>Hệ thống hiển thị ký tự "—" (gạch quang) tại các ô điểm chưa được nhập.
Không hiển thị số "0" hoặc "0.0" hoặc để khoảng trống gây hiểu lầm, không xảy ra lỗi hiển thị hoặc lỗi hệ thống.</t>
        </is>
      </c>
      <c r="K9" s="9" t="inlineStr"/>
      <c r="L9" s="5" t="inlineStr">
        <is>
          <t>Not Run</t>
        </is>
      </c>
      <c r="M9" s="6" t="inlineStr">
        <is>
          <t>High</t>
        </is>
      </c>
      <c r="N9" s="9" t="inlineStr">
        <is>
          <t>Liên quan đến M09-F03, Rule 7.5, Error Handling (Mục 9)</t>
        </is>
      </c>
    </row>
    <row r="10" ht="75" customHeight="1">
      <c r="A10" s="2" t="inlineStr">
        <is>
          <t>TC-M09-009</t>
        </is>
      </c>
      <c r="B10" s="2" t="inlineStr">
        <is>
          <t>Module 09 – Student Portal</t>
        </is>
      </c>
      <c r="C10" s="3" t="inlineStr">
        <is>
          <t>M09-F04</t>
        </is>
      </c>
      <c r="D10" s="4" t="inlineStr">
        <is>
          <t>Score Color Coding</t>
        </is>
      </c>
      <c r="E10" s="4" t="inlineStr">
        <is>
          <t>Mã màu điểm tổng kết (/10) đạt loại Giỏi (&gt;= 8.0)</t>
        </is>
      </c>
      <c r="F10" s="4" t="inlineStr">
        <is>
          <t>Xác minh điểm tổng kết lớn hơn hoặc bằng 8.0 hiển thị màu Xanh lá (Green).</t>
        </is>
      </c>
      <c r="G10" s="4" t="inlineStr">
        <is>
          <t>Học sinh đã đăng nhập và đang xem bảng điểm học kỳ. Môn Math có điểm tổng kết là 8.0, môn IT Basics có điểm tổng kết là 9.2.</t>
        </is>
      </c>
      <c r="H10" s="4" t="inlineStr">
        <is>
          <t>StudentCode=PNV26001; Subject1=Math; FinalScore1=8.0; Subject2=IT Basics; FinalScore2=9.2</t>
        </is>
      </c>
      <c r="I10" s="4" t="inlineStr">
        <is>
          <t>1. Tìm đến các môn Math và IT Basics trên bảng điểm.
2. Quan sát màu sắc của điểm số hiển thị tại cột điểm tổng kết "/10".</t>
        </is>
      </c>
      <c r="J10" s="4" t="inlineStr">
        <is>
          <t>Điểm số "8.0" và "9.2" hiển thị với màu xanh lá cây (Green) rõ ràng.</t>
        </is>
      </c>
      <c r="K10" s="4" t="inlineStr"/>
      <c r="L10" s="5" t="inlineStr">
        <is>
          <t>Not Run</t>
        </is>
      </c>
      <c r="M10" s="10" t="inlineStr">
        <is>
          <t>Medium</t>
        </is>
      </c>
      <c r="N10" s="4" t="inlineStr">
        <is>
          <t>Liên quan đến M09-F04, Rule 5.5, Rule 7.6</t>
        </is>
      </c>
    </row>
    <row r="11" ht="60" customHeight="1">
      <c r="A11" s="7" t="inlineStr">
        <is>
          <t>TC-M09-010</t>
        </is>
      </c>
      <c r="B11" s="7" t="inlineStr">
        <is>
          <t>Module 09 – Student Portal</t>
        </is>
      </c>
      <c r="C11" s="8" t="inlineStr">
        <is>
          <t>M09-F04</t>
        </is>
      </c>
      <c r="D11" s="9" t="inlineStr">
        <is>
          <t>Score Color Coding</t>
        </is>
      </c>
      <c r="E11" s="9" t="inlineStr">
        <is>
          <t>Mã màu điểm tổng kết (/10) đạt loại Khá/Trung bình (5.5 – 7.9)</t>
        </is>
      </c>
      <c r="F11" s="9" t="inlineStr">
        <is>
          <t>Xác minh điểm tổng kết từ 5.5 đến 7.9 hiển thị màu Cam (Orange).</t>
        </is>
      </c>
      <c r="G11" s="9" t="inlineStr">
        <is>
          <t>Học sinh đã đăng nhập và đang xem bảng điểm học kỳ. Môn English có điểm tổng kết là 5.5, môn Soft Skills có điểm tổng kết là 7.9.</t>
        </is>
      </c>
      <c r="H11" s="9" t="inlineStr">
        <is>
          <t>StudentCode=PNV26001; Subject1=English; FinalScore1=5.5; Subject2=Soft Skills; FinalScore2=7.9</t>
        </is>
      </c>
      <c r="I11" s="9" t="inlineStr">
        <is>
          <t>1. Tìm môn English và Soft Skills trên bảng điểm.
2. Quan sát màu sắc hiển thị của điểm số tại cột điểm tổng kết "/10".</t>
        </is>
      </c>
      <c r="J11" s="9" t="inlineStr">
        <is>
          <t>Điểm số "5.5" và "7.9" hiển thị với màu cam (Orange) rõ ràng.</t>
        </is>
      </c>
      <c r="K11" s="9" t="inlineStr"/>
      <c r="L11" s="5" t="inlineStr">
        <is>
          <t>Not Run</t>
        </is>
      </c>
      <c r="M11" s="10" t="inlineStr">
        <is>
          <t>Medium</t>
        </is>
      </c>
      <c r="N11" s="9" t="inlineStr">
        <is>
          <t>Liên quan đến M09-F04, Rule 5.5, Rule 7.6</t>
        </is>
      </c>
    </row>
    <row r="12" ht="75" customHeight="1">
      <c r="A12" s="2" t="inlineStr">
        <is>
          <t>TC-M09-011</t>
        </is>
      </c>
      <c r="B12" s="2" t="inlineStr">
        <is>
          <t>Module 09 – Student Portal</t>
        </is>
      </c>
      <c r="C12" s="3" t="inlineStr">
        <is>
          <t>M09-F04</t>
        </is>
      </c>
      <c r="D12" s="4" t="inlineStr">
        <is>
          <t>Score Color Coding</t>
        </is>
      </c>
      <c r="E12" s="4" t="inlineStr">
        <is>
          <t>Mã màu điểm tổng kết (/10) loại Yếu (&lt; 5.5)</t>
        </is>
      </c>
      <c r="F12" s="4" t="inlineStr">
        <is>
          <t>Xác minh điểm tổng kết nhỏ hơn 5.5 hiển thị màu Đỏ (Red).</t>
        </is>
      </c>
      <c r="G12" s="4" t="inlineStr">
        <is>
          <t>Học sinh đã đăng nhập và đang xem bảng điểm. Môn Web Development có điểm tổng kết là 5.4, môn Algorithms có điểm tổng kết là 4.0.</t>
        </is>
      </c>
      <c r="H12" s="4" t="inlineStr">
        <is>
          <t>StudentCode=PNV26001; Subject1=Web Development; FinalScore1=5.4; Subject2=Algorithms; FinalScore2=4.0</t>
        </is>
      </c>
      <c r="I12" s="4" t="inlineStr">
        <is>
          <t>1. Tìm môn Web Development và Algorithms trên bảng điểm.
2. Quan sát màu sắc hiển thị của điểm số tại cột điểm tổng kết "/10".</t>
        </is>
      </c>
      <c r="J12" s="4" t="inlineStr">
        <is>
          <t>Điểm số "5.4" và "4.0" hiển thị với màu đỏ (Red) rõ ràng.</t>
        </is>
      </c>
      <c r="K12" s="4" t="inlineStr"/>
      <c r="L12" s="5" t="inlineStr">
        <is>
          <t>Not Run</t>
        </is>
      </c>
      <c r="M12" s="10" t="inlineStr">
        <is>
          <t>Medium</t>
        </is>
      </c>
      <c r="N12" s="4" t="inlineStr">
        <is>
          <t>Liên quan đến M09-F04, Rule 5.5, Rule 7.6</t>
        </is>
      </c>
    </row>
    <row r="13" ht="75" customHeight="1">
      <c r="A13" s="7" t="inlineStr">
        <is>
          <t>TC-M09-012</t>
        </is>
      </c>
      <c r="B13" s="7" t="inlineStr">
        <is>
          <t>Module 09 – Student Portal</t>
        </is>
      </c>
      <c r="C13" s="8" t="inlineStr">
        <is>
          <t>M09-F04</t>
        </is>
      </c>
      <c r="D13" s="9" t="inlineStr">
        <is>
          <t>Score Color Coding</t>
        </is>
      </c>
      <c r="E13" s="9" t="inlineStr">
        <is>
          <t>Mã màu điểm GPA (/4) đạt loại Giỏi/Xuất sắc (&gt;= 3.5)</t>
        </is>
      </c>
      <c r="F13" s="9" t="inlineStr">
        <is>
          <t>Xác minh điểm trung bình tích lũy học kỳ GPA lớn hơn hoặc bằng 3.5 hiển thị màu Xanh lá (Green).</t>
        </is>
      </c>
      <c r="G13" s="9" t="inlineStr">
        <is>
          <t>Học sinh đã đăng nhập. Học kỳ hiện tại học sinh đạt điểm trung bình GPA là 3.5 hoặc 3.8.</t>
        </is>
      </c>
      <c r="H13" s="9" t="inlineStr">
        <is>
          <t>StudentCode=PNV26001; GPA=3.5; GPA2=3.8</t>
        </is>
      </c>
      <c r="I13" s="9" t="inlineStr">
        <is>
          <t>1. Quan sát vùng hiển thị điểm trung bình GPA học kỳ hiện tại trên giao diện.
2. Kiểm tra màu sắc hiển thị của điểm GPA.</t>
        </is>
      </c>
      <c r="J13" s="9" t="inlineStr">
        <is>
          <t>Điểm số GPA "3.5" và "3.8" hiển thị với màu xanh lá cây (Green).</t>
        </is>
      </c>
      <c r="K13" s="9" t="inlineStr"/>
      <c r="L13" s="5" t="inlineStr">
        <is>
          <t>Not Run</t>
        </is>
      </c>
      <c r="M13" s="10" t="inlineStr">
        <is>
          <t>Medium</t>
        </is>
      </c>
      <c r="N13" s="9" t="inlineStr">
        <is>
          <t>Liên quan đến M09-F04, Rule 5.5, Rule 7.6</t>
        </is>
      </c>
    </row>
    <row r="14" ht="60" customHeight="1">
      <c r="A14" s="2" t="inlineStr">
        <is>
          <t>TC-M09-013</t>
        </is>
      </c>
      <c r="B14" s="2" t="inlineStr">
        <is>
          <t>Module 09 – Student Portal</t>
        </is>
      </c>
      <c r="C14" s="3" t="inlineStr">
        <is>
          <t>M09-F04</t>
        </is>
      </c>
      <c r="D14" s="4" t="inlineStr">
        <is>
          <t>Score Color Coding</t>
        </is>
      </c>
      <c r="E14" s="4" t="inlineStr">
        <is>
          <t>Mã màu điểm GPA (/4) đạt loại Trung bình/Khá (2.0 – 3.4)</t>
        </is>
      </c>
      <c r="F14" s="4" t="inlineStr">
        <is>
          <t>Xác minh điểm trung bình tích lũy học kỳ GPA từ 2.0 đến 3.4 hiển thị màu Cam (Orange).</t>
        </is>
      </c>
      <c r="G14" s="4" t="inlineStr">
        <is>
          <t>Học sinh đã đăng nhập. Học kỳ hiện tại học sinh đạt GPA là 2.0 hoặc 3.1.</t>
        </is>
      </c>
      <c r="H14" s="4" t="inlineStr">
        <is>
          <t>StudentCode=PNV26001; GPA=2.0; GPA2=3.1</t>
        </is>
      </c>
      <c r="I14" s="4" t="inlineStr">
        <is>
          <t>1. Quan sát khu vực hiển thị điểm trung bình GPA trên màn hình.
2. Kiểm tra màu sắc hiển thị của điểm GPA.</t>
        </is>
      </c>
      <c r="J14" s="4" t="inlineStr">
        <is>
          <t>Điểm GPA "2.0" và "3.1" hiển thị với màu cam (Orange).</t>
        </is>
      </c>
      <c r="K14" s="4" t="inlineStr"/>
      <c r="L14" s="5" t="inlineStr">
        <is>
          <t>Not Run</t>
        </is>
      </c>
      <c r="M14" s="10" t="inlineStr">
        <is>
          <t>Medium</t>
        </is>
      </c>
      <c r="N14" s="4" t="inlineStr">
        <is>
          <t>Liên quan đến M09-F04, Rule 5.5, Rule 7.6</t>
        </is>
      </c>
    </row>
    <row r="15" ht="60" customHeight="1">
      <c r="A15" s="7" t="inlineStr">
        <is>
          <t>TC-M09-014</t>
        </is>
      </c>
      <c r="B15" s="7" t="inlineStr">
        <is>
          <t>Module 09 – Student Portal</t>
        </is>
      </c>
      <c r="C15" s="8" t="inlineStr">
        <is>
          <t>M09-F04</t>
        </is>
      </c>
      <c r="D15" s="9" t="inlineStr">
        <is>
          <t>Score Color Coding</t>
        </is>
      </c>
      <c r="E15" s="9" t="inlineStr">
        <is>
          <t>Mã màu điểm GPA (/4) loại Yếu (&lt; 2.0)</t>
        </is>
      </c>
      <c r="F15" s="9" t="inlineStr">
        <is>
          <t>Xác minh điểm trung bình tích lũy học kỳ GPA nhỏ hơn 2.0 hiển thị màu Đỏ (Red).</t>
        </is>
      </c>
      <c r="G15" s="9" t="inlineStr">
        <is>
          <t>Học sinh đã đăng nhập. Học kỳ hiện tại học sinh đạt GPA là 1.9 hoặc 1.2.</t>
        </is>
      </c>
      <c r="H15" s="9" t="inlineStr">
        <is>
          <t>StudentCode=PNV26001; GPA=1.9; GPA2=1.2</t>
        </is>
      </c>
      <c r="I15" s="9" t="inlineStr">
        <is>
          <t>1. Quan sát khu vực hiển thị điểm trung bình GPA trên màn hình.
2. Kiểm tra màu sắc hiển thị của điểm GPA.</t>
        </is>
      </c>
      <c r="J15" s="9" t="inlineStr">
        <is>
          <t>Điểm GPA "1.9" và "1.2" hiển thị với màu đỏ (Red).</t>
        </is>
      </c>
      <c r="K15" s="9" t="inlineStr"/>
      <c r="L15" s="5" t="inlineStr">
        <is>
          <t>Not Run</t>
        </is>
      </c>
      <c r="M15" s="10" t="inlineStr">
        <is>
          <t>Medium</t>
        </is>
      </c>
      <c r="N15" s="9" t="inlineStr">
        <is>
          <t>Liên quan đến M09-F04, Rule 5.5, Rule 7.6</t>
        </is>
      </c>
    </row>
    <row r="16" ht="75" customHeight="1">
      <c r="A16" s="2" t="inlineStr">
        <is>
          <t>TC-M09-015</t>
        </is>
      </c>
      <c r="B16" s="2" t="inlineStr">
        <is>
          <t>Module 09 – Student Portal</t>
        </is>
      </c>
      <c r="C16" s="3" t="inlineStr">
        <is>
          <t>M09-F05</t>
        </is>
      </c>
      <c r="D16" s="4" t="inlineStr">
        <is>
          <t>Re-study Flag Display</t>
        </is>
      </c>
      <c r="E16" s="4" t="inlineStr">
        <is>
          <t>Hiển thị nhãn Học lại (Re-study) cho môn học bị đánh dấu học lại</t>
        </is>
      </c>
      <c r="F16" s="4" t="inlineStr">
        <is>
          <t>Xác minh môn học bị đánh dấu học lại trên hệ thống (Re-study = True) sẽ hiển thị nhãn cảnh báo màu đỏ.</t>
        </is>
      </c>
      <c r="G16" s="4" t="inlineStr">
        <is>
          <t>Học sinh đã đăng nhập. Môn Database Management của học sinh này bị đánh dấu Re-study = True trên Sheets database. Môn Java Basics có Re-study = False.</t>
        </is>
      </c>
      <c r="H16" s="4" t="inlineStr">
        <is>
          <t>StudentCode=PNV26001; Subject1=Database Management; ReStudy1=True; Subject2=Java Basics; ReStudy2=False</t>
        </is>
      </c>
      <c r="I16" s="4" t="inlineStr">
        <is>
          <t>1. Truy cập bảng điểm học kỳ chứa môn Database Management và Java Basics.
2. Kiểm tra cột "Re-study" hoặc phần nhãn bên cạnh tên mỗi môn học.</t>
        </is>
      </c>
      <c r="J16" s="4" t="inlineStr">
        <is>
          <t>Môn Database Management hiển thị một nhãn hoặc huy hiệu "Re-study" màu đỏ nổi bật.
Môn Java Basics không hiển thị bất kỳ nhãn cảnh báo học lại nào.</t>
        </is>
      </c>
      <c r="K16" s="4" t="inlineStr"/>
      <c r="L16" s="5" t="inlineStr">
        <is>
          <t>Not Run</t>
        </is>
      </c>
      <c r="M16" s="6" t="inlineStr">
        <is>
          <t>High</t>
        </is>
      </c>
      <c r="N16" s="4" t="inlineStr">
        <is>
          <t>Liên quan đến M09-F05, Rule 7.7</t>
        </is>
      </c>
    </row>
    <row r="17" ht="120" customHeight="1">
      <c r="A17" s="7" t="inlineStr">
        <is>
          <t>TC-M09-016</t>
        </is>
      </c>
      <c r="B17" s="7" t="inlineStr">
        <is>
          <t>Module 09 – Student Portal</t>
        </is>
      </c>
      <c r="C17" s="8" t="inlineStr">
        <is>
          <t>M09-F06</t>
        </is>
      </c>
      <c r="D17" s="9" t="inlineStr">
        <is>
          <t>Quick Access to Bi-Weekly Reports</t>
        </is>
      </c>
      <c r="E17" s="9" t="inlineStr">
        <is>
          <t>Hiển thị shortcut Báo cáo thực tập khi nhóm thực tập đang hoạt động (On-going)</t>
        </is>
      </c>
      <c r="F17" s="9" t="inlineStr">
        <is>
          <t>Xác minh shortcut dẫn đến Báo cáo thực tập hiển thị khi học sinh thuộc nhóm thực tập ở trạng thái On-going.</t>
        </is>
      </c>
      <c r="G17" s="9" t="inlineStr">
        <is>
          <t>Học sinh PNV26001 được phân bổ vào nhóm thực tập "Internship Group 2026". Trạng thái của nhóm thực tập này trong Sheet là "On-going".</t>
        </is>
      </c>
      <c r="H17" s="9" t="inlineStr">
        <is>
          <t>StudentCode=PNV26001; InternshipGroup=Internship Group 2026; Status=On-going</t>
        </is>
      </c>
      <c r="I17" s="9" t="inlineStr">
        <is>
          <t>1. Đăng nhập tài khoản học sinh PNV26001.
2. Quan sát giao diện Student Portal (khu vực thanh điều hướng hoặc bảng điều khiển).
3. Xác minh sự xuất hiện của shortcut/nút "Bi-Weekly Internship Reports" (Báo cáo thực tập định kỳ).</t>
        </is>
      </c>
      <c r="J17" s="9" t="inlineStr">
        <is>
          <t>Shortcut "Bi-Weekly Internship Reports" xuất hiện rõ ràng trên giao diện.
Học sinh có thể nhấp vào để mở giao diện báo cáo thực tập.</t>
        </is>
      </c>
      <c r="K17" s="9" t="inlineStr"/>
      <c r="L17" s="5" t="inlineStr">
        <is>
          <t>Not Run</t>
        </is>
      </c>
      <c r="M17" s="6" t="inlineStr">
        <is>
          <t>High</t>
        </is>
      </c>
      <c r="N17" s="9" t="inlineStr">
        <is>
          <t>Liên quan đến M09-F06, Rule 7.8</t>
        </is>
      </c>
    </row>
    <row r="18" ht="90" customHeight="1">
      <c r="A18" s="2" t="inlineStr">
        <is>
          <t>TC-M09-017</t>
        </is>
      </c>
      <c r="B18" s="2" t="inlineStr">
        <is>
          <t>Module 09 – Student Portal</t>
        </is>
      </c>
      <c r="C18" s="3" t="inlineStr">
        <is>
          <t>M09-F06</t>
        </is>
      </c>
      <c r="D18" s="4" t="inlineStr">
        <is>
          <t>Quick Access to Bi-Weekly Reports</t>
        </is>
      </c>
      <c r="E18" s="4" t="inlineStr">
        <is>
          <t>Ẩn shortcut Báo cáo thực tập khi nhóm thực tập ở trạng thái khác On-going</t>
        </is>
      </c>
      <c r="F18" s="4" t="inlineStr">
        <is>
          <t>Xác minh shortcut dẫn đến Báo cáo thực tập bị ẩn khi nhóm thực tập của học sinh ở trạng thái Planned hoặc Completed.</t>
        </is>
      </c>
      <c r="G18" s="4" t="inlineStr">
        <is>
          <t>Học sinh PNV26002 thuộc nhóm thực tập "Internship Group 2025" đã hoàn thành (trạng thái "Completed" trên hệ thống).</t>
        </is>
      </c>
      <c r="H18" s="4" t="inlineStr">
        <is>
          <t>StudentCode=PNV26002; InternshipGroup=Internship Group 2025; Status=Completed</t>
        </is>
      </c>
      <c r="I18" s="4" t="inlineStr">
        <is>
          <t>1. Đăng nhập tài khoản học sinh PNV26002.
2. Quan sát giao diện Student Portal.
3. Kiểm tra sự xuất hiện của nút/shortcut "Bi-Weekly Internship Reports".</t>
        </is>
      </c>
      <c r="J18" s="4" t="inlineStr">
        <is>
          <t>Shortcut/nút liên kết đến Báo cáo thực tập hoàn toàn ẩn khỏi giao diện.
Học sinh không thể nhìn thấy hay nhấp vào nút này.</t>
        </is>
      </c>
      <c r="K18" s="4" t="inlineStr"/>
      <c r="L18" s="5" t="inlineStr">
        <is>
          <t>Not Run</t>
        </is>
      </c>
      <c r="M18" s="6" t="inlineStr">
        <is>
          <t>High</t>
        </is>
      </c>
      <c r="N18" s="4" t="inlineStr">
        <is>
          <t>Liên quan đến M09-F06, Rule 7.8</t>
        </is>
      </c>
    </row>
    <row r="19" ht="90" customHeight="1">
      <c r="A19" s="7" t="inlineStr">
        <is>
          <t>TC-M09-018</t>
        </is>
      </c>
      <c r="B19" s="7" t="inlineStr">
        <is>
          <t>Module 09 – Student Portal</t>
        </is>
      </c>
      <c r="C19" s="8" t="inlineStr">
        <is>
          <t>M09-F06</t>
        </is>
      </c>
      <c r="D19" s="9" t="inlineStr">
        <is>
          <t>Quick Access to Bi-Weekly Reports</t>
        </is>
      </c>
      <c r="E19" s="9" t="inlineStr">
        <is>
          <t>Ẩn shortcut Báo cáo thực tập khi học sinh chưa được phân bổ thực tập</t>
        </is>
      </c>
      <c r="F19" s="9" t="inlineStr">
        <is>
          <t>Xác minh shortcut Báo cáo thực tập bị ẩn khi học sinh không thuộc bất kỳ nhóm thực tập nào.</t>
        </is>
      </c>
      <c r="G19" s="9" t="inlineStr">
        <is>
          <t>Học sinh PNV26003 chưa được gán vào bất kỳ nhóm thực tập nào trên Sheets cơ sở dữ liệu.</t>
        </is>
      </c>
      <c r="H19" s="9" t="inlineStr">
        <is>
          <t>StudentCode=PNV26003; InternshipGroup=None</t>
        </is>
      </c>
      <c r="I19" s="9" t="inlineStr">
        <is>
          <t>1. Đăng nhập tài khoản học sinh PNV26003.
2. Quan sát giao diện Student Portal.
3. Kiểm tra sự xuất hiện của nút/shortcut "Bi-Weekly Internship Reports".</t>
        </is>
      </c>
      <c r="J19" s="9" t="inlineStr">
        <is>
          <t>Shortcut/nút liên kết đến Báo cáo thực tập ẩn hoàn toàn, không hiển thị trên giao diện của học sinh.</t>
        </is>
      </c>
      <c r="K19" s="9" t="inlineStr"/>
      <c r="L19" s="5" t="inlineStr">
        <is>
          <t>Not Run</t>
        </is>
      </c>
      <c r="M19" s="6" t="inlineStr">
        <is>
          <t>High</t>
        </is>
      </c>
      <c r="N19" s="9" t="inlineStr">
        <is>
          <t>Liên quan đến M09-F06, Rule 7.8</t>
        </is>
      </c>
    </row>
    <row r="20" ht="165" customHeight="1">
      <c r="A20" s="2" t="inlineStr">
        <is>
          <t>TC-M09-019</t>
        </is>
      </c>
      <c r="B20" s="2" t="inlineStr">
        <is>
          <t>Module 09 – Student Portal</t>
        </is>
      </c>
      <c r="C20" s="3" t="inlineStr">
        <is>
          <t>M09-F07</t>
        </is>
      </c>
      <c r="D20" s="4" t="inlineStr">
        <is>
          <t>Data Isolation</t>
        </is>
      </c>
      <c r="E20" s="4" t="inlineStr">
        <is>
          <t>Xác minh cách ly dữ liệu giữa các học sinh (Data Isolation)</t>
        </is>
      </c>
      <c r="F20" s="4" t="inlineStr">
        <is>
          <t>Xác minh cơ chế bảo mật phía server đảm bảo học sinh chỉ xem được điểm của chính mình và bị từ chối truy cập dữ liệu của học sinh khác.</t>
        </is>
      </c>
      <c r="G20" s="4" t="inlineStr">
        <is>
          <t>Học sinh PNV26001 và học sinh PNV26002 đều tồn tại trong hệ thống. Đã đăng nhập bằng tài khoản học sinh PNV26001.</t>
        </is>
      </c>
      <c r="H20" s="4" t="inlineStr">
        <is>
          <t>AuthEmail=student01@student.passerellesnumeriques.org; TargetStudentCode=PNV26002</t>
        </is>
      </c>
      <c r="I20" s="4" t="inlineStr">
        <is>
          <t>1. Đăng nhập bằng tài khoản student01@student.passerellesnumeriques.org.
2. Tại giao diện bảng điểm, thử thay đổi tham số trên URL (ví dụ từ `?studentCode=PNV26001` thành `?studentCode=PNV26002`) hoặc dùng DevTools sửa mã request gửi về API backend để yêu cầu dữ liệu điểm của học sinh PNV26002.
3. Quan sát kết quả hiển thị và phản hồi từ hệ thống.</t>
        </is>
      </c>
      <c r="J20" s="4" t="inlineStr">
        <is>
          <t>Hệ thống từ chối yêu cầu truy cập dữ liệu điểm của học sinh B.
Màn hình không hiển thị điểm của học sinh B.
Backend trả về thông báo lỗi phân quyền (ví dụ: "Unauthorized access" hoặc Access Denied).
Bảng điểm hiển thị trên giao diện vẫn giữ nguyên của học sinh PNV26001 (hoặc hiển thị trang thông báo lỗi bảo mật).</t>
        </is>
      </c>
      <c r="K20" s="4" t="inlineStr"/>
      <c r="L20" s="5" t="inlineStr">
        <is>
          <t>Not Run</t>
        </is>
      </c>
      <c r="M20" s="6" t="inlineStr">
        <is>
          <t>High</t>
        </is>
      </c>
      <c r="N20" s="4" t="inlineStr">
        <is>
          <t>Liên quan đến M09-F07, Rule 7.9, Error Handling (Mục 9)</t>
        </is>
      </c>
    </row>
    <row r="21" ht="105" customHeight="1">
      <c r="A21" s="7" t="inlineStr">
        <is>
          <t>TC-M09-020</t>
        </is>
      </c>
      <c r="B21" s="7" t="inlineStr">
        <is>
          <t>Module 09 – Student Portal</t>
        </is>
      </c>
      <c r="C21" s="8" t="inlineStr">
        <is>
          <t>M09-F07</t>
        </is>
      </c>
      <c r="D21" s="9" t="inlineStr">
        <is>
          <t>Data Isolation</t>
        </is>
      </c>
      <c r="E21" s="9" t="inlineStr">
        <is>
          <t>Chặn gọi API lấy điểm từ bên ngoài khi chưa xác thực</t>
        </is>
      </c>
      <c r="F21" s="9" t="inlineStr">
        <is>
          <t>Xác minh các yêu cầu gọi API lấy điểm của học sinh gửi trực tiếp từ bên ngoài mà chưa qua đăng nhập Google OAuth đều bị từ chối.</t>
        </is>
      </c>
      <c r="G21" s="9" t="inlineStr">
        <is>
          <t>Người dùng chưa đăng nhập tài khoản. Trình duyệt ở chế độ ẩn danh hoặc sử dụng công cụ kiểm thử API (như Postman).</t>
        </is>
      </c>
      <c r="H21" s="9" t="inlineStr">
        <is>
          <t>TargetApiUrl=https://script.google.com/macros/s/.../exec?action=getGrades&amp;studentCode=PNV26001</t>
        </is>
      </c>
      <c r="I21" s="9" t="inlineStr">
        <is>
          <t>1. Mở cửa sổ ẩn danh hoặc công cụ kiểm thử API.
2. Gửi request trực tiếp (HTTP GET/POST) đến URL API của hệ thống để lấy dữ liệu điểm của học sinh PNV26001.
3. Quan sát phản hồi trả về từ hệ thống.</t>
        </is>
      </c>
      <c r="J21" s="9" t="inlineStr">
        <is>
          <t>Yêu cầu bị từ chối.
Hệ thống phản hồi mã lỗi 401 Unauthorized (hoặc tương đương) hoặc chuyển hướng request về giao diện đăng nhập Google OAuth.
Không có dữ liệu điểm nào được trả về.</t>
        </is>
      </c>
      <c r="K21" s="9" t="inlineStr"/>
      <c r="L21" s="5" t="inlineStr">
        <is>
          <t>Not Run</t>
        </is>
      </c>
      <c r="M21" s="6" t="inlineStr">
        <is>
          <t>High</t>
        </is>
      </c>
      <c r="N21" s="9" t="inlineStr">
        <is>
          <t>Liên quan đến M09-F07, Rule 7.9</t>
        </is>
      </c>
    </row>
    <row r="22" ht="165" customHeight="1">
      <c r="A22" s="2" t="inlineStr">
        <is>
          <t>TC-M09-021</t>
        </is>
      </c>
      <c r="B22" s="2" t="inlineStr">
        <is>
          <t>Module 09 – Student Portal</t>
        </is>
      </c>
      <c r="C22" s="3" t="inlineStr">
        <is>
          <t>M09-UI</t>
        </is>
      </c>
      <c r="D22" s="4" t="inlineStr">
        <is>
          <t>User Interface &amp; Responsiveness</t>
        </is>
      </c>
      <c r="E22" s="4" t="inlineStr">
        <is>
          <t>Kiểm tra hiển thị giao diện trên thiết bị di động (Responsive UI)</t>
        </is>
      </c>
      <c r="F22" s="4" t="inlineStr">
        <is>
          <t>Xác minh giao diện Student Portal hiển thị tốt trên các thiết bị di động mà không bị vỡ khung hoặc mất thông tin điểm số.</t>
        </is>
      </c>
      <c r="G22" s="4" t="inlineStr">
        <is>
          <t>Học sinh đã đăng nhập thành công.</t>
        </is>
      </c>
      <c r="H22" s="4" t="inlineStr">
        <is>
          <t>ViewportSize=375x812 (iPhone X)</t>
        </is>
      </c>
      <c r="I22" s="4" t="inlineStr">
        <is>
          <t>1. Đăng nhập Student Portal.
2. Mở DevTools (F12) và kích hoạt chế độ Responsive Viewport giả lập màn hình iPhone X (375x812 px).
3. Quan sát bộ chọn học kỳ, các danh mục và bảng điểm.
4. Thao tác vuốt cuộn ngang bảng điểm để xem đầy đủ các cột điểm (KT TX, ĐK1-ĐK6, TCK, TLCK...).</t>
        </is>
      </c>
      <c r="J22" s="4" t="inlineStr">
        <is>
          <t>Giao diện tự động co giãn tương thích.
Các tiêu đề danh mục và chữ hiển thị rõ ràng, không đè lên nhau.
Bảng điểm hiển thị thanh cuộn ngang mượt mà cho phép xem hết các cột điểm mà không phá vỡ bố cục tổng thể của trang.</t>
        </is>
      </c>
      <c r="K22" s="4" t="inlineStr"/>
      <c r="L22" s="5" t="inlineStr">
        <is>
          <t>Not Run</t>
        </is>
      </c>
      <c r="M22" s="10" t="inlineStr">
        <is>
          <t>Medium</t>
        </is>
      </c>
      <c r="N22" s="4" t="inlineStr">
        <is>
          <t>Liên quan đến Testing Environment (Mục 9)</t>
        </is>
      </c>
    </row>
    <row r="23" ht="150" customHeight="1">
      <c r="A23" s="7" t="inlineStr">
        <is>
          <t>TC-M09-022</t>
        </is>
      </c>
      <c r="B23" s="7" t="inlineStr">
        <is>
          <t>Module 09 – Student Portal</t>
        </is>
      </c>
      <c r="C23" s="8" t="inlineStr">
        <is>
          <t>M09-F01</t>
        </is>
      </c>
      <c r="D23" s="9" t="inlineStr">
        <is>
          <t>Role-based Auto-login</t>
        </is>
      </c>
      <c r="E23" s="9" t="inlineStr">
        <is>
          <t>Kiểm tra hành vi khi hết hạn phiên làm việc Google (Google Sign-Out)</t>
        </is>
      </c>
      <c r="F23" s="9" t="inlineStr">
        <is>
          <t>Đảm bảo hệ thống phát hiện phiên đăng nhập Google đã kết thúc và ngăn học sinh tiếp tục truy cập dữ liệu.</t>
        </is>
      </c>
      <c r="G23" s="9" t="inlineStr">
        <is>
          <t>Học sinh đang đăng nhập và mở tab Student Portal.</t>
        </is>
      </c>
      <c r="H23" s="9" t="inlineStr">
        <is>
          <t>Action=Google Sign-Out</t>
        </is>
      </c>
      <c r="I23" s="9" t="inlineStr">
        <is>
          <t>1. Mở một tab trình duyệt khác, truy cập accounts.google.com và đăng xuất tài khoản Google hiện tại.
2. Quay lại tab Student Portal.
3. Thực hiện chuyển đổi học kỳ trên bộ chọn Semester Selector hoặc nhấn F5 để tải lại trang.
4. Quan sát phản hồi của hệ thống.</t>
        </is>
      </c>
      <c r="J23" s="9" t="inlineStr">
        <is>
          <t>Hệ thống phát hiện phiên làm việc đã kết thúc.
Các thao tác yêu cầu dữ liệu học kỳ mới bị dừng lại.
Người dùng được chuyển hướng về trang đăng nhập Google OAuth hoặc hiển thị thông điệp yêu cầu đăng nhập lại để tiếp tục.</t>
        </is>
      </c>
      <c r="K23" s="9" t="inlineStr"/>
      <c r="L23" s="5" t="inlineStr">
        <is>
          <t>Not Run</t>
        </is>
      </c>
      <c r="M23" s="6" t="inlineStr">
        <is>
          <t>High</t>
        </is>
      </c>
      <c r="N23" s="9" t="inlineStr">
        <is>
          <t>Liên quan đến Rule 7.1</t>
        </is>
      </c>
    </row>
    <row r="24" ht="120" customHeight="1">
      <c r="A24" s="2" t="inlineStr">
        <is>
          <t>TC-M09-023</t>
        </is>
      </c>
      <c r="B24" s="2" t="inlineStr">
        <is>
          <t>Module 09 – Student Portal</t>
        </is>
      </c>
      <c r="C24" s="3" t="inlineStr">
        <is>
          <t>M09-F02</t>
        </is>
      </c>
      <c r="D24" s="4" t="inlineStr">
        <is>
          <t>Read-only Academic View</t>
        </is>
      </c>
      <c r="E24" s="4" t="inlineStr">
        <is>
          <t>Kiểm tra xác thực tham số học kỳ không hợp lệ (Semester Validation)</t>
        </is>
      </c>
      <c r="F24" s="4" t="inlineStr">
        <is>
          <t>Xác minh hệ thống không bị lỗi crash và tự động xử lý an toàn khi tham số học kỳ được truyền vào không hợp lệ hoặc không tồn tại.</t>
        </is>
      </c>
      <c r="G24" s="4" t="inlineStr">
        <is>
          <t>Học sinh đã đăng nhập thành công.</t>
        </is>
      </c>
      <c r="H24" s="4" t="inlineStr">
        <is>
          <t>InvalidSemester=Semester 7; InvalidSemester2=abc</t>
        </is>
      </c>
      <c r="I24" s="4" t="inlineStr">
        <is>
          <t>1. Cố ý thay đổi tham số học kỳ trên đường dẫn URL thành giá trị không hợp lệ (ví dụ: `?semester=7` or `?semester=abc`).
2. Tải lại trang hoặc cố tình gửi request với tham số không hợp lệ đó.
3. Quan sát phản hồi của giao diện.</t>
        </is>
      </c>
      <c r="J24" s="4" t="inlineStr">
        <is>
          <t>Hệ thống không bị lỗi crash/trắng trang.
Tự động quay về hiển thị dữ liệu của học kỳ mặc định (ví dụ: Học kỳ 1 hoặc học kỳ hiện tại hoạt động gần nhất), hoặc hiển thị thông báo lỗi "Học kỳ không hợp lệ".</t>
        </is>
      </c>
      <c r="K24" s="4" t="inlineStr"/>
      <c r="L24" s="5" t="inlineStr">
        <is>
          <t>Not Run</t>
        </is>
      </c>
      <c r="M24" s="10" t="inlineStr">
        <is>
          <t>Medium</t>
        </is>
      </c>
      <c r="N24" s="4" t="inlineStr">
        <is>
          <t>Liên quan đến Validation Rules (Mục 8 - Semester)</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2026-07-22T08:53:59Z</dcterms:created>
  <dcterms:modified xmlns:dcterms="http://purl.org/dc/terms/" xmlns:xsi="http://www.w3.org/2001/XMLSchema-instance" xsi:type="dcterms:W3CDTF">2026-07-22T08:54:02Z</dcterms:modified>
</cp:coreProperties>
</file>