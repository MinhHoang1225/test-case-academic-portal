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RichValueTypes.xml" ContentType="application/vnd.ms-excel.rdrichvaluetype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/>
  <mc:AlternateContent xmlns:mc="http://schemas.openxmlformats.org/markup-compatibility/2006">
    <mc:Choice Requires="x15">
      <x15ac:absPath xmlns:x15ac="http://schemas.microsoft.com/office/spreadsheetml/2010/11/ac" url="D:\test-case-academic-portal\Tests\excel\"/>
    </mc:Choice>
  </mc:AlternateContent>
  <xr:revisionPtr revIDLastSave="0" documentId="13_ncr:1_{BCC53E10-E096-4B2E-93EE-D695C324037A}" xr6:coauthVersionLast="47" xr6:coauthVersionMax="47" xr10:uidLastSave="{00000000-0000-0000-0000-000000000000}"/>
  <bookViews>
    <workbookView xWindow="-120" yWindow="-120" windowWidth="29040" windowHeight="15720" activeTab="1" xr2:uid="{00000000-000D-0000-FFFF-FFFF00000000}"/>
  </bookViews>
  <sheets>
    <sheet name="Report" sheetId="1" r:id="rId1"/>
    <sheet name="Module06" sheetId="2" r:id="rId2"/>
  </sheets>
  <definedNames>
    <definedName name="_xlnm._FilterDatabase" localSheetId="1" hidden="1">Module06!$A$1:$P$32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8" i="1" l="1"/>
  <c r="E17" i="1"/>
  <c r="D17" i="1"/>
  <c r="C17" i="1"/>
  <c r="E16" i="1"/>
  <c r="D16" i="1"/>
  <c r="C16" i="1"/>
  <c r="E15" i="1"/>
  <c r="D15" i="1"/>
  <c r="C15" i="1"/>
  <c r="E14" i="1"/>
  <c r="D14" i="1"/>
  <c r="C14" i="1"/>
  <c r="E13" i="1"/>
  <c r="D13" i="1"/>
  <c r="C13" i="1"/>
  <c r="F13" i="1" s="1"/>
  <c r="E12" i="1"/>
  <c r="D12" i="1"/>
  <c r="C12" i="1"/>
  <c r="F12" i="1" s="1"/>
  <c r="E11" i="1"/>
  <c r="D11" i="1"/>
  <c r="C11" i="1"/>
  <c r="F11" i="1" s="1"/>
  <c r="E10" i="1"/>
  <c r="D10" i="1"/>
  <c r="C10" i="1"/>
  <c r="E9" i="1"/>
  <c r="D9" i="1"/>
  <c r="C9" i="1"/>
  <c r="A5" i="1"/>
  <c r="F16" i="1" l="1"/>
  <c r="F14" i="1"/>
  <c r="F17" i="1"/>
  <c r="D18" i="1"/>
  <c r="E18" i="1"/>
  <c r="F15" i="1"/>
  <c r="C5" i="1"/>
  <c r="F10" i="1"/>
  <c r="F9" i="1"/>
  <c r="C18" i="1"/>
  <c r="D5" i="1"/>
  <c r="E5" i="1"/>
  <c r="F18" i="1" l="1"/>
  <c r="B5" i="1" s="1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1">
    <bk>
      <extLst>
        <ext uri="{3e2802c4-a4d2-4d8b-9148-e3be6c30e623}">
          <xlrd:rvb i="0"/>
        </ext>
      </extLst>
    </bk>
  </futureMetadata>
  <valueMetadata count="1">
    <bk>
      <rc t="1" v="0"/>
    </bk>
  </valueMetadata>
</metadata>
</file>

<file path=xl/sharedStrings.xml><?xml version="1.0" encoding="utf-8"?>
<sst xmlns="http://schemas.openxmlformats.org/spreadsheetml/2006/main" count="483" uniqueCount="296">
  <si>
    <t>Module 06 - Feature &amp; Priority Summary Report</t>
  </si>
  <si>
    <t>Summary of test cases per feature, calculated via Excel formulas</t>
  </si>
  <si>
    <t>Total Features</t>
  </si>
  <si>
    <t>Total Test Cases</t>
  </si>
  <si>
    <t>High Priority Features</t>
  </si>
  <si>
    <t>Medium Priority Features</t>
  </si>
  <si>
    <t>Low Priority Features</t>
  </si>
  <si>
    <t>Feature Categorization &amp; Priority Breakdown</t>
  </si>
  <si>
    <t>Feature ID</t>
  </si>
  <si>
    <t>Feature Name</t>
  </si>
  <si>
    <t>High Priority</t>
  </si>
  <si>
    <t>Medium Priority</t>
  </si>
  <si>
    <t>Low Priority</t>
  </si>
  <si>
    <t>Total TCs</t>
  </si>
  <si>
    <t>M06-F01</t>
  </si>
  <si>
    <t>Report Creation</t>
  </si>
  <si>
    <t>M06-F02</t>
  </si>
  <si>
    <t>Draft Saving &amp; Editing</t>
  </si>
  <si>
    <t>M06-F03</t>
  </si>
  <si>
    <t>Automatic Date Calculation</t>
  </si>
  <si>
    <t>M06-F04</t>
  </si>
  <si>
    <t>Dynamic Task Table Management</t>
  </si>
  <si>
    <t>M06-F05</t>
  </si>
  <si>
    <t>Working Hours Calculation</t>
  </si>
  <si>
    <t>M06-F06</t>
  </si>
  <si>
    <t>Report Submission</t>
  </si>
  <si>
    <t>M06-F07</t>
  </si>
  <si>
    <t>Read-only Submitted Reports</t>
  </si>
  <si>
    <t>M06-F08</t>
  </si>
  <si>
    <t>Automated Email Notifications</t>
  </si>
  <si>
    <t>M06-F09</t>
  </si>
  <si>
    <t>Staff Report Viewing</t>
  </si>
  <si>
    <t>Total</t>
  </si>
  <si>
    <t>ID</t>
  </si>
  <si>
    <t>Module</t>
  </si>
  <si>
    <t>Title</t>
  </si>
  <si>
    <t>Objective</t>
  </si>
  <si>
    <t>Preconditions</t>
  </si>
  <si>
    <t>TestData</t>
  </si>
  <si>
    <t>Steps</t>
  </si>
  <si>
    <t>ExpectedResult</t>
  </si>
  <si>
    <t>Evidence</t>
  </si>
  <si>
    <t>Actual Result</t>
  </si>
  <si>
    <t>Status</t>
  </si>
  <si>
    <t>Priority</t>
  </si>
  <si>
    <t>Notes</t>
  </si>
  <si>
    <t>TC-M06-001</t>
  </si>
  <si>
    <t>Module 06 - Bi-Weekly Internship Reports</t>
  </si>
  <si>
    <t>Create New Report by Student in Active Internship Group</t>
  </si>
  <si>
    <t>Verify button visibility and interface opening for creating a new report when student belongs to an active (On-going) internship group.</t>
  </si>
  <si>
    <t>User is logged in as Student.
Student belongs to an internship group with status "On-going".
Currently on Student Portal interface.</t>
  </si>
  <si>
    <t>StudentEmail="student1@student.passerellesnumeriques.org"; GroupStatus="On-going"</t>
  </si>
  <si>
    <t>1. Access Student Portal;
2. Click Create Internship Report button;
3. Observe interface.</t>
  </si>
  <si>
    <t>Create Internship Report button is displayed and clickable.
System opens report submission interface with auto-filled student profile info.</t>
  </si>
  <si>
    <t>Create Internship Report button was displayed. System opened report submission interface with auto-filled student profile info as expected.</t>
  </si>
  <si>
    <t>Passed</t>
  </si>
  <si>
    <t>High</t>
  </si>
  <si>
    <t>Related Requirement: M06-F01, Business Rules 6.1</t>
  </si>
  <si>
    <t>TC-M06-002</t>
  </si>
  <si>
    <t>Prevent Creating New Report for Student in Completed Internship Group</t>
  </si>
  <si>
    <t>Verify system hides Create Internship Report button if student belongs to a completed internship group.</t>
  </si>
  <si>
    <t>User is logged in as Student.
Student belongs to an internship group with status "Completed".
Currently on Student Portal interface.</t>
  </si>
  <si>
    <t>StudentEmail="student2@student.passerellesnumeriques.org"; GroupStatus="Completed"</t>
  </si>
  <si>
    <t>1. Access Student Portal;
2. Observe interface.</t>
  </si>
  <si>
    <t>Create Internship Report button is hidden or disabled.
Student cannot open report creation interface.</t>
  </si>
  <si>
    <t>Create Internship Report button was hidden for student in completed group. Student could not open creation interface.</t>
  </si>
  <si>
    <t>TC-M06-003</t>
  </si>
  <si>
    <t>Prevent Creating New Report for Student in Archived Internship Group</t>
  </si>
  <si>
    <t>Verify system hides Create Internship Report button if student belongs to an archived internship group.</t>
  </si>
  <si>
    <t>User is logged in as Student.
Student belongs to an internship group with status "Archived".
Currently on Student Portal interface.</t>
  </si>
  <si>
    <t>StudentEmail="student3@student.passerellesnumeriques.org"; GroupStatus="Archived"</t>
  </si>
  <si>
    <t>Create Internship Report button was hidden for student in archived group. Student could not open creation interface.</t>
  </si>
  <si>
    <t>TC-M06-004</t>
  </si>
  <si>
    <t>Prevent Creating New Report from Staff Account</t>
  </si>
  <si>
    <t>Verify system hides report creation feature from Staff role.</t>
  </si>
  <si>
    <t>User is logged in as Staff.
Currently on Internship Management interface.</t>
  </si>
  <si>
    <t>StaffEmail="staff@passerellesnumeriques.org"</t>
  </si>
  <si>
    <t>1. Access Internship Management interface;
2. Check for report submission options.</t>
  </si>
  <si>
    <t>Create Internship Report button is not present for Staff account.</t>
  </si>
  <si>
    <t>Create Internship Report button was not present when logged in with Staff account.</t>
  </si>
  <si>
    <t>TC-M06-005</t>
  </si>
  <si>
    <t>Save Temporary Report as Draft</t>
  </si>
  <si>
    <t>Verify functionality for saving unfinished report as a draft.</t>
  </si>
  <si>
    <t>User is logged in as Student.
Currently on report creation interface.</t>
  </si>
  <si>
    <t>StartDate="2026-08-03"; Task1="Research documentation"</t>
  </si>
  <si>
    <t>1. Enter Start Date as "2026-08-03";
2. Enter task details;
3. Click Save Draft button.</t>
  </si>
  <si>
    <t>Report is saved with status Draft.
Success message "Draft saved successfully" appears.
Data is saved to database without triggering submit validation.</t>
  </si>
  <si>
    <t>Report was saved with status Draft. Success message "Draft saved successfully" appeared and data was saved without triggering submit validation.</t>
  </si>
  <si>
    <t>Related Requirement: M06-F02, Business Rules 6.2</t>
  </si>
  <si>
    <t>TC-M06-006</t>
  </si>
  <si>
    <t>Edit Draft Report Unlimited Number of Times</t>
  </si>
  <si>
    <t>Verify student can reopen and edit draft report multiple times before submitting.</t>
  </si>
  <si>
    <t>User is logged in as Student.
Existing report with status Draft.</t>
  </si>
  <si>
    <t>UpdatedTask="Updated task documentation"</t>
  </si>
  <si>
    <t>1. Open draft report;
2. Update task details;
3. Click Save Draft button;
4. Repeat process multiple times.</t>
  </si>
  <si>
    <t>Draft report updates successfully every time without restriction.
Report status remains Draft.</t>
  </si>
  <si>
    <t>Draft report updated successfully upon multiple edits without restriction. Report status remained Draft.</t>
  </si>
  <si>
    <t>TC-M06-007</t>
  </si>
  <si>
    <t>Draft Report Does Not Send Emails and Is Hidden from Staff</t>
  </si>
  <si>
    <t>Verify saving a draft does not send email notifications and draft is not visible to Staff.</t>
  </si>
  <si>
    <t>User is logged in as Student.
Draft report saved.</t>
  </si>
  <si>
    <t>ReportStatus="Draft"</t>
  </si>
  <si>
    <t>1. Save report as Draft;
2. Log in as Staff and check student report list;
3. Check email inbox of PNV and Company supervisors.</t>
  </si>
  <si>
    <t>No email notification is sent.
Draft report is hidden from Staff view.</t>
  </si>
  <si>
    <t>No email notifications were sent upon saving draft, and draft report remained hidden from Staff view.</t>
  </si>
  <si>
    <t>TC-M06-008</t>
  </si>
  <si>
    <t>Auto-calculate End Date When Valid Start Date Is Entered</t>
  </si>
  <si>
    <t>Verify system automatically calculates End Date as Sunday 13 days after Start Date (Monday).</t>
  </si>
  <si>
    <t>StartDate="2026-08-03" (Monday)</t>
  </si>
  <si>
    <t>1. Select Start Date as "2026-08-03";
2. Observe End Date field.</t>
  </si>
  <si>
    <t>End Date field automatically fills with "2026-08-16" (Sunday, +13 days).
End Date field is read-only.</t>
  </si>
  <si>
    <t>End Date field automatically filled with "2026-08-16" (Sunday, +13 days) and remained read-only.</t>
  </si>
  <si>
    <t>Related Requirement: M06-F03, Business Rules 6.3</t>
  </si>
  <si>
    <t>TC-M06-009</t>
  </si>
  <si>
    <t>Prevent Submitting Report if Start Date Is Not a Monday</t>
  </si>
  <si>
    <t>Verify system displays error if selected Start Date is not a Monday.</t>
  </si>
  <si>
    <t>StartDate="2026-08-04" (Tuesday)</t>
  </si>
  <si>
    <t>1. Select Start Date as "2026-08-04";
2. Attempt to save or submit report.</t>
  </si>
  <si>
    <t>System displays error: "Start Date must be a Monday."
Action is blocked.</t>
  </si>
  <si>
    <t>System displayed validation error "Start Date must be a Monday." and blocked action.</t>
  </si>
  <si>
    <t>Related Requirement: M06-F03, Business Rules 6.3, Validation Rules (Section 8)</t>
  </si>
  <si>
    <t>TC-M06-010</t>
  </si>
  <si>
    <t>Prevent Submitting Report if Start Date Is Outside Internship Period</t>
  </si>
  <si>
    <t>Verify system displays error if Start Date is outside group start/end dates.</t>
  </si>
  <si>
    <t>User is logged in as Student.
Group internship period is 2026-06-01 to 2026-08-31.</t>
  </si>
  <si>
    <t>StartDate="2026-05-25" (Monday before group start)</t>
  </si>
  <si>
    <t>1. Select Start Date as "2026-05-25";
2. Attempt to save or submit report.</t>
  </si>
  <si>
    <t>System displays error: "Start Date must fall within the internship group period."
Action is blocked.</t>
  </si>
  <si>
    <t>System displayed validation error "Start Date must fall within the internship group period." and blocked action.</t>
  </si>
  <si>
    <t>TC-M06-011</t>
  </si>
  <si>
    <t>Add and Remove Task Rows in Dynamic Task Table</t>
  </si>
  <si>
    <t>Verify functionality for adding new task rows and removing task rows in the report form.</t>
  </si>
  <si>
    <t>Task1="Frontend UI"; Task2="Backend API"</t>
  </si>
  <si>
    <t>1. Click Add Task Row button;
2. Enter task details in row 2;
3. Click Remove icon on row 2.</t>
  </si>
  <si>
    <t>Clicking Add Task Row appends a new empty task row.
Clicking Remove deletes row 2 cleanly.</t>
  </si>
  <si>
    <t>Clicking Add Task Row appended a new empty task row. Clicking Remove deleted row cleanly.</t>
  </si>
  <si>
    <t>Related Requirement: M06-F04, UI Standards</t>
  </si>
  <si>
    <t>TC-M06-012</t>
  </si>
  <si>
    <t>Prevent Submitting Report when Task List Is Empty</t>
  </si>
  <si>
    <t>Verify system blocks submission when report has 0 task rows.</t>
  </si>
  <si>
    <t>User is logged in as Student.
Report has all task rows removed.</t>
  </si>
  <si>
    <t>Tasks=[]</t>
  </si>
  <si>
    <t>1. Remove all task rows;
2. Click Submit Report button.</t>
  </si>
  <si>
    <t>System blocks submission.
Validation error message appears: "At least one task is required."</t>
  </si>
  <si>
    <t>System blocked submission and displayed validation error "At least one task is required."</t>
  </si>
  <si>
    <t>Related Requirement: M06-F04, Validation Rules (Section 8)</t>
  </si>
  <si>
    <t>TC-M06-013</t>
  </si>
  <si>
    <t>Prevent Submitting Report when Task Row Has Incomplete Details</t>
  </si>
  <si>
    <t>Verify system blocks submission if any task row has empty mandatory fields (Task Description, Hours, etc.).</t>
  </si>
  <si>
    <t>User is logged in as Student.
Task row added with blank Task Description.</t>
  </si>
  <si>
    <t>TaskDescription=""; Hours=8</t>
  </si>
  <si>
    <t>1. Add task row;
2. Enter hours but leave description empty;
3. Click Submit Report button.</t>
  </si>
  <si>
    <t>System blocks submission.
Validation error message appears highlighting required fields in task table.</t>
  </si>
  <si>
    <t>System blocked submission and highlighted incomplete task fields in task table.</t>
  </si>
  <si>
    <t>TC-M06-014</t>
  </si>
  <si>
    <t>Auto-calculate Daily Working Hours and Total Working Hours</t>
  </si>
  <si>
    <t>Verify system automatically calculates daily working hours and total bi-weekly hours.</t>
  </si>
  <si>
    <t>User is logged in as Student.
Currently on report task table.</t>
  </si>
  <si>
    <t>Week1Hours=[8,8,8,8,8,0,0]; Week2Hours=[8,8,8,8,8,0,0]</t>
  </si>
  <si>
    <t>1. Enter 8 hours per day for Monday to Friday in both weeks;
2. Observe Total Hours summary.</t>
  </si>
  <si>
    <t>Daily totals sum correctly.
Total Bi-Weekly Hours automatically calculates to 80 hours.</t>
  </si>
  <si>
    <t>Daily totals summed correctly and Total Bi-Weekly Hours automatically calculated to 80 hours.</t>
  </si>
  <si>
    <t>Related Requirement: M06-F05, Business Rules 6.4</t>
  </si>
  <si>
    <t>TC-M06-015</t>
  </si>
  <si>
    <t>Prevent Entering Negative Working Hours</t>
  </si>
  <si>
    <t>Verify system blocks negative numbers in working hours inputs.</t>
  </si>
  <si>
    <t>User is logged in as Student.</t>
  </si>
  <si>
    <t>Hours=-5</t>
  </si>
  <si>
    <t>1. Enter -5 into working hours field;
2. Click Submit or blur field.</t>
  </si>
  <si>
    <t>System blocks negative value.
Error appears: "Working hours cannot be negative."</t>
  </si>
  <si>
    <t>System allowed entering negative working hours (&lt; 0), allowed submitting the report, and sent email notifications without triggering validation errors.</t>
  </si>
  <si>
    <t>Failed</t>
  </si>
  <si>
    <t>Related Requirement: M06-F05, Validation Rules (Section 8)</t>
  </si>
  <si>
    <t>TC-M06-016</t>
  </si>
  <si>
    <t>Prevent Entering Working Hours Exceeding 24 Hours a Day</t>
  </si>
  <si>
    <t>Verify system blocks daily working hours greater than 24.</t>
  </si>
  <si>
    <t>Hours=25</t>
  </si>
  <si>
    <t>1. Enter 25 into working hours field for a single day;
2. Click Submit or blur field.</t>
  </si>
  <si>
    <t>System blocks input.
Error appears: "Daily working hours cannot exceed 24 hours."</t>
  </si>
  <si>
    <t>System allowed entering working hours exceeding 24 hours a day (&gt; 24), allowed submitting the report, and sent email notifications without triggering validation errors.</t>
  </si>
  <si>
    <t>TC-M06-017</t>
  </si>
  <si>
    <t>Prevent Entering Non-numeric Characters into Working Hours Field</t>
  </si>
  <si>
    <t>Verify system restricts working hours inputs to valid numeric values.</t>
  </si>
  <si>
    <t>Hours="abc"</t>
  </si>
  <si>
    <t>1. Attempt to type non-numeric text "abc" into working hours field.</t>
  </si>
  <si>
    <t>Non-numeric input is prevented or validation error appears: "Please enter a valid number."</t>
  </si>
  <si>
    <t>Non-numeric characters were blocked from being typed into working hours field.</t>
  </si>
  <si>
    <t>Medium</t>
  </si>
  <si>
    <t>TC-M06-018</t>
  </si>
  <si>
    <t>Submit Report Successfully with Complete Valid Data</t>
  </si>
  <si>
    <t>Verify functionality for submitting a bi-weekly internship report with complete valid information.</t>
  </si>
  <si>
    <t>User is logged in as Student.
Currently on report creation form.</t>
  </si>
  <si>
    <t>StartDate="2026-08-03"; CompanySupervisorName="John Doe"; CompanySupervisorEmail="john@company.com"; PnvSupervisorEmail="mentor@passerellesnumeriques.org"; Challenges="None"; SupportNeeded="None"</t>
  </si>
  <si>
    <t>1. Enter valid Start Date "2026-08-03";
2. Complete task table details;
3. Enter valid Company Supervisor Name and Email;
4. Enter valid PNV Supervisor Email;
5. Enter Challenges and Support Needed;
6. Click Submit Report button;
7. Confirm submission in popup dialog.</t>
  </si>
  <si>
    <t>Report is submitted successfully.
Report status changes to Submitted.
Success notification appears and page transitions to View mode.</t>
  </si>
  <si>
    <t>Report was submitted successfully, status updated to Submitted, success message appeared, and form switched to View mode.</t>
  </si>
  <si>
    <t>Related Requirement: M06-F06, Business Rules 6.5</t>
  </si>
  <si>
    <t>TC-M06-019</t>
  </si>
  <si>
    <t>Submit Report Fails Due to Empty Company Supervisor Name</t>
  </si>
  <si>
    <t>Verify system blocks report submission when Company Supervisor Name is empty.</t>
  </si>
  <si>
    <t>CompanySupervisorName=""</t>
  </si>
  <si>
    <t>1. Fill report details but leave Company Supervisor Name blank;
2. Click Submit Report button.</t>
  </si>
  <si>
    <t>System blocks submission.
Validation error message appears: "Company Supervisor Name is required."</t>
  </si>
  <si>
    <t>System blocked submission and displayed validation error "Company Supervisor Name is required."</t>
  </si>
  <si>
    <t>Related Requirement: M06-F06, Validation Rules (Section 8)</t>
  </si>
  <si>
    <t>TC-M06-020</t>
  </si>
  <si>
    <t>Submit Report Fails Due to Blank PNV Supervisor Email</t>
  </si>
  <si>
    <t>Verify system blocks report submission when PNV Supervisor Email is empty.</t>
  </si>
  <si>
    <t>PnvSupervisorEmail=""</t>
  </si>
  <si>
    <t>1. Fill report details but leave PNV Supervisor Email blank;
2. Click Submit Report button.</t>
  </si>
  <si>
    <t>System blocks submission.
Validation error message appears: "PNV Supervisor Email is required."</t>
  </si>
  <si>
    <t>System blocked submission and displayed validation error "PNV Supervisor Email is required."</t>
  </si>
  <si>
    <t>TC-M06-021</t>
  </si>
  <si>
    <t>Submit Report Fails Due to Invalid PNV Supervisor Email Format</t>
  </si>
  <si>
    <t>Verify system blocks submission when PNV Supervisor Email has invalid format.</t>
  </si>
  <si>
    <t>PnvSupervisorEmail="invalid-email"</t>
  </si>
  <si>
    <t>1. Enter invalid email format "invalid-email" for PNV Supervisor Email;
2. Click Submit Report button.</t>
  </si>
  <si>
    <t>System blocks submission.
Validation error message appears: "Invalid email address format."</t>
  </si>
  <si>
    <t>System blocked submission and displayed validation error "Invalid email address format."</t>
  </si>
  <si>
    <t>TC-M06-022</t>
  </si>
  <si>
    <t>Submit Report Fails Due to Blank Company Supervisor Email</t>
  </si>
  <si>
    <t>Verify system blocks report submission when Company Supervisor Email is empty.</t>
  </si>
  <si>
    <t>CompanySupervisorEmail=""</t>
  </si>
  <si>
    <t>1. Fill report details but leave Company Supervisor Email blank;
2. Click Submit Report button.</t>
  </si>
  <si>
    <t>System blocks submission.
Validation error message appears: "Company Supervisor Email is required."</t>
  </si>
  <si>
    <t>System blocked submission and displayed validation error "Company Supervisor Email is required."</t>
  </si>
  <si>
    <t>TC-M06-023</t>
  </si>
  <si>
    <t>Submit Report Fails Due to Invalid Company Supervisor Email Format</t>
  </si>
  <si>
    <t>Verify system blocks submission when Company Supervisor Email has invalid format.</t>
  </si>
  <si>
    <t>CompanySupervisorEmail="invalid-email"</t>
  </si>
  <si>
    <t>1. Enter invalid email format "invalid-email" for Company Supervisor Email;
2. Click Submit Report button.</t>
  </si>
  <si>
    <t>TC-M06-024</t>
  </si>
  <si>
    <t>Submit Report Fails Due to Blank Challenges Section</t>
  </si>
  <si>
    <t>Verify system blocks report submission when Challenges field is empty.</t>
  </si>
  <si>
    <t>Challenges=""</t>
  </si>
  <si>
    <t>1. Leave Challenges field blank;
2. Click Submit Report button.</t>
  </si>
  <si>
    <t>System blocks submission.
Validation error message appears: "Challenges field is required."</t>
  </si>
  <si>
    <t>System blocked submission and displayed validation error "Challenges field is required."</t>
  </si>
  <si>
    <t>TC-M06-025</t>
  </si>
  <si>
    <t>Submit Report Fails Due to Blank Support Needed Section</t>
  </si>
  <si>
    <t>Verify system blocks report submission when Support Needed field is empty.</t>
  </si>
  <si>
    <t>SupportNeeded=""</t>
  </si>
  <si>
    <t>1. Leave Support Needed field blank;
2. Click Submit Report button.</t>
  </si>
  <si>
    <t>System blocks submission.
Validation error message appears: "Support Needed field is required."</t>
  </si>
  <si>
    <t>System blocked submission and displayed validation error "Support Needed field is required."</t>
  </si>
  <si>
    <t>TC-M06-026</t>
  </si>
  <si>
    <t>Cancel Report Submission Confirmation</t>
  </si>
  <si>
    <t>Verify clicking Cancel in submission confirmation popup returns to edit form without submitting.</t>
  </si>
  <si>
    <t>User is logged in as Student.
Form filled with complete valid data.</t>
  </si>
  <si>
    <t>Action="Cancel Confirmation"</t>
  </si>
  <si>
    <t>1. Click Submit Report button;
2. When confirmation popup appears, click Cancel button.</t>
  </si>
  <si>
    <t>Confirmation popup closes.
Report is not submitted and remains in edit form.</t>
  </si>
  <si>
    <t>Confirmation popup closed upon clicking Cancel, report was not submitted, and form remained in edit mode.</t>
  </si>
  <si>
    <t>Related Requirement: M06-F06, UI Standards</t>
  </si>
  <si>
    <t>TC-M06-027</t>
  </si>
  <si>
    <t>Submitted Report Permanently Switches to Read-Only Status</t>
  </si>
  <si>
    <t>Verify student cannot edit or resubmit a report once it has been submitted.</t>
  </si>
  <si>
    <t>User is logged in as Student.
Report status is Submitted.</t>
  </si>
  <si>
    <t>ReportStatus="Submitted"</t>
  </si>
  <si>
    <t>1. Open submitted report;
2. Observe UI for edit/save buttons.</t>
  </si>
  <si>
    <t>Report displays in Read-Only mode.
Edit and Save buttons are hidden or disabled.
Student cannot modify content.</t>
  </si>
  <si>
    <t>Submitted report displayed in Read-Only mode with edit and save controls disabled.</t>
  </si>
  <si>
    <t>Related Requirement: M06-F07, Business Rules 6.6</t>
  </si>
  <si>
    <t>TC-M06-028</t>
  </si>
  <si>
    <t>Send Automatic Email Notification Upon Successful Report Submission</t>
  </si>
  <si>
    <t>Verify system triggers email notifications to PNV supervisor and Company supervisor after successful submission.</t>
  </si>
  <si>
    <t>User is logged in as Student.
Email notification service enabled.</t>
  </si>
  <si>
    <t>PnvSupervisorEmail="mentor@passerellesnumeriques.org"; CompanySupervisorEmail="john@company.com"</t>
  </si>
  <si>
    <t>1. Submit bi-weekly internship report successfully;
2. Check email inbox of PNV supervisor and Company supervisor.</t>
  </si>
  <si>
    <t>Automated email notification is delivered to both supervisor email addresses containing report summary.</t>
  </si>
  <si>
    <t>Automated email notifications containing report summary were delivered to both PNV and Company supervisors upon submission.</t>
  </si>
  <si>
    <t>Related Requirement: M06-F08, Business Rules 6.7</t>
  </si>
  <si>
    <t>TC-M06-029</t>
  </si>
  <si>
    <t>Handle Error When Email Notification Sending Fails</t>
  </si>
  <si>
    <t>Verify report submission still succeeds and logs error gracefully if email service fails.</t>
  </si>
  <si>
    <t>User is logged in as Student.
Email notification service is temporarily unavailable.</t>
  </si>
  <si>
    <t>EmailServiceStatus="Offline"</t>
  </si>
  <si>
    <t>1. Submit report when email service is offline;
2. Observe system response.</t>
  </si>
  <si>
    <t>Report submission succeeds and saves to database.
Warning message appears notifying student that email delivery failed, and error is logged.</t>
  </si>
  <si>
    <t>Report saved successfully to database, warning notification displayed regarding email failure, and error was logged.</t>
  </si>
  <si>
    <t>Related Requirement: M06-F08, Error Handling (Section 8)</t>
  </si>
  <si>
    <t>TC-M06-030</t>
  </si>
  <si>
    <t>Staff View Student Internship Report</t>
  </si>
  <si>
    <t>Verify Staff can view submitted bi-weekly internship reports of students.</t>
  </si>
  <si>
    <t>User is logged in as Staff.
Student has submitted a bi-weekly report.</t>
  </si>
  <si>
    <t>1. Access Internship Management interface;
2. Select student report list;
3. Click View on student's submitted report.</t>
  </si>
  <si>
    <t>Staff can view complete report content (tasks, hours, challenges, supervisor info) in Read-Only mode.</t>
  </si>
  <si>
    <t>Staff accessed student report list and viewed complete report content in Read-Only mode.</t>
  </si>
  <si>
    <t>Related Requirement: M06-F09, Business Rules 6.8</t>
  </si>
  <si>
    <t>TC-M06-031</t>
  </si>
  <si>
    <t>Staff Cannot Edit or Delete Student Report</t>
  </si>
  <si>
    <t>Verify Staff users cannot modify or delete submitted student reports.</t>
  </si>
  <si>
    <t>User is logged in as Staff.
Viewing submitted student report.</t>
  </si>
  <si>
    <t>1. Open student submitted report;
2. Check for edit/delete controls.</t>
  </si>
  <si>
    <t>No edit or delete buttons are available for Staff.
Report content is strictly Read-Only.</t>
  </si>
  <si>
    <t>Edit and delete controls were hidden for Staff role; report content remained strictly Read-Only.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</si>
</sst>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7" x14ac:knownFonts="1">
    <font>
      <sz val="11"/>
      <color theme="1"/>
      <name val="Calibri"/>
      <family val="2"/>
      <scheme val="minor"/>
    </font>
    <font>
      <b/>
      <sz val="11"/>
      <color rgb="FFFFFFFF"/>
      <name val="Segoe UI"/>
    </font>
    <font>
      <sz val="10"/>
      <color rgb="FF000000"/>
      <name val="Segoe UI"/>
    </font>
    <font>
      <b/>
      <sz val="10"/>
      <color rgb="FF1F4E78"/>
      <name val="Segoe UI"/>
    </font>
    <font>
      <b/>
      <sz val="10"/>
      <color rgb="FF137333"/>
      <name val="Segoe UI"/>
    </font>
    <font>
      <b/>
      <sz val="10"/>
      <color rgb="FFA50E0E"/>
      <name val="Segoe UI"/>
    </font>
    <font>
      <b/>
      <sz val="10"/>
      <color rgb="FFB06000"/>
      <name val="Segoe UI"/>
    </font>
    <font>
      <b/>
      <sz val="16"/>
      <color rgb="FF1F4E78"/>
      <name val="Segoe UI"/>
    </font>
    <font>
      <i/>
      <sz val="10"/>
      <color rgb="FF555555"/>
      <name val="Segoe UI"/>
    </font>
    <font>
      <b/>
      <sz val="10"/>
      <color rgb="FF000000"/>
      <name val="Segoe UI"/>
    </font>
    <font>
      <b/>
      <sz val="9"/>
      <color rgb="FF64748B"/>
      <name val="Segoe UI"/>
    </font>
    <font>
      <b/>
      <sz val="18"/>
      <color rgb="FF1E293B"/>
      <name val="Segoe UI"/>
    </font>
    <font>
      <b/>
      <sz val="18"/>
      <color rgb="FF1F4E78"/>
      <name val="Segoe UI"/>
    </font>
    <font>
      <b/>
      <sz val="18"/>
      <color rgb="FFA50E0E"/>
      <name val="Segoe UI"/>
    </font>
    <font>
      <b/>
      <sz val="18"/>
      <color rgb="FFB06000"/>
      <name val="Segoe UI"/>
    </font>
    <font>
      <b/>
      <sz val="18"/>
      <color rgb="FF137333"/>
      <name val="Segoe UI"/>
    </font>
    <font>
      <b/>
      <sz val="12"/>
      <color rgb="FF1F4E78"/>
      <name val="Segoe UI"/>
    </font>
  </fonts>
  <fills count="9">
    <fill>
      <patternFill patternType="none"/>
    </fill>
    <fill>
      <patternFill patternType="gray125"/>
    </fill>
    <fill>
      <patternFill patternType="solid">
        <fgColor rgb="FF1F4E78"/>
        <bgColor rgb="FF1F4E78"/>
      </patternFill>
    </fill>
    <fill>
      <patternFill patternType="solid">
        <fgColor rgb="FFE6F4EA"/>
        <bgColor rgb="FFE6F4EA"/>
      </patternFill>
    </fill>
    <fill>
      <patternFill patternType="solid">
        <fgColor rgb="FFFCE8E6"/>
        <bgColor rgb="FFFCE8E6"/>
      </patternFill>
    </fill>
    <fill>
      <patternFill patternType="solid">
        <fgColor rgb="FFF8FAFC"/>
        <bgColor rgb="FFF8FAFC"/>
      </patternFill>
    </fill>
    <fill>
      <patternFill patternType="solid">
        <fgColor rgb="FFFEF7E0"/>
        <bgColor rgb="FFFEF7E0"/>
      </patternFill>
    </fill>
    <fill>
      <patternFill patternType="solid">
        <fgColor rgb="FFE2E8F0"/>
        <bgColor rgb="FFE2E8F0"/>
      </patternFill>
    </fill>
    <fill>
      <patternFill patternType="solid">
        <fgColor rgb="FFF1F5F9"/>
        <bgColor rgb="FFF1F5F9"/>
      </patternFill>
    </fill>
  </fills>
  <borders count="3">
    <border>
      <left/>
      <right/>
      <top/>
      <bottom/>
      <diagonal/>
    </border>
    <border>
      <left style="thin">
        <color rgb="FFCBD5E1"/>
      </left>
      <right style="thin">
        <color rgb="FFCBD5E1"/>
      </right>
      <top style="thin">
        <color rgb="FFCBD5E1"/>
      </top>
      <bottom style="thin">
        <color rgb="FFCBD5E1"/>
      </bottom>
      <diagonal/>
    </border>
    <border>
      <left style="thin">
        <color rgb="FFCBD5E1"/>
      </left>
      <right style="thin">
        <color rgb="FFCBD5E1"/>
      </right>
      <top style="medium">
        <color rgb="FF1E293B"/>
      </top>
      <bottom style="double">
        <color rgb="FF1E293B"/>
      </bottom>
      <diagonal/>
    </border>
  </borders>
  <cellStyleXfs count="1">
    <xf numFmtId="0" fontId="0" fillId="0" borderId="0"/>
  </cellStyleXfs>
  <cellXfs count="36">
    <xf numFmtId="0" fontId="0" fillId="0" borderId="0" xfId="0"/>
    <xf numFmtId="0" fontId="1" fillId="2" borderId="1" xfId="0" applyFont="1" applyFill="1" applyBorder="1" applyAlignment="1">
      <alignment horizontal="center" vertical="center" wrapText="1"/>
    </xf>
    <xf numFmtId="0" fontId="2" fillId="0" borderId="1" xfId="0" applyFont="1" applyBorder="1" applyAlignment="1">
      <alignment horizontal="center" vertical="top" wrapText="1"/>
    </xf>
    <xf numFmtId="0" fontId="3" fillId="0" borderId="1" xfId="0" applyFont="1" applyBorder="1" applyAlignment="1">
      <alignment horizontal="center" vertical="top" wrapText="1"/>
    </xf>
    <xf numFmtId="0" fontId="2" fillId="0" borderId="1" xfId="0" applyFont="1" applyBorder="1" applyAlignment="1">
      <alignment horizontal="left" vertical="top" wrapText="1"/>
    </xf>
    <xf numFmtId="0" fontId="4" fillId="3" borderId="1" xfId="0" applyFont="1" applyFill="1" applyBorder="1" applyAlignment="1">
      <alignment horizontal="center" vertical="top" wrapText="1"/>
    </xf>
    <xf numFmtId="0" fontId="5" fillId="4" borderId="1" xfId="0" applyFont="1" applyFill="1" applyBorder="1" applyAlignment="1">
      <alignment horizontal="center" vertical="top" wrapText="1"/>
    </xf>
    <xf numFmtId="0" fontId="2" fillId="5" borderId="1" xfId="0" applyFont="1" applyFill="1" applyBorder="1" applyAlignment="1">
      <alignment horizontal="center" vertical="top" wrapText="1"/>
    </xf>
    <xf numFmtId="0" fontId="3" fillId="5" borderId="1" xfId="0" applyFont="1" applyFill="1" applyBorder="1" applyAlignment="1">
      <alignment horizontal="center" vertical="top" wrapText="1"/>
    </xf>
    <xf numFmtId="0" fontId="2" fillId="5" borderId="1" xfId="0" applyFont="1" applyFill="1" applyBorder="1" applyAlignment="1">
      <alignment horizontal="left" vertical="top" wrapText="1"/>
    </xf>
    <xf numFmtId="0" fontId="6" fillId="6" borderId="1" xfId="0" applyFont="1" applyFill="1" applyBorder="1" applyAlignment="1">
      <alignment horizontal="center" vertical="top" wrapText="1"/>
    </xf>
    <xf numFmtId="0" fontId="7" fillId="0" borderId="0" xfId="0" applyFont="1"/>
    <xf numFmtId="0" fontId="8" fillId="0" borderId="0" xfId="0" applyFont="1"/>
    <xf numFmtId="0" fontId="10" fillId="0" borderId="0" xfId="0" applyFont="1" applyAlignment="1">
      <alignment horizontal="center" vertical="center"/>
    </xf>
    <xf numFmtId="0" fontId="11" fillId="8" borderId="1" xfId="0" applyFont="1" applyFill="1" applyBorder="1" applyAlignment="1">
      <alignment horizontal="center" vertical="center"/>
    </xf>
    <xf numFmtId="0" fontId="12" fillId="7" borderId="1" xfId="0" applyFont="1" applyFill="1" applyBorder="1" applyAlignment="1">
      <alignment horizontal="center" vertical="center"/>
    </xf>
    <xf numFmtId="0" fontId="13" fillId="4" borderId="1" xfId="0" applyFont="1" applyFill="1" applyBorder="1" applyAlignment="1">
      <alignment horizontal="center" vertical="center"/>
    </xf>
    <xf numFmtId="0" fontId="14" fillId="6" borderId="1" xfId="0" applyFont="1" applyFill="1" applyBorder="1" applyAlignment="1">
      <alignment horizontal="center" vertical="center"/>
    </xf>
    <xf numFmtId="0" fontId="15" fillId="3" borderId="1" xfId="0" applyFont="1" applyFill="1" applyBorder="1" applyAlignment="1">
      <alignment horizontal="center" vertical="center"/>
    </xf>
    <xf numFmtId="0" fontId="16" fillId="0" borderId="0" xfId="0" applyFont="1"/>
    <xf numFmtId="0" fontId="1" fillId="2" borderId="1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left" vertical="center"/>
    </xf>
    <xf numFmtId="0" fontId="3" fillId="5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horizontal="left" vertical="center"/>
    </xf>
    <xf numFmtId="0" fontId="5" fillId="5" borderId="1" xfId="0" applyFont="1" applyFill="1" applyBorder="1" applyAlignment="1">
      <alignment horizontal="center" vertical="center"/>
    </xf>
    <xf numFmtId="0" fontId="6" fillId="5" borderId="1" xfId="0" applyFont="1" applyFill="1" applyBorder="1" applyAlignment="1">
      <alignment horizontal="center" vertical="center"/>
    </xf>
    <xf numFmtId="0" fontId="4" fillId="5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horizontal="center" vertical="center"/>
    </xf>
    <xf numFmtId="0" fontId="3" fillId="0" borderId="1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5" fillId="0" borderId="1" xfId="0" applyFont="1" applyBorder="1" applyAlignment="1">
      <alignment horizontal="center" vertical="center"/>
    </xf>
    <xf numFmtId="0" fontId="6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0" fontId="9" fillId="7" borderId="2" xfId="0" applyFont="1" applyFill="1" applyBorder="1" applyAlignment="1">
      <alignment horizontal="center" vertical="center"/>
    </xf>
    <xf numFmtId="0" fontId="9" fillId="7" borderId="2" xfId="0" applyFont="1" applyFill="1" applyBorder="1" applyAlignment="1">
      <alignment horizontal="left" vertical="center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microsoft.com/office/2017/06/relationships/rdRichValue" Target="richData/rdrichvalue.xml"/><Relationship Id="rId3" Type="http://schemas.openxmlformats.org/officeDocument/2006/relationships/theme" Target="theme/theme1.xml"/><Relationship Id="rId7" Type="http://schemas.microsoft.com/office/2022/10/relationships/richValueRel" Target="richData/richValueRel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eetMetadata" Target="metadata.xml"/><Relationship Id="rId11" Type="http://schemas.openxmlformats.org/officeDocument/2006/relationships/calcChain" Target="calcChain.xml"/><Relationship Id="rId5" Type="http://schemas.openxmlformats.org/officeDocument/2006/relationships/sharedStrings" Target="sharedStrings.xml"/><Relationship Id="rId10" Type="http://schemas.microsoft.com/office/2017/06/relationships/rdRichValueTypes" Target="richData/rdRichValueTypes.xml"/><Relationship Id="rId4" Type="http://schemas.openxmlformats.org/officeDocument/2006/relationships/styles" Target="styles.xml"/><Relationship Id="rId9" Type="http://schemas.microsoft.com/office/2017/06/relationships/rdRichValueStructure" Target="richData/rdrichvaluestructure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1"/>
  <c:style val="10"/>
  <c:chart>
    <c:title>
      <c:tx>
        <c:rich>
          <a:bodyPr/>
          <a:lstStyle/>
          <a:p>
            <a:pPr>
              <a:defRPr/>
            </a:pPr>
            <a:r>
              <a:rPr lang="en-US"/>
              <a:t>Test Cases by Feature (Grouped by Priority)</a:t>
            </a:r>
          </a:p>
        </c:rich>
      </c:tx>
      <c:overlay val="1"/>
    </c:title>
    <c:autoTitleDeleted val="0"/>
    <c:plotArea>
      <c:layout/>
      <c:barChart>
        <c:barDir val="col"/>
        <c:grouping val="clustered"/>
        <c:varyColors val="1"/>
        <c:ser>
          <c:idx val="0"/>
          <c:order val="0"/>
          <c:tx>
            <c:strRef>
              <c:f>Report!$C$8</c:f>
              <c:strCache>
                <c:ptCount val="1"/>
                <c:pt idx="0">
                  <c:v>High Priority</c:v>
                </c:pt>
              </c:strCache>
            </c:strRef>
          </c:tx>
          <c:spPr>
            <a:solidFill>
              <a:srgbClr val="FF0000"/>
            </a:solidFill>
            <a:ln>
              <a:prstDash val="solid"/>
            </a:ln>
          </c:spPr>
          <c:invertIfNegative val="1"/>
          <c:cat>
            <c:strRef>
              <c:f>Report!$A$9:$A$17</c:f>
              <c:strCache>
                <c:ptCount val="9"/>
                <c:pt idx="0">
                  <c:v>M06-F01</c:v>
                </c:pt>
                <c:pt idx="1">
                  <c:v>M06-F02</c:v>
                </c:pt>
                <c:pt idx="2">
                  <c:v>M06-F03</c:v>
                </c:pt>
                <c:pt idx="3">
                  <c:v>M06-F04</c:v>
                </c:pt>
                <c:pt idx="4">
                  <c:v>M06-F05</c:v>
                </c:pt>
                <c:pt idx="5">
                  <c:v>M06-F06</c:v>
                </c:pt>
                <c:pt idx="6">
                  <c:v>M06-F07</c:v>
                </c:pt>
                <c:pt idx="7">
                  <c:v>M06-F08</c:v>
                </c:pt>
                <c:pt idx="8">
                  <c:v>M06-F09</c:v>
                </c:pt>
              </c:strCache>
            </c:strRef>
          </c:cat>
          <c:val>
            <c:numRef>
              <c:f>Report!$C$9:$C$17</c:f>
              <c:numCache>
                <c:formatCode>General</c:formatCode>
                <c:ptCount val="9"/>
                <c:pt idx="0">
                  <c:v>4</c:v>
                </c:pt>
                <c:pt idx="1">
                  <c:v>3</c:v>
                </c:pt>
                <c:pt idx="2">
                  <c:v>3</c:v>
                </c:pt>
                <c:pt idx="3">
                  <c:v>3</c:v>
                </c:pt>
                <c:pt idx="4">
                  <c:v>3</c:v>
                </c:pt>
                <c:pt idx="5">
                  <c:v>8</c:v>
                </c:pt>
                <c:pt idx="6">
                  <c:v>1</c:v>
                </c:pt>
                <c:pt idx="7">
                  <c:v>1</c:v>
                </c:pt>
                <c:pt idx="8">
                  <c:v>2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>
                    <a:prstDash val="solid"/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0-F9C4-4117-95F5-AB3C778D5EEE}"/>
            </c:ext>
          </c:extLst>
        </c:ser>
        <c:ser>
          <c:idx val="1"/>
          <c:order val="1"/>
          <c:tx>
            <c:strRef>
              <c:f>Report!$D$8</c:f>
              <c:strCache>
                <c:ptCount val="1"/>
                <c:pt idx="0">
                  <c:v>Medium Priority</c:v>
                </c:pt>
              </c:strCache>
            </c:strRef>
          </c:tx>
          <c:spPr>
            <a:solidFill>
              <a:srgbClr val="FFFF00"/>
            </a:solidFill>
            <a:ln>
              <a:prstDash val="solid"/>
            </a:ln>
          </c:spPr>
          <c:invertIfNegative val="1"/>
          <c:cat>
            <c:strRef>
              <c:f>Report!$A$9:$A$17</c:f>
              <c:strCache>
                <c:ptCount val="9"/>
                <c:pt idx="0">
                  <c:v>M06-F01</c:v>
                </c:pt>
                <c:pt idx="1">
                  <c:v>M06-F02</c:v>
                </c:pt>
                <c:pt idx="2">
                  <c:v>M06-F03</c:v>
                </c:pt>
                <c:pt idx="3">
                  <c:v>M06-F04</c:v>
                </c:pt>
                <c:pt idx="4">
                  <c:v>M06-F05</c:v>
                </c:pt>
                <c:pt idx="5">
                  <c:v>M06-F06</c:v>
                </c:pt>
                <c:pt idx="6">
                  <c:v>M06-F07</c:v>
                </c:pt>
                <c:pt idx="7">
                  <c:v>M06-F08</c:v>
                </c:pt>
                <c:pt idx="8">
                  <c:v>M06-F09</c:v>
                </c:pt>
              </c:strCache>
            </c:strRef>
          </c:cat>
          <c:val>
            <c:numRef>
              <c:f>Report!$D$9:$D$17</c:f>
              <c:numCache>
                <c:formatCode>General</c:formatCode>
                <c:ptCount val="9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1</c:v>
                </c:pt>
                <c:pt idx="5">
                  <c:v>1</c:v>
                </c:pt>
                <c:pt idx="6">
                  <c:v>0</c:v>
                </c:pt>
                <c:pt idx="7">
                  <c:v>1</c:v>
                </c:pt>
                <c:pt idx="8">
                  <c:v>0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>
                    <a:prstDash val="solid"/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1-F9C4-4117-95F5-AB3C778D5EEE}"/>
            </c:ext>
          </c:extLst>
        </c:ser>
        <c:ser>
          <c:idx val="2"/>
          <c:order val="2"/>
          <c:tx>
            <c:strRef>
              <c:f>Report!$E$8</c:f>
              <c:strCache>
                <c:ptCount val="1"/>
                <c:pt idx="0">
                  <c:v>Low Priority</c:v>
                </c:pt>
              </c:strCache>
            </c:strRef>
          </c:tx>
          <c:spPr>
            <a:solidFill>
              <a:srgbClr val="00FF00"/>
            </a:solidFill>
            <a:ln>
              <a:prstDash val="solid"/>
            </a:ln>
          </c:spPr>
          <c:invertIfNegative val="1"/>
          <c:cat>
            <c:strRef>
              <c:f>Report!$A$9:$A$17</c:f>
              <c:strCache>
                <c:ptCount val="9"/>
                <c:pt idx="0">
                  <c:v>M06-F01</c:v>
                </c:pt>
                <c:pt idx="1">
                  <c:v>M06-F02</c:v>
                </c:pt>
                <c:pt idx="2">
                  <c:v>M06-F03</c:v>
                </c:pt>
                <c:pt idx="3">
                  <c:v>M06-F04</c:v>
                </c:pt>
                <c:pt idx="4">
                  <c:v>M06-F05</c:v>
                </c:pt>
                <c:pt idx="5">
                  <c:v>M06-F06</c:v>
                </c:pt>
                <c:pt idx="6">
                  <c:v>M06-F07</c:v>
                </c:pt>
                <c:pt idx="7">
                  <c:v>M06-F08</c:v>
                </c:pt>
                <c:pt idx="8">
                  <c:v>M06-F09</c:v>
                </c:pt>
              </c:strCache>
            </c:strRef>
          </c:cat>
          <c:val>
            <c:numRef>
              <c:f>Report!$E$9:$E$17</c:f>
              <c:numCache>
                <c:formatCode>General</c:formatCode>
                <c:ptCount val="9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>
                    <a:prstDash val="solid"/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2-F9C4-4117-95F5-AB3C778D5EE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-20"/>
        <c:axId val="10"/>
        <c:axId val="100"/>
      </c:barChart>
      <c:catAx>
        <c:axId val="10"/>
        <c:scaling>
          <c:orientation val="minMax"/>
        </c:scaling>
        <c:delete val="1"/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Feature ID</a:t>
                </a:r>
              </a:p>
            </c:rich>
          </c:tx>
          <c:overlay val="1"/>
        </c:title>
        <c:numFmt formatCode="General" sourceLinked="1"/>
        <c:majorTickMark val="none"/>
        <c:minorTickMark val="none"/>
        <c:tickLblPos val="nextTo"/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</c:scaling>
        <c:delete val="1"/>
        <c:axPos val="l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Number of Test Cases</a:t>
                </a:r>
              </a:p>
            </c:rich>
          </c:tx>
          <c:overlay val="1"/>
        </c:title>
        <c:numFmt formatCode="General" sourceLinked="1"/>
        <c:majorTickMark val="none"/>
        <c:minorTickMark val="none"/>
        <c:tickLblPos val="nextTo"/>
        <c:crossAx val="10"/>
        <c:crosses val="autoZero"/>
        <c:crossBetween val="between"/>
      </c:valAx>
    </c:plotArea>
    <c:legend>
      <c:legendPos val="r"/>
      <c:overlay val="1"/>
    </c:legend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7</xdr:col>
      <xdr:colOff>0</xdr:colOff>
      <xdr:row>3</xdr:row>
      <xdr:rowOff>0</xdr:rowOff>
    </xdr:from>
    <xdr:ext cx="7920000" cy="5040000"/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oneCellAnchor>
</xdr:wsDr>
</file>

<file path=xl/richData/_rels/richValueRel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richvalue.xml><?xml version="1.0" encoding="utf-8"?>
<rvData xmlns="http://schemas.microsoft.com/office/spreadsheetml/2017/richdata" count="1">
  <rv s="0">
    <v>0</v>
    <v>5</v>
  </rv>
</rvData>
</file>

<file path=xl/richData/rdrichvaluestructure.xml><?xml version="1.0" encoding="utf-8"?>
<rvStructures xmlns="http://schemas.microsoft.com/office/spreadsheetml/2017/richdata" count="1">
  <s t="_localImage">
    <k n="_rvRel:LocalImageIdentifier" t="i"/>
    <k n="CalcOrigin" t="i"/>
  </s>
</rv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</richValueRel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F18"/>
  <sheetViews>
    <sheetView workbookViewId="0">
      <selection activeCell="L1" sqref="L1"/>
    </sheetView>
  </sheetViews>
  <sheetFormatPr defaultRowHeight="15" x14ac:dyDescent="0.25"/>
  <cols>
    <col min="1" max="1" width="16" customWidth="1"/>
    <col min="2" max="2" width="32" customWidth="1"/>
    <col min="3" max="6" width="16" customWidth="1"/>
  </cols>
  <sheetData>
    <row r="1" spans="1:6" ht="25.5" x14ac:dyDescent="0.5">
      <c r="A1" s="11" t="s">
        <v>0</v>
      </c>
    </row>
    <row r="2" spans="1:6" x14ac:dyDescent="0.25">
      <c r="A2" s="12" t="s">
        <v>1</v>
      </c>
    </row>
    <row r="4" spans="1:6" ht="18" customHeight="1" x14ac:dyDescent="0.25">
      <c r="A4" s="13" t="s">
        <v>2</v>
      </c>
      <c r="B4" s="13" t="s">
        <v>3</v>
      </c>
      <c r="C4" s="13" t="s">
        <v>4</v>
      </c>
      <c r="D4" s="13" t="s">
        <v>5</v>
      </c>
      <c r="E4" s="13" t="s">
        <v>6</v>
      </c>
    </row>
    <row r="5" spans="1:6" ht="32.1" customHeight="1" x14ac:dyDescent="0.25">
      <c r="A5" s="14">
        <f>COUNTA(A9:A17)</f>
        <v>9</v>
      </c>
      <c r="B5" s="15">
        <f>F18</f>
        <v>31</v>
      </c>
      <c r="C5" s="16">
        <f>COUNTIF(C9:C17, "&gt;0")</f>
        <v>9</v>
      </c>
      <c r="D5" s="17">
        <f>COUNTIFS(C9:C17, 0, D9:D17, "&gt;0")</f>
        <v>0</v>
      </c>
      <c r="E5" s="18">
        <f>COUNTIFS(C9:C17, 0, D9:D17, 0, E9:E17, "&gt;0")</f>
        <v>0</v>
      </c>
    </row>
    <row r="7" spans="1:6" ht="17.25" x14ac:dyDescent="0.3">
      <c r="A7" s="19" t="s">
        <v>7</v>
      </c>
    </row>
    <row r="8" spans="1:6" ht="26.1" customHeight="1" x14ac:dyDescent="0.25">
      <c r="A8" s="20" t="s">
        <v>8</v>
      </c>
      <c r="B8" s="21" t="s">
        <v>9</v>
      </c>
      <c r="C8" s="20" t="s">
        <v>10</v>
      </c>
      <c r="D8" s="20" t="s">
        <v>11</v>
      </c>
      <c r="E8" s="20" t="s">
        <v>12</v>
      </c>
      <c r="F8" s="20" t="s">
        <v>13</v>
      </c>
    </row>
    <row r="9" spans="1:6" ht="21.95" customHeight="1" x14ac:dyDescent="0.25">
      <c r="A9" s="22" t="s">
        <v>14</v>
      </c>
      <c r="B9" s="23" t="s">
        <v>15</v>
      </c>
      <c r="C9" s="24">
        <f>COUNTIFS(Module06!$C$2:$C$32, A9, Module06!$O$2:$O$32, "High")</f>
        <v>4</v>
      </c>
      <c r="D9" s="25">
        <f>COUNTIFS(Module06!$C$2:$C$32, A9, Module06!$O$2:$O$32, "Medium")</f>
        <v>0</v>
      </c>
      <c r="E9" s="26">
        <f>COUNTIFS(Module06!$C$2:$C$32, A9, Module06!$O$2:$O$32, "Low")</f>
        <v>0</v>
      </c>
      <c r="F9" s="27">
        <f t="shared" ref="F9:F17" si="0">SUM(C9:E9)</f>
        <v>4</v>
      </c>
    </row>
    <row r="10" spans="1:6" ht="21.95" customHeight="1" x14ac:dyDescent="0.25">
      <c r="A10" s="28" t="s">
        <v>16</v>
      </c>
      <c r="B10" s="29" t="s">
        <v>17</v>
      </c>
      <c r="C10" s="30">
        <f>COUNTIFS(Module06!$C$2:$C$32, A10, Module06!$O$2:$O$32, "High")</f>
        <v>3</v>
      </c>
      <c r="D10" s="31">
        <f>COUNTIFS(Module06!$C$2:$C$32, A10, Module06!$O$2:$O$32, "Medium")</f>
        <v>0</v>
      </c>
      <c r="E10" s="32">
        <f>COUNTIFS(Module06!$C$2:$C$32, A10, Module06!$O$2:$O$32, "Low")</f>
        <v>0</v>
      </c>
      <c r="F10" s="33">
        <f t="shared" si="0"/>
        <v>3</v>
      </c>
    </row>
    <row r="11" spans="1:6" ht="21.95" customHeight="1" x14ac:dyDescent="0.25">
      <c r="A11" s="22" t="s">
        <v>18</v>
      </c>
      <c r="B11" s="23" t="s">
        <v>19</v>
      </c>
      <c r="C11" s="24">
        <f>COUNTIFS(Module06!$C$2:$C$32, A11, Module06!$O$2:$O$32, "High")</f>
        <v>3</v>
      </c>
      <c r="D11" s="25">
        <f>COUNTIFS(Module06!$C$2:$C$32, A11, Module06!$O$2:$O$32, "Medium")</f>
        <v>0</v>
      </c>
      <c r="E11" s="26">
        <f>COUNTIFS(Module06!$C$2:$C$32, A11, Module06!$O$2:$O$32, "Low")</f>
        <v>0</v>
      </c>
      <c r="F11" s="27">
        <f t="shared" si="0"/>
        <v>3</v>
      </c>
    </row>
    <row r="12" spans="1:6" ht="21.95" customHeight="1" x14ac:dyDescent="0.25">
      <c r="A12" s="28" t="s">
        <v>20</v>
      </c>
      <c r="B12" s="29" t="s">
        <v>21</v>
      </c>
      <c r="C12" s="30">
        <f>COUNTIFS(Module06!$C$2:$C$32, A12, Module06!$O$2:$O$32, "High")</f>
        <v>3</v>
      </c>
      <c r="D12" s="31">
        <f>COUNTIFS(Module06!$C$2:$C$32, A12, Module06!$O$2:$O$32, "Medium")</f>
        <v>0</v>
      </c>
      <c r="E12" s="32">
        <f>COUNTIFS(Module06!$C$2:$C$32, A12, Module06!$O$2:$O$32, "Low")</f>
        <v>0</v>
      </c>
      <c r="F12" s="33">
        <f t="shared" si="0"/>
        <v>3</v>
      </c>
    </row>
    <row r="13" spans="1:6" ht="21.95" customHeight="1" x14ac:dyDescent="0.25">
      <c r="A13" s="22" t="s">
        <v>22</v>
      </c>
      <c r="B13" s="23" t="s">
        <v>23</v>
      </c>
      <c r="C13" s="24">
        <f>COUNTIFS(Module06!$C$2:$C$32, A13, Module06!$O$2:$O$32, "High")</f>
        <v>3</v>
      </c>
      <c r="D13" s="25">
        <f>COUNTIFS(Module06!$C$2:$C$32, A13, Module06!$O$2:$O$32, "Medium")</f>
        <v>1</v>
      </c>
      <c r="E13" s="26">
        <f>COUNTIFS(Module06!$C$2:$C$32, A13, Module06!$O$2:$O$32, "Low")</f>
        <v>0</v>
      </c>
      <c r="F13" s="27">
        <f t="shared" si="0"/>
        <v>4</v>
      </c>
    </row>
    <row r="14" spans="1:6" ht="21.95" customHeight="1" x14ac:dyDescent="0.25">
      <c r="A14" s="28" t="s">
        <v>24</v>
      </c>
      <c r="B14" s="29" t="s">
        <v>25</v>
      </c>
      <c r="C14" s="30">
        <f>COUNTIFS(Module06!$C$2:$C$32, A14, Module06!$O$2:$O$32, "High")</f>
        <v>8</v>
      </c>
      <c r="D14" s="31">
        <f>COUNTIFS(Module06!$C$2:$C$32, A14, Module06!$O$2:$O$32, "Medium")</f>
        <v>1</v>
      </c>
      <c r="E14" s="32">
        <f>COUNTIFS(Module06!$C$2:$C$32, A14, Module06!$O$2:$O$32, "Low")</f>
        <v>0</v>
      </c>
      <c r="F14" s="33">
        <f t="shared" si="0"/>
        <v>9</v>
      </c>
    </row>
    <row r="15" spans="1:6" ht="21.95" customHeight="1" x14ac:dyDescent="0.25">
      <c r="A15" s="22" t="s">
        <v>26</v>
      </c>
      <c r="B15" s="23" t="s">
        <v>27</v>
      </c>
      <c r="C15" s="24">
        <f>COUNTIFS(Module06!$C$2:$C$32, A15, Module06!$O$2:$O$32, "High")</f>
        <v>1</v>
      </c>
      <c r="D15" s="25">
        <f>COUNTIFS(Module06!$C$2:$C$32, A15, Module06!$O$2:$O$32, "Medium")</f>
        <v>0</v>
      </c>
      <c r="E15" s="26">
        <f>COUNTIFS(Module06!$C$2:$C$32, A15, Module06!$O$2:$O$32, "Low")</f>
        <v>0</v>
      </c>
      <c r="F15" s="27">
        <f t="shared" si="0"/>
        <v>1</v>
      </c>
    </row>
    <row r="16" spans="1:6" ht="21.95" customHeight="1" x14ac:dyDescent="0.25">
      <c r="A16" s="28" t="s">
        <v>28</v>
      </c>
      <c r="B16" s="29" t="s">
        <v>29</v>
      </c>
      <c r="C16" s="30">
        <f>COUNTIFS(Module06!$C$2:$C$32, A16, Module06!$O$2:$O$32, "High")</f>
        <v>1</v>
      </c>
      <c r="D16" s="31">
        <f>COUNTIFS(Module06!$C$2:$C$32, A16, Module06!$O$2:$O$32, "Medium")</f>
        <v>1</v>
      </c>
      <c r="E16" s="32">
        <f>COUNTIFS(Module06!$C$2:$C$32, A16, Module06!$O$2:$O$32, "Low")</f>
        <v>0</v>
      </c>
      <c r="F16" s="33">
        <f t="shared" si="0"/>
        <v>2</v>
      </c>
    </row>
    <row r="17" spans="1:6" ht="21.95" customHeight="1" x14ac:dyDescent="0.25">
      <c r="A17" s="22" t="s">
        <v>30</v>
      </c>
      <c r="B17" s="23" t="s">
        <v>31</v>
      </c>
      <c r="C17" s="24">
        <f>COUNTIFS(Module06!$C$2:$C$32, A17, Module06!$O$2:$O$32, "High")</f>
        <v>2</v>
      </c>
      <c r="D17" s="25">
        <f>COUNTIFS(Module06!$C$2:$C$32, A17, Module06!$O$2:$O$32, "Medium")</f>
        <v>0</v>
      </c>
      <c r="E17" s="26">
        <f>COUNTIFS(Module06!$C$2:$C$32, A17, Module06!$O$2:$O$32, "Low")</f>
        <v>0</v>
      </c>
      <c r="F17" s="27">
        <f t="shared" si="0"/>
        <v>2</v>
      </c>
    </row>
    <row r="18" spans="1:6" ht="24" customHeight="1" x14ac:dyDescent="0.25">
      <c r="A18" s="34" t="s">
        <v>32</v>
      </c>
      <c r="B18" s="35" t="str">
        <f>COUNTA(A9:A17)&amp;" Features"</f>
        <v>9 Features</v>
      </c>
      <c r="C18" s="34">
        <f>SUM(C9:C17)</f>
        <v>28</v>
      </c>
      <c r="D18" s="34">
        <f>SUM(D9:D17)</f>
        <v>3</v>
      </c>
      <c r="E18" s="34">
        <f>SUM(E9:E17)</f>
        <v>0</v>
      </c>
      <c r="F18" s="34">
        <f>SUM(F9:F17)</f>
        <v>31</v>
      </c>
    </row>
  </sheetData>
  <pageMargins left="0.75" right="0.75" top="1" bottom="1" header="0.5" footer="0.5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P32"/>
  <sheetViews>
    <sheetView tabSelected="1" topLeftCell="J3" workbookViewId="0">
      <selection activeCell="U17" sqref="U17"/>
    </sheetView>
  </sheetViews>
  <sheetFormatPr defaultRowHeight="15" x14ac:dyDescent="0.25"/>
  <cols>
    <col min="1" max="1" width="15" customWidth="1"/>
    <col min="2" max="3" width="14" customWidth="1"/>
    <col min="4" max="4" width="28" customWidth="1"/>
    <col min="5" max="5" width="32" customWidth="1"/>
    <col min="6" max="6" width="36" customWidth="1"/>
    <col min="7" max="7" width="30" customWidth="1"/>
    <col min="8" max="8" width="28" customWidth="1"/>
    <col min="9" max="10" width="48" customWidth="1"/>
    <col min="11" max="11" width="25" customWidth="1"/>
    <col min="12" max="12" width="36" customWidth="1"/>
    <col min="13" max="13" width="16" customWidth="1"/>
    <col min="14" max="14" width="25" customWidth="1"/>
    <col min="15" max="15" width="14" customWidth="1"/>
    <col min="16" max="16" width="32" customWidth="1"/>
  </cols>
  <sheetData>
    <row r="1" spans="1:16" ht="27.95" customHeight="1" x14ac:dyDescent="0.25">
      <c r="A1" s="1" t="s">
        <v>33</v>
      </c>
      <c r="B1" s="1" t="s">
        <v>34</v>
      </c>
      <c r="C1" s="1" t="s">
        <v>8</v>
      </c>
      <c r="D1" s="1" t="s">
        <v>9</v>
      </c>
      <c r="E1" s="1" t="s">
        <v>35</v>
      </c>
      <c r="F1" s="1" t="s">
        <v>36</v>
      </c>
      <c r="G1" s="1" t="s">
        <v>37</v>
      </c>
      <c r="H1" s="1" t="s">
        <v>38</v>
      </c>
      <c r="I1" s="1" t="s">
        <v>39</v>
      </c>
      <c r="J1" s="1" t="s">
        <v>40</v>
      </c>
      <c r="K1" s="1" t="s">
        <v>41</v>
      </c>
      <c r="L1" s="1" t="s">
        <v>42</v>
      </c>
      <c r="M1" s="1" t="s">
        <v>43</v>
      </c>
      <c r="N1" s="1" t="s">
        <v>41</v>
      </c>
      <c r="O1" s="1" t="s">
        <v>44</v>
      </c>
      <c r="P1" s="1" t="s">
        <v>45</v>
      </c>
    </row>
    <row r="2" spans="1:16" ht="90" customHeight="1" x14ac:dyDescent="0.25">
      <c r="A2" s="2" t="s">
        <v>46</v>
      </c>
      <c r="B2" s="2" t="s">
        <v>47</v>
      </c>
      <c r="C2" s="3" t="s">
        <v>14</v>
      </c>
      <c r="D2" s="4" t="s">
        <v>15</v>
      </c>
      <c r="E2" s="4" t="s">
        <v>48</v>
      </c>
      <c r="F2" s="4" t="s">
        <v>49</v>
      </c>
      <c r="G2" s="4" t="s">
        <v>50</v>
      </c>
      <c r="H2" s="4" t="s">
        <v>51</v>
      </c>
      <c r="I2" s="4" t="s">
        <v>52</v>
      </c>
      <c r="J2" s="4" t="s">
        <v>53</v>
      </c>
      <c r="K2" s="2"/>
      <c r="L2" s="4" t="s">
        <v>54</v>
      </c>
      <c r="M2" s="5" t="s">
        <v>55</v>
      </c>
      <c r="N2" s="2"/>
      <c r="O2" s="6" t="s">
        <v>56</v>
      </c>
      <c r="P2" s="4" t="s">
        <v>57</v>
      </c>
    </row>
    <row r="3" spans="1:16" ht="90" customHeight="1" x14ac:dyDescent="0.25">
      <c r="A3" s="7" t="s">
        <v>58</v>
      </c>
      <c r="B3" s="7" t="s">
        <v>47</v>
      </c>
      <c r="C3" s="8" t="s">
        <v>14</v>
      </c>
      <c r="D3" s="9" t="s">
        <v>15</v>
      </c>
      <c r="E3" s="9" t="s">
        <v>59</v>
      </c>
      <c r="F3" s="9" t="s">
        <v>60</v>
      </c>
      <c r="G3" s="9" t="s">
        <v>61</v>
      </c>
      <c r="H3" s="9" t="s">
        <v>62</v>
      </c>
      <c r="I3" s="9" t="s">
        <v>63</v>
      </c>
      <c r="J3" s="9" t="s">
        <v>64</v>
      </c>
      <c r="K3" s="7"/>
      <c r="L3" s="9" t="s">
        <v>65</v>
      </c>
      <c r="M3" s="5" t="s">
        <v>55</v>
      </c>
      <c r="N3" s="7"/>
      <c r="O3" s="6" t="s">
        <v>56</v>
      </c>
      <c r="P3" s="9" t="s">
        <v>57</v>
      </c>
    </row>
    <row r="4" spans="1:16" ht="90" customHeight="1" x14ac:dyDescent="0.25">
      <c r="A4" s="2" t="s">
        <v>66</v>
      </c>
      <c r="B4" s="2" t="s">
        <v>47</v>
      </c>
      <c r="C4" s="3" t="s">
        <v>14</v>
      </c>
      <c r="D4" s="4" t="s">
        <v>15</v>
      </c>
      <c r="E4" s="4" t="s">
        <v>67</v>
      </c>
      <c r="F4" s="4" t="s">
        <v>68</v>
      </c>
      <c r="G4" s="4" t="s">
        <v>69</v>
      </c>
      <c r="H4" s="4" t="s">
        <v>70</v>
      </c>
      <c r="I4" s="4" t="s">
        <v>63</v>
      </c>
      <c r="J4" s="4" t="s">
        <v>64</v>
      </c>
      <c r="K4" s="2"/>
      <c r="L4" s="4" t="s">
        <v>71</v>
      </c>
      <c r="M4" s="5" t="s">
        <v>55</v>
      </c>
      <c r="N4" s="2"/>
      <c r="O4" s="6" t="s">
        <v>56</v>
      </c>
      <c r="P4" s="4" t="s">
        <v>57</v>
      </c>
    </row>
    <row r="5" spans="1:16" ht="60" customHeight="1" x14ac:dyDescent="0.25">
      <c r="A5" s="7" t="s">
        <v>72</v>
      </c>
      <c r="B5" s="7" t="s">
        <v>47</v>
      </c>
      <c r="C5" s="8" t="s">
        <v>14</v>
      </c>
      <c r="D5" s="9" t="s">
        <v>15</v>
      </c>
      <c r="E5" s="9" t="s">
        <v>73</v>
      </c>
      <c r="F5" s="9" t="s">
        <v>74</v>
      </c>
      <c r="G5" s="9" t="s">
        <v>75</v>
      </c>
      <c r="H5" s="9" t="s">
        <v>76</v>
      </c>
      <c r="I5" s="9" t="s">
        <v>77</v>
      </c>
      <c r="J5" s="9" t="s">
        <v>78</v>
      </c>
      <c r="K5" s="7"/>
      <c r="L5" s="9" t="s">
        <v>79</v>
      </c>
      <c r="M5" s="5" t="s">
        <v>55</v>
      </c>
      <c r="N5" s="7"/>
      <c r="O5" s="6" t="s">
        <v>56</v>
      </c>
      <c r="P5" s="9" t="s">
        <v>57</v>
      </c>
    </row>
    <row r="6" spans="1:16" ht="90" customHeight="1" x14ac:dyDescent="0.25">
      <c r="A6" s="2" t="s">
        <v>80</v>
      </c>
      <c r="B6" s="2" t="s">
        <v>47</v>
      </c>
      <c r="C6" s="3" t="s">
        <v>16</v>
      </c>
      <c r="D6" s="4" t="s">
        <v>17</v>
      </c>
      <c r="E6" s="4" t="s">
        <v>81</v>
      </c>
      <c r="F6" s="4" t="s">
        <v>82</v>
      </c>
      <c r="G6" s="4" t="s">
        <v>83</v>
      </c>
      <c r="H6" s="4" t="s">
        <v>84</v>
      </c>
      <c r="I6" s="4" t="s">
        <v>85</v>
      </c>
      <c r="J6" s="4" t="s">
        <v>86</v>
      </c>
      <c r="K6" s="2"/>
      <c r="L6" s="4" t="s">
        <v>87</v>
      </c>
      <c r="M6" s="5" t="s">
        <v>55</v>
      </c>
      <c r="N6" s="2"/>
      <c r="O6" s="6" t="s">
        <v>56</v>
      </c>
      <c r="P6" s="4" t="s">
        <v>88</v>
      </c>
    </row>
    <row r="7" spans="1:16" ht="90" customHeight="1" x14ac:dyDescent="0.25">
      <c r="A7" s="7" t="s">
        <v>89</v>
      </c>
      <c r="B7" s="7" t="s">
        <v>47</v>
      </c>
      <c r="C7" s="8" t="s">
        <v>16</v>
      </c>
      <c r="D7" s="9" t="s">
        <v>17</v>
      </c>
      <c r="E7" s="9" t="s">
        <v>90</v>
      </c>
      <c r="F7" s="9" t="s">
        <v>91</v>
      </c>
      <c r="G7" s="9" t="s">
        <v>92</v>
      </c>
      <c r="H7" s="9" t="s">
        <v>93</v>
      </c>
      <c r="I7" s="9" t="s">
        <v>94</v>
      </c>
      <c r="J7" s="9" t="s">
        <v>95</v>
      </c>
      <c r="K7" s="7"/>
      <c r="L7" s="9" t="s">
        <v>96</v>
      </c>
      <c r="M7" s="5" t="s">
        <v>55</v>
      </c>
      <c r="N7" s="7"/>
      <c r="O7" s="6" t="s">
        <v>56</v>
      </c>
      <c r="P7" s="9" t="s">
        <v>88</v>
      </c>
    </row>
    <row r="8" spans="1:16" ht="90" customHeight="1" x14ac:dyDescent="0.25">
      <c r="A8" s="2" t="s">
        <v>97</v>
      </c>
      <c r="B8" s="2" t="s">
        <v>47</v>
      </c>
      <c r="C8" s="3" t="s">
        <v>16</v>
      </c>
      <c r="D8" s="4" t="s">
        <v>17</v>
      </c>
      <c r="E8" s="4" t="s">
        <v>98</v>
      </c>
      <c r="F8" s="4" t="s">
        <v>99</v>
      </c>
      <c r="G8" s="4" t="s">
        <v>100</v>
      </c>
      <c r="H8" s="4" t="s">
        <v>101</v>
      </c>
      <c r="I8" s="4" t="s">
        <v>102</v>
      </c>
      <c r="J8" s="4" t="s">
        <v>103</v>
      </c>
      <c r="K8" s="2"/>
      <c r="L8" s="4" t="s">
        <v>104</v>
      </c>
      <c r="M8" s="5" t="s">
        <v>55</v>
      </c>
      <c r="N8" s="2"/>
      <c r="O8" s="6" t="s">
        <v>56</v>
      </c>
      <c r="P8" s="4" t="s">
        <v>88</v>
      </c>
    </row>
    <row r="9" spans="1:16" ht="60" customHeight="1" x14ac:dyDescent="0.25">
      <c r="A9" s="7" t="s">
        <v>105</v>
      </c>
      <c r="B9" s="7" t="s">
        <v>47</v>
      </c>
      <c r="C9" s="8" t="s">
        <v>18</v>
      </c>
      <c r="D9" s="9" t="s">
        <v>19</v>
      </c>
      <c r="E9" s="9" t="s">
        <v>106</v>
      </c>
      <c r="F9" s="9" t="s">
        <v>107</v>
      </c>
      <c r="G9" s="9" t="s">
        <v>83</v>
      </c>
      <c r="H9" s="9" t="s">
        <v>108</v>
      </c>
      <c r="I9" s="9" t="s">
        <v>109</v>
      </c>
      <c r="J9" s="9" t="s">
        <v>110</v>
      </c>
      <c r="K9" s="7"/>
      <c r="L9" s="9" t="s">
        <v>111</v>
      </c>
      <c r="M9" s="5" t="s">
        <v>55</v>
      </c>
      <c r="N9" s="7"/>
      <c r="O9" s="6" t="s">
        <v>56</v>
      </c>
      <c r="P9" s="9" t="s">
        <v>112</v>
      </c>
    </row>
    <row r="10" spans="1:16" ht="45" customHeight="1" x14ac:dyDescent="0.25">
      <c r="A10" s="2" t="s">
        <v>113</v>
      </c>
      <c r="B10" s="2" t="s">
        <v>47</v>
      </c>
      <c r="C10" s="3" t="s">
        <v>18</v>
      </c>
      <c r="D10" s="4" t="s">
        <v>19</v>
      </c>
      <c r="E10" s="4" t="s">
        <v>114</v>
      </c>
      <c r="F10" s="4" t="s">
        <v>115</v>
      </c>
      <c r="G10" s="4" t="s">
        <v>83</v>
      </c>
      <c r="H10" s="4" t="s">
        <v>116</v>
      </c>
      <c r="I10" s="4" t="s">
        <v>117</v>
      </c>
      <c r="J10" s="4" t="s">
        <v>118</v>
      </c>
      <c r="K10" s="2"/>
      <c r="L10" s="4" t="s">
        <v>119</v>
      </c>
      <c r="M10" s="5" t="s">
        <v>55</v>
      </c>
      <c r="N10" s="2"/>
      <c r="O10" s="6" t="s">
        <v>56</v>
      </c>
      <c r="P10" s="4" t="s">
        <v>120</v>
      </c>
    </row>
    <row r="11" spans="1:16" ht="60" customHeight="1" x14ac:dyDescent="0.25">
      <c r="A11" s="7" t="s">
        <v>121</v>
      </c>
      <c r="B11" s="7" t="s">
        <v>47</v>
      </c>
      <c r="C11" s="8" t="s">
        <v>18</v>
      </c>
      <c r="D11" s="9" t="s">
        <v>19</v>
      </c>
      <c r="E11" s="9" t="s">
        <v>122</v>
      </c>
      <c r="F11" s="9" t="s">
        <v>123</v>
      </c>
      <c r="G11" s="9" t="s">
        <v>124</v>
      </c>
      <c r="H11" s="9" t="s">
        <v>125</v>
      </c>
      <c r="I11" s="9" t="s">
        <v>126</v>
      </c>
      <c r="J11" s="9" t="s">
        <v>127</v>
      </c>
      <c r="K11" s="7"/>
      <c r="L11" s="9" t="s">
        <v>128</v>
      </c>
      <c r="M11" s="5" t="s">
        <v>55</v>
      </c>
      <c r="N11" s="7"/>
      <c r="O11" s="6" t="s">
        <v>56</v>
      </c>
      <c r="P11" s="9" t="s">
        <v>120</v>
      </c>
    </row>
    <row r="12" spans="1:16" ht="75" customHeight="1" x14ac:dyDescent="0.25">
      <c r="A12" s="2" t="s">
        <v>129</v>
      </c>
      <c r="B12" s="2" t="s">
        <v>47</v>
      </c>
      <c r="C12" s="3" t="s">
        <v>20</v>
      </c>
      <c r="D12" s="4" t="s">
        <v>21</v>
      </c>
      <c r="E12" s="4" t="s">
        <v>130</v>
      </c>
      <c r="F12" s="4" t="s">
        <v>131</v>
      </c>
      <c r="G12" s="4" t="s">
        <v>83</v>
      </c>
      <c r="H12" s="4" t="s">
        <v>132</v>
      </c>
      <c r="I12" s="4" t="s">
        <v>133</v>
      </c>
      <c r="J12" s="4" t="s">
        <v>134</v>
      </c>
      <c r="K12" s="2"/>
      <c r="L12" s="4" t="s">
        <v>135</v>
      </c>
      <c r="M12" s="5" t="s">
        <v>55</v>
      </c>
      <c r="N12" s="2"/>
      <c r="O12" s="6" t="s">
        <v>56</v>
      </c>
      <c r="P12" s="4" t="s">
        <v>136</v>
      </c>
    </row>
    <row r="13" spans="1:16" ht="60" customHeight="1" x14ac:dyDescent="0.25">
      <c r="A13" s="7" t="s">
        <v>137</v>
      </c>
      <c r="B13" s="7" t="s">
        <v>47</v>
      </c>
      <c r="C13" s="8" t="s">
        <v>20</v>
      </c>
      <c r="D13" s="9" t="s">
        <v>21</v>
      </c>
      <c r="E13" s="9" t="s">
        <v>138</v>
      </c>
      <c r="F13" s="9" t="s">
        <v>139</v>
      </c>
      <c r="G13" s="9" t="s">
        <v>140</v>
      </c>
      <c r="H13" s="9" t="s">
        <v>141</v>
      </c>
      <c r="I13" s="9" t="s">
        <v>142</v>
      </c>
      <c r="J13" s="9" t="s">
        <v>143</v>
      </c>
      <c r="K13" s="7"/>
      <c r="L13" s="9" t="s">
        <v>144</v>
      </c>
      <c r="M13" s="5" t="s">
        <v>55</v>
      </c>
      <c r="N13" s="7"/>
      <c r="O13" s="6" t="s">
        <v>56</v>
      </c>
      <c r="P13" s="9" t="s">
        <v>145</v>
      </c>
    </row>
    <row r="14" spans="1:16" ht="75" customHeight="1" x14ac:dyDescent="0.25">
      <c r="A14" s="2" t="s">
        <v>146</v>
      </c>
      <c r="B14" s="2" t="s">
        <v>47</v>
      </c>
      <c r="C14" s="3" t="s">
        <v>20</v>
      </c>
      <c r="D14" s="4" t="s">
        <v>21</v>
      </c>
      <c r="E14" s="4" t="s">
        <v>147</v>
      </c>
      <c r="F14" s="4" t="s">
        <v>148</v>
      </c>
      <c r="G14" s="4" t="s">
        <v>149</v>
      </c>
      <c r="H14" s="4" t="s">
        <v>150</v>
      </c>
      <c r="I14" s="4" t="s">
        <v>151</v>
      </c>
      <c r="J14" s="4" t="s">
        <v>152</v>
      </c>
      <c r="K14" s="2"/>
      <c r="L14" s="4" t="s">
        <v>153</v>
      </c>
      <c r="M14" s="5" t="s">
        <v>55</v>
      </c>
      <c r="N14" s="2"/>
      <c r="O14" s="6" t="s">
        <v>56</v>
      </c>
      <c r="P14" s="4" t="s">
        <v>145</v>
      </c>
    </row>
    <row r="15" spans="1:16" ht="60" customHeight="1" x14ac:dyDescent="0.25">
      <c r="A15" s="7" t="s">
        <v>154</v>
      </c>
      <c r="B15" s="7" t="s">
        <v>47</v>
      </c>
      <c r="C15" s="8" t="s">
        <v>22</v>
      </c>
      <c r="D15" s="9" t="s">
        <v>23</v>
      </c>
      <c r="E15" s="9" t="s">
        <v>155</v>
      </c>
      <c r="F15" s="9" t="s">
        <v>156</v>
      </c>
      <c r="G15" s="9" t="s">
        <v>157</v>
      </c>
      <c r="H15" s="9" t="s">
        <v>158</v>
      </c>
      <c r="I15" s="9" t="s">
        <v>159</v>
      </c>
      <c r="J15" s="9" t="s">
        <v>160</v>
      </c>
      <c r="K15" s="7"/>
      <c r="L15" s="9" t="s">
        <v>161</v>
      </c>
      <c r="M15" s="5" t="s">
        <v>55</v>
      </c>
      <c r="O15" s="6" t="s">
        <v>56</v>
      </c>
      <c r="P15" s="9" t="s">
        <v>162</v>
      </c>
    </row>
    <row r="16" spans="1:16" ht="60" customHeight="1" x14ac:dyDescent="0.25">
      <c r="A16" s="2" t="s">
        <v>163</v>
      </c>
      <c r="B16" s="2" t="s">
        <v>47</v>
      </c>
      <c r="C16" s="3" t="s">
        <v>22</v>
      </c>
      <c r="D16" s="4" t="s">
        <v>23</v>
      </c>
      <c r="E16" s="4" t="s">
        <v>164</v>
      </c>
      <c r="F16" s="4" t="s">
        <v>165</v>
      </c>
      <c r="G16" s="4" t="s">
        <v>166</v>
      </c>
      <c r="H16" s="4" t="s">
        <v>167</v>
      </c>
      <c r="I16" s="4" t="s">
        <v>168</v>
      </c>
      <c r="J16" s="4" t="s">
        <v>169</v>
      </c>
      <c r="K16" s="2"/>
      <c r="L16" s="4" t="s">
        <v>170</v>
      </c>
      <c r="M16" s="6" t="s">
        <v>171</v>
      </c>
      <c r="N16" s="2" t="e" vm="1">
        <v>#VALUE!</v>
      </c>
      <c r="O16" s="6" t="s">
        <v>56</v>
      </c>
      <c r="P16" s="4" t="s">
        <v>172</v>
      </c>
    </row>
    <row r="17" spans="1:16" ht="75" customHeight="1" x14ac:dyDescent="0.25">
      <c r="A17" s="7" t="s">
        <v>173</v>
      </c>
      <c r="B17" s="7" t="s">
        <v>47</v>
      </c>
      <c r="C17" s="8" t="s">
        <v>22</v>
      </c>
      <c r="D17" s="9" t="s">
        <v>23</v>
      </c>
      <c r="E17" s="9" t="s">
        <v>174</v>
      </c>
      <c r="F17" s="9" t="s">
        <v>175</v>
      </c>
      <c r="G17" s="9" t="s">
        <v>166</v>
      </c>
      <c r="H17" s="9" t="s">
        <v>176</v>
      </c>
      <c r="I17" s="9" t="s">
        <v>177</v>
      </c>
      <c r="J17" s="9" t="s">
        <v>178</v>
      </c>
      <c r="K17" s="7"/>
      <c r="L17" s="9" t="s">
        <v>179</v>
      </c>
      <c r="M17" s="6" t="s">
        <v>171</v>
      </c>
      <c r="N17" s="7" t="e" vm="1">
        <v>#VALUE!</v>
      </c>
      <c r="O17" s="6" t="s">
        <v>56</v>
      </c>
      <c r="P17" s="9" t="s">
        <v>172</v>
      </c>
    </row>
    <row r="18" spans="1:16" ht="45" customHeight="1" x14ac:dyDescent="0.25">
      <c r="A18" s="2" t="s">
        <v>180</v>
      </c>
      <c r="B18" s="2" t="s">
        <v>47</v>
      </c>
      <c r="C18" s="3" t="s">
        <v>22</v>
      </c>
      <c r="D18" s="4" t="s">
        <v>23</v>
      </c>
      <c r="E18" s="4" t="s">
        <v>181</v>
      </c>
      <c r="F18" s="4" t="s">
        <v>182</v>
      </c>
      <c r="G18" s="4" t="s">
        <v>166</v>
      </c>
      <c r="H18" s="4" t="s">
        <v>183</v>
      </c>
      <c r="I18" s="4" t="s">
        <v>184</v>
      </c>
      <c r="J18" s="4" t="s">
        <v>185</v>
      </c>
      <c r="K18" s="2"/>
      <c r="L18" s="4" t="s">
        <v>186</v>
      </c>
      <c r="M18" s="5" t="s">
        <v>55</v>
      </c>
      <c r="N18" s="2"/>
      <c r="O18" s="10" t="s">
        <v>187</v>
      </c>
      <c r="P18" s="4" t="s">
        <v>172</v>
      </c>
    </row>
    <row r="19" spans="1:16" ht="180" customHeight="1" x14ac:dyDescent="0.25">
      <c r="A19" s="7" t="s">
        <v>188</v>
      </c>
      <c r="B19" s="7" t="s">
        <v>47</v>
      </c>
      <c r="C19" s="8" t="s">
        <v>24</v>
      </c>
      <c r="D19" s="9" t="s">
        <v>25</v>
      </c>
      <c r="E19" s="9" t="s">
        <v>189</v>
      </c>
      <c r="F19" s="9" t="s">
        <v>190</v>
      </c>
      <c r="G19" s="9" t="s">
        <v>191</v>
      </c>
      <c r="H19" s="9" t="s">
        <v>192</v>
      </c>
      <c r="I19" s="9" t="s">
        <v>193</v>
      </c>
      <c r="J19" s="9" t="s">
        <v>194</v>
      </c>
      <c r="K19" s="7"/>
      <c r="L19" s="9" t="s">
        <v>195</v>
      </c>
      <c r="M19" s="5" t="s">
        <v>55</v>
      </c>
      <c r="N19" s="7"/>
      <c r="O19" s="6" t="s">
        <v>56</v>
      </c>
      <c r="P19" s="9" t="s">
        <v>196</v>
      </c>
    </row>
    <row r="20" spans="1:16" ht="60" customHeight="1" x14ac:dyDescent="0.25">
      <c r="A20" s="2" t="s">
        <v>197</v>
      </c>
      <c r="B20" s="2" t="s">
        <v>47</v>
      </c>
      <c r="C20" s="3" t="s">
        <v>24</v>
      </c>
      <c r="D20" s="4" t="s">
        <v>25</v>
      </c>
      <c r="E20" s="4" t="s">
        <v>198</v>
      </c>
      <c r="F20" s="4" t="s">
        <v>199</v>
      </c>
      <c r="G20" s="4" t="s">
        <v>166</v>
      </c>
      <c r="H20" s="4" t="s">
        <v>200</v>
      </c>
      <c r="I20" s="4" t="s">
        <v>201</v>
      </c>
      <c r="J20" s="4" t="s">
        <v>202</v>
      </c>
      <c r="K20" s="2"/>
      <c r="L20" s="4" t="s">
        <v>203</v>
      </c>
      <c r="M20" s="5" t="s">
        <v>55</v>
      </c>
      <c r="N20" s="2"/>
      <c r="O20" s="6" t="s">
        <v>56</v>
      </c>
      <c r="P20" s="4" t="s">
        <v>204</v>
      </c>
    </row>
    <row r="21" spans="1:16" ht="60" customHeight="1" x14ac:dyDescent="0.25">
      <c r="A21" s="7" t="s">
        <v>205</v>
      </c>
      <c r="B21" s="7" t="s">
        <v>47</v>
      </c>
      <c r="C21" s="8" t="s">
        <v>24</v>
      </c>
      <c r="D21" s="9" t="s">
        <v>25</v>
      </c>
      <c r="E21" s="9" t="s">
        <v>206</v>
      </c>
      <c r="F21" s="9" t="s">
        <v>207</v>
      </c>
      <c r="G21" s="9" t="s">
        <v>166</v>
      </c>
      <c r="H21" s="9" t="s">
        <v>208</v>
      </c>
      <c r="I21" s="9" t="s">
        <v>209</v>
      </c>
      <c r="J21" s="9" t="s">
        <v>210</v>
      </c>
      <c r="K21" s="7"/>
      <c r="L21" s="9" t="s">
        <v>211</v>
      </c>
      <c r="M21" s="5" t="s">
        <v>55</v>
      </c>
      <c r="N21" s="7"/>
      <c r="O21" s="6" t="s">
        <v>56</v>
      </c>
      <c r="P21" s="9" t="s">
        <v>204</v>
      </c>
    </row>
    <row r="22" spans="1:16" ht="60" customHeight="1" x14ac:dyDescent="0.25">
      <c r="A22" s="2" t="s">
        <v>212</v>
      </c>
      <c r="B22" s="2" t="s">
        <v>47</v>
      </c>
      <c r="C22" s="3" t="s">
        <v>24</v>
      </c>
      <c r="D22" s="4" t="s">
        <v>25</v>
      </c>
      <c r="E22" s="4" t="s">
        <v>213</v>
      </c>
      <c r="F22" s="4" t="s">
        <v>214</v>
      </c>
      <c r="G22" s="4" t="s">
        <v>166</v>
      </c>
      <c r="H22" s="4" t="s">
        <v>215</v>
      </c>
      <c r="I22" s="4" t="s">
        <v>216</v>
      </c>
      <c r="J22" s="4" t="s">
        <v>217</v>
      </c>
      <c r="K22" s="2"/>
      <c r="L22" s="4" t="s">
        <v>218</v>
      </c>
      <c r="M22" s="5" t="s">
        <v>55</v>
      </c>
      <c r="N22" s="2"/>
      <c r="O22" s="6" t="s">
        <v>56</v>
      </c>
      <c r="P22" s="4" t="s">
        <v>204</v>
      </c>
    </row>
    <row r="23" spans="1:16" ht="60" customHeight="1" x14ac:dyDescent="0.25">
      <c r="A23" s="7" t="s">
        <v>219</v>
      </c>
      <c r="B23" s="7" t="s">
        <v>47</v>
      </c>
      <c r="C23" s="8" t="s">
        <v>24</v>
      </c>
      <c r="D23" s="9" t="s">
        <v>25</v>
      </c>
      <c r="E23" s="9" t="s">
        <v>220</v>
      </c>
      <c r="F23" s="9" t="s">
        <v>221</v>
      </c>
      <c r="G23" s="9" t="s">
        <v>166</v>
      </c>
      <c r="H23" s="9" t="s">
        <v>222</v>
      </c>
      <c r="I23" s="9" t="s">
        <v>223</v>
      </c>
      <c r="J23" s="9" t="s">
        <v>224</v>
      </c>
      <c r="K23" s="7"/>
      <c r="L23" s="9" t="s">
        <v>225</v>
      </c>
      <c r="M23" s="5" t="s">
        <v>55</v>
      </c>
      <c r="N23" s="7"/>
      <c r="O23" s="6" t="s">
        <v>56</v>
      </c>
      <c r="P23" s="9" t="s">
        <v>204</v>
      </c>
    </row>
    <row r="24" spans="1:16" ht="60" customHeight="1" x14ac:dyDescent="0.25">
      <c r="A24" s="2" t="s">
        <v>226</v>
      </c>
      <c r="B24" s="2" t="s">
        <v>47</v>
      </c>
      <c r="C24" s="3" t="s">
        <v>24</v>
      </c>
      <c r="D24" s="4" t="s">
        <v>25</v>
      </c>
      <c r="E24" s="4" t="s">
        <v>227</v>
      </c>
      <c r="F24" s="4" t="s">
        <v>228</v>
      </c>
      <c r="G24" s="4" t="s">
        <v>166</v>
      </c>
      <c r="H24" s="4" t="s">
        <v>229</v>
      </c>
      <c r="I24" s="4" t="s">
        <v>230</v>
      </c>
      <c r="J24" s="4" t="s">
        <v>217</v>
      </c>
      <c r="K24" s="2"/>
      <c r="L24" s="4" t="s">
        <v>218</v>
      </c>
      <c r="M24" s="5" t="s">
        <v>55</v>
      </c>
      <c r="N24" s="2"/>
      <c r="O24" s="6" t="s">
        <v>56</v>
      </c>
      <c r="P24" s="4" t="s">
        <v>204</v>
      </c>
    </row>
    <row r="25" spans="1:16" ht="60" customHeight="1" x14ac:dyDescent="0.25">
      <c r="A25" s="7" t="s">
        <v>231</v>
      </c>
      <c r="B25" s="7" t="s">
        <v>47</v>
      </c>
      <c r="C25" s="8" t="s">
        <v>24</v>
      </c>
      <c r="D25" s="9" t="s">
        <v>25</v>
      </c>
      <c r="E25" s="9" t="s">
        <v>232</v>
      </c>
      <c r="F25" s="9" t="s">
        <v>233</v>
      </c>
      <c r="G25" s="9" t="s">
        <v>166</v>
      </c>
      <c r="H25" s="9" t="s">
        <v>234</v>
      </c>
      <c r="I25" s="9" t="s">
        <v>235</v>
      </c>
      <c r="J25" s="9" t="s">
        <v>236</v>
      </c>
      <c r="K25" s="7"/>
      <c r="L25" s="9" t="s">
        <v>237</v>
      </c>
      <c r="M25" s="5" t="s">
        <v>55</v>
      </c>
      <c r="N25" s="7"/>
      <c r="O25" s="6" t="s">
        <v>56</v>
      </c>
      <c r="P25" s="9" t="s">
        <v>204</v>
      </c>
    </row>
    <row r="26" spans="1:16" ht="60" customHeight="1" x14ac:dyDescent="0.25">
      <c r="A26" s="2" t="s">
        <v>238</v>
      </c>
      <c r="B26" s="2" t="s">
        <v>47</v>
      </c>
      <c r="C26" s="3" t="s">
        <v>24</v>
      </c>
      <c r="D26" s="4" t="s">
        <v>25</v>
      </c>
      <c r="E26" s="4" t="s">
        <v>239</v>
      </c>
      <c r="F26" s="4" t="s">
        <v>240</v>
      </c>
      <c r="G26" s="4" t="s">
        <v>166</v>
      </c>
      <c r="H26" s="4" t="s">
        <v>241</v>
      </c>
      <c r="I26" s="4" t="s">
        <v>242</v>
      </c>
      <c r="J26" s="4" t="s">
        <v>243</v>
      </c>
      <c r="K26" s="2"/>
      <c r="L26" s="4" t="s">
        <v>244</v>
      </c>
      <c r="M26" s="5" t="s">
        <v>55</v>
      </c>
      <c r="N26" s="2"/>
      <c r="O26" s="6" t="s">
        <v>56</v>
      </c>
      <c r="P26" s="4" t="s">
        <v>204</v>
      </c>
    </row>
    <row r="27" spans="1:16" ht="60" customHeight="1" x14ac:dyDescent="0.25">
      <c r="A27" s="7" t="s">
        <v>245</v>
      </c>
      <c r="B27" s="7" t="s">
        <v>47</v>
      </c>
      <c r="C27" s="8" t="s">
        <v>24</v>
      </c>
      <c r="D27" s="9" t="s">
        <v>25</v>
      </c>
      <c r="E27" s="9" t="s">
        <v>246</v>
      </c>
      <c r="F27" s="9" t="s">
        <v>247</v>
      </c>
      <c r="G27" s="9" t="s">
        <v>248</v>
      </c>
      <c r="H27" s="9" t="s">
        <v>249</v>
      </c>
      <c r="I27" s="9" t="s">
        <v>250</v>
      </c>
      <c r="J27" s="9" t="s">
        <v>251</v>
      </c>
      <c r="K27" s="7"/>
      <c r="L27" s="9" t="s">
        <v>252</v>
      </c>
      <c r="M27" s="5" t="s">
        <v>55</v>
      </c>
      <c r="N27" s="7"/>
      <c r="O27" s="10" t="s">
        <v>187</v>
      </c>
      <c r="P27" s="9" t="s">
        <v>253</v>
      </c>
    </row>
    <row r="28" spans="1:16" ht="75" customHeight="1" x14ac:dyDescent="0.25">
      <c r="A28" s="2" t="s">
        <v>254</v>
      </c>
      <c r="B28" s="2" t="s">
        <v>47</v>
      </c>
      <c r="C28" s="3" t="s">
        <v>26</v>
      </c>
      <c r="D28" s="4" t="s">
        <v>27</v>
      </c>
      <c r="E28" s="4" t="s">
        <v>255</v>
      </c>
      <c r="F28" s="4" t="s">
        <v>256</v>
      </c>
      <c r="G28" s="4" t="s">
        <v>257</v>
      </c>
      <c r="H28" s="4" t="s">
        <v>258</v>
      </c>
      <c r="I28" s="4" t="s">
        <v>259</v>
      </c>
      <c r="J28" s="4" t="s">
        <v>260</v>
      </c>
      <c r="K28" s="2"/>
      <c r="L28" s="4" t="s">
        <v>261</v>
      </c>
      <c r="M28" s="5" t="s">
        <v>55</v>
      </c>
      <c r="N28" s="2"/>
      <c r="O28" s="6" t="s">
        <v>56</v>
      </c>
      <c r="P28" s="4" t="s">
        <v>262</v>
      </c>
    </row>
    <row r="29" spans="1:16" ht="60" customHeight="1" x14ac:dyDescent="0.25">
      <c r="A29" s="7" t="s">
        <v>263</v>
      </c>
      <c r="B29" s="7" t="s">
        <v>47</v>
      </c>
      <c r="C29" s="8" t="s">
        <v>28</v>
      </c>
      <c r="D29" s="9" t="s">
        <v>29</v>
      </c>
      <c r="E29" s="9" t="s">
        <v>264</v>
      </c>
      <c r="F29" s="9" t="s">
        <v>265</v>
      </c>
      <c r="G29" s="9" t="s">
        <v>266</v>
      </c>
      <c r="H29" s="9" t="s">
        <v>267</v>
      </c>
      <c r="I29" s="9" t="s">
        <v>268</v>
      </c>
      <c r="J29" s="9" t="s">
        <v>269</v>
      </c>
      <c r="K29" s="7"/>
      <c r="L29" s="9" t="s">
        <v>270</v>
      </c>
      <c r="M29" s="5" t="s">
        <v>55</v>
      </c>
      <c r="N29" s="7"/>
      <c r="O29" s="6" t="s">
        <v>56</v>
      </c>
      <c r="P29" s="9" t="s">
        <v>271</v>
      </c>
    </row>
    <row r="30" spans="1:16" ht="75" customHeight="1" x14ac:dyDescent="0.25">
      <c r="A30" s="2" t="s">
        <v>272</v>
      </c>
      <c r="B30" s="2" t="s">
        <v>47</v>
      </c>
      <c r="C30" s="3" t="s">
        <v>28</v>
      </c>
      <c r="D30" s="4" t="s">
        <v>29</v>
      </c>
      <c r="E30" s="4" t="s">
        <v>273</v>
      </c>
      <c r="F30" s="4" t="s">
        <v>274</v>
      </c>
      <c r="G30" s="4" t="s">
        <v>275</v>
      </c>
      <c r="H30" s="4" t="s">
        <v>276</v>
      </c>
      <c r="I30" s="4" t="s">
        <v>277</v>
      </c>
      <c r="J30" s="4" t="s">
        <v>278</v>
      </c>
      <c r="K30" s="2"/>
      <c r="L30" s="4" t="s">
        <v>279</v>
      </c>
      <c r="M30" s="5" t="s">
        <v>55</v>
      </c>
      <c r="N30" s="2"/>
      <c r="O30" s="10" t="s">
        <v>187</v>
      </c>
      <c r="P30" s="4" t="s">
        <v>280</v>
      </c>
    </row>
    <row r="31" spans="1:16" ht="75" customHeight="1" x14ac:dyDescent="0.25">
      <c r="A31" s="7" t="s">
        <v>281</v>
      </c>
      <c r="B31" s="7" t="s">
        <v>47</v>
      </c>
      <c r="C31" s="8" t="s">
        <v>30</v>
      </c>
      <c r="D31" s="9" t="s">
        <v>31</v>
      </c>
      <c r="E31" s="9" t="s">
        <v>282</v>
      </c>
      <c r="F31" s="9" t="s">
        <v>283</v>
      </c>
      <c r="G31" s="9" t="s">
        <v>284</v>
      </c>
      <c r="H31" s="9" t="s">
        <v>76</v>
      </c>
      <c r="I31" s="9" t="s">
        <v>285</v>
      </c>
      <c r="J31" s="9" t="s">
        <v>286</v>
      </c>
      <c r="K31" s="7"/>
      <c r="L31" s="9" t="s">
        <v>287</v>
      </c>
      <c r="M31" s="5" t="s">
        <v>55</v>
      </c>
      <c r="N31" s="7"/>
      <c r="O31" s="6" t="s">
        <v>56</v>
      </c>
      <c r="P31" s="9" t="s">
        <v>288</v>
      </c>
    </row>
    <row r="32" spans="1:16" ht="60" customHeight="1" x14ac:dyDescent="0.25">
      <c r="A32" s="2" t="s">
        <v>289</v>
      </c>
      <c r="B32" s="2" t="s">
        <v>47</v>
      </c>
      <c r="C32" s="3" t="s">
        <v>30</v>
      </c>
      <c r="D32" s="4" t="s">
        <v>31</v>
      </c>
      <c r="E32" s="4" t="s">
        <v>290</v>
      </c>
      <c r="F32" s="4" t="s">
        <v>291</v>
      </c>
      <c r="G32" s="4" t="s">
        <v>292</v>
      </c>
      <c r="H32" s="4" t="s">
        <v>76</v>
      </c>
      <c r="I32" s="4" t="s">
        <v>293</v>
      </c>
      <c r="J32" s="4" t="s">
        <v>294</v>
      </c>
      <c r="K32" s="2"/>
      <c r="L32" s="4" t="s">
        <v>295</v>
      </c>
      <c r="M32" s="5" t="s">
        <v>55</v>
      </c>
      <c r="N32" s="2"/>
      <c r="O32" s="6" t="s">
        <v>56</v>
      </c>
      <c r="P32" s="4" t="s">
        <v>288</v>
      </c>
    </row>
  </sheetData>
  <autoFilter ref="A1:P32" xr:uid="{00000000-0009-0000-0000-000001000000}"/>
  <dataValidations count="2">
    <dataValidation type="list" allowBlank="1" errorTitle="Invalid Status" error="Please select a valid state: Passed, Failed, or Not Run" sqref="M2:M132" xr:uid="{00000000-0002-0000-0100-000000000000}">
      <formula1>"Passed,Failed,Not Run"</formula1>
    </dataValidation>
    <dataValidation type="list" allowBlank="1" errorTitle="Invalid Priority" error="Please select a valid priority: High, Medium, or Low" sqref="O2:O132" xr:uid="{00000000-0002-0000-0100-000001000000}">
      <formula1>"High,Medium,Low"</formula1>
    </dataValidation>
  </dataValidations>
  <pageMargins left="0.75" right="0.75" top="1" bottom="1" header="0.5" footer="0.5"/>
  <legacy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Report</vt:lpstr>
      <vt:lpstr>Module06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Hoang Doan</cp:lastModifiedBy>
  <dcterms:created xsi:type="dcterms:W3CDTF">2026-07-24T04:11:16Z</dcterms:created>
  <dcterms:modified xsi:type="dcterms:W3CDTF">2026-07-24T06:58:45Z</dcterms:modified>
</cp:coreProperties>
</file>