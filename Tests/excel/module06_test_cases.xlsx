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Module06" sheetId="2" state="visible" r:id="rId2"/>
  </sheets>
  <definedNames>
    <definedName name="_xlnm._FilterDatabase" localSheetId="1" hidden="1">'Module06'!$A$1:$N$32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Segoe UI"/>
      <b val="1"/>
      <color rgb="00FFFFFF"/>
      <sz val="11"/>
    </font>
    <font>
      <name val="Segoe UI"/>
      <color rgb="00000000"/>
      <sz val="10"/>
    </font>
    <font>
      <name val="Segoe UI"/>
      <b val="1"/>
      <color rgb="001F4E78"/>
      <sz val="10"/>
    </font>
    <font>
      <name val="Segoe UI"/>
      <b val="1"/>
      <color rgb="0064748B"/>
      <sz val="10"/>
    </font>
    <font>
      <name val="Segoe UI"/>
      <b val="1"/>
      <color rgb="00A50E0E"/>
      <sz val="10"/>
    </font>
    <font>
      <name val="Segoe UI"/>
      <b val="1"/>
      <color rgb="00B06000"/>
      <sz val="10"/>
    </font>
    <font>
      <name val="Segoe UI"/>
      <b val="1"/>
      <color rgb="001F4E78"/>
      <sz val="16"/>
    </font>
    <font>
      <name val="Segoe UI"/>
      <i val="1"/>
      <color rgb="00555555"/>
      <sz val="10"/>
    </font>
    <font>
      <name val="Segoe UI"/>
      <b val="1"/>
      <color rgb="00137333"/>
      <sz val="10"/>
    </font>
    <font>
      <name val="Segoe UI"/>
      <b val="1"/>
      <color rgb="00000000"/>
      <sz val="10"/>
    </font>
    <font>
      <name val="Segoe UI"/>
      <b val="1"/>
      <color rgb="0064748B"/>
      <sz val="9"/>
    </font>
    <font>
      <name val="Segoe UI"/>
      <b val="1"/>
      <color rgb="001E293B"/>
      <sz val="18"/>
    </font>
    <font>
      <name val="Segoe UI"/>
      <b val="1"/>
      <color rgb="001F4E78"/>
      <sz val="18"/>
    </font>
    <font>
      <name val="Segoe UI"/>
      <b val="1"/>
      <color rgb="00A50E0E"/>
      <sz val="18"/>
    </font>
    <font>
      <name val="Segoe UI"/>
      <b val="1"/>
      <color rgb="00B06000"/>
      <sz val="18"/>
    </font>
    <font>
      <name val="Segoe UI"/>
      <b val="1"/>
      <color rgb="00137333"/>
      <sz val="18"/>
    </font>
    <font>
      <name val="Segoe UI"/>
      <b val="1"/>
      <color rgb="001F4E78"/>
      <sz val="12"/>
    </font>
  </fonts>
  <fills count="9">
    <fill>
      <patternFill/>
    </fill>
    <fill>
      <patternFill patternType="gray125"/>
    </fill>
    <fill>
      <patternFill patternType="solid">
        <fgColor rgb="001F4E78"/>
        <bgColor rgb="001F4E78"/>
      </patternFill>
    </fill>
    <fill>
      <patternFill patternType="solid">
        <fgColor rgb="00F1F5F9"/>
        <bgColor rgb="00F1F5F9"/>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E2E8F0"/>
        <bgColor rgb="00E2E8F0"/>
      </patternFill>
    </fill>
    <fill>
      <patternFill patternType="solid">
        <fgColor rgb="00E6F4EA"/>
        <bgColor rgb="00E6F4E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1E293B"/>
      </top>
      <bottom style="double">
        <color rgb="001E293B"/>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center" vertical="top" wrapText="1"/>
    </xf>
    <xf numFmtId="0" fontId="2" fillId="5" borderId="1" applyAlignment="1" pivotButton="0" quotePrefix="0" xfId="0">
      <alignment horizontal="left" vertical="top" wrapText="1"/>
    </xf>
    <xf numFmtId="0" fontId="6" fillId="6" borderId="1" applyAlignment="1" pivotButton="0" quotePrefix="0" xfId="0">
      <alignment horizontal="center" vertical="top" wrapText="1"/>
    </xf>
    <xf numFmtId="0" fontId="7" fillId="0" borderId="0" pivotButton="0" quotePrefix="0" xfId="0"/>
    <xf numFmtId="0" fontId="8" fillId="0" borderId="0" pivotButton="0" quotePrefix="0" xfId="0"/>
    <xf numFmtId="0" fontId="11" fillId="0" borderId="0" applyAlignment="1" pivotButton="0" quotePrefix="0" xfId="0">
      <alignment horizontal="center" vertical="center"/>
    </xf>
    <xf numFmtId="0" fontId="12" fillId="3" borderId="1" applyAlignment="1" pivotButton="0" quotePrefix="0" xfId="0">
      <alignment horizontal="center" vertical="center"/>
    </xf>
    <xf numFmtId="0" fontId="13" fillId="7" borderId="1" applyAlignment="1" pivotButton="0" quotePrefix="0" xfId="0">
      <alignment horizontal="center" vertical="center"/>
    </xf>
    <xf numFmtId="0" fontId="14" fillId="4" borderId="1" applyAlignment="1" pivotButton="0" quotePrefix="0" xfId="0">
      <alignment horizontal="center" vertical="center"/>
    </xf>
    <xf numFmtId="0" fontId="15" fillId="6" borderId="1" applyAlignment="1" pivotButton="0" quotePrefix="0" xfId="0">
      <alignment horizontal="center" vertical="center"/>
    </xf>
    <xf numFmtId="0" fontId="16" fillId="8" borderId="1" applyAlignment="1" pivotButton="0" quotePrefix="0" xfId="0">
      <alignment horizontal="center" vertical="center"/>
    </xf>
    <xf numFmtId="0" fontId="17"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3" fillId="5" borderId="1" applyAlignment="1" pivotButton="0" quotePrefix="0" xfId="0">
      <alignment horizontal="center" vertical="center"/>
    </xf>
    <xf numFmtId="0" fontId="2"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9" fillId="5" borderId="1" applyAlignment="1" pivotButton="0" quotePrefix="0" xfId="0">
      <alignment horizontal="center" vertical="center"/>
    </xf>
    <xf numFmtId="0" fontId="2" fillId="5"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2" fillId="0" borderId="1" applyAlignment="1" pivotButton="0" quotePrefix="0" xfId="0">
      <alignment horizontal="center" vertical="center"/>
    </xf>
    <xf numFmtId="0" fontId="10" fillId="7" borderId="2" applyAlignment="1" pivotButton="0" quotePrefix="0" xfId="0">
      <alignment horizontal="center" vertical="center"/>
    </xf>
    <xf numFmtId="0" fontId="10" fillId="7"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Test Cases by Feature (Grouped by Priority)</a:t>
            </a:r>
          </a:p>
        </rich>
      </tx>
    </title>
    <plotArea>
      <barChart>
        <barDir val="col"/>
        <grouping val="clustered"/>
        <ser>
          <idx val="0"/>
          <order val="0"/>
          <tx>
            <strRef>
              <f>'Report'!C8</f>
            </strRef>
          </tx>
          <spPr>
            <a:solidFill xmlns:a="http://schemas.openxmlformats.org/drawingml/2006/main">
              <a:srgbClr val="FF0000"/>
            </a:solidFill>
            <a:ln xmlns:a="http://schemas.openxmlformats.org/drawingml/2006/main">
              <a:prstDash val="solid"/>
            </a:ln>
          </spPr>
          <cat>
            <numRef>
              <f>'Report'!$A$9:$A$17</f>
            </numRef>
          </cat>
          <val>
            <numRef>
              <f>'Report'!$C$9:$C$17</f>
            </numRef>
          </val>
        </ser>
        <ser>
          <idx val="1"/>
          <order val="1"/>
          <tx>
            <strRef>
              <f>'Report'!D8</f>
            </strRef>
          </tx>
          <spPr>
            <a:solidFill xmlns:a="http://schemas.openxmlformats.org/drawingml/2006/main">
              <a:srgbClr val="FFFF00"/>
            </a:solidFill>
            <a:ln xmlns:a="http://schemas.openxmlformats.org/drawingml/2006/main">
              <a:prstDash val="solid"/>
            </a:ln>
          </spPr>
          <cat>
            <numRef>
              <f>'Report'!$A$9:$A$17</f>
            </numRef>
          </cat>
          <val>
            <numRef>
              <f>'Report'!$D$9:$D$17</f>
            </numRef>
          </val>
        </ser>
        <ser>
          <idx val="2"/>
          <order val="2"/>
          <tx>
            <strRef>
              <f>'Report'!E8</f>
            </strRef>
          </tx>
          <spPr>
            <a:solidFill xmlns:a="http://schemas.openxmlformats.org/drawingml/2006/main">
              <a:srgbClr val="00FF00"/>
            </a:solidFill>
            <a:ln xmlns:a="http://schemas.openxmlformats.org/drawingml/2006/main">
              <a:prstDash val="solid"/>
            </a:ln>
          </spPr>
          <cat>
            <numRef>
              <f>'Report'!$A$9:$A$17</f>
            </numRef>
          </cat>
          <val>
            <numRef>
              <f>'Report'!$E$9:$E$17</f>
            </numRef>
          </val>
        </ser>
        <gapWidth val="150"/>
        <overlap val="-20"/>
        <axId val="10"/>
        <axId val="100"/>
      </barChart>
      <catAx>
        <axId val="10"/>
        <scaling>
          <orientation val="minMax"/>
        </scaling>
        <axPos val="l"/>
        <title>
          <tx>
            <rich>
              <a:bodyPr xmlns:a="http://schemas.openxmlformats.org/drawingml/2006/main"/>
              <a:p xmlns:a="http://schemas.openxmlformats.org/drawingml/2006/main">
                <a:pPr>
                  <a:defRPr/>
                </a:pPr>
                <a:r>
                  <a:t>Feature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Test 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16" customWidth="1" min="1" max="1"/>
    <col width="32" customWidth="1" min="2" max="2"/>
    <col width="16" customWidth="1" min="3" max="3"/>
    <col width="16" customWidth="1" min="4" max="4"/>
    <col width="16" customWidth="1" min="5" max="5"/>
    <col width="16" customWidth="1" min="6" max="6"/>
  </cols>
  <sheetData>
    <row r="1">
      <c r="A1" s="11" t="inlineStr">
        <is>
          <t>Module 06 - Feature &amp; Priority Summary Report</t>
        </is>
      </c>
    </row>
    <row r="2">
      <c r="A2" s="12" t="inlineStr">
        <is>
          <t>Summary of test cases per feature, calculated via Excel formulas</t>
        </is>
      </c>
    </row>
    <row r="4" ht="18" customHeight="1">
      <c r="A4" s="13" t="inlineStr">
        <is>
          <t>Total Features</t>
        </is>
      </c>
      <c r="B4" s="13" t="inlineStr">
        <is>
          <t>Total Test Cases</t>
        </is>
      </c>
      <c r="C4" s="13" t="inlineStr">
        <is>
          <t>High Priority Features</t>
        </is>
      </c>
      <c r="D4" s="13" t="inlineStr">
        <is>
          <t>Medium Priority Features</t>
        </is>
      </c>
      <c r="E4" s="13" t="inlineStr">
        <is>
          <t>Low Priority Features</t>
        </is>
      </c>
    </row>
    <row r="5" ht="32" customHeight="1">
      <c r="A5" s="14">
        <f>COUNTA(A9:A17)</f>
        <v/>
      </c>
      <c r="B5" s="15">
        <f>F18</f>
        <v/>
      </c>
      <c r="C5" s="16">
        <f>COUNTIF(C9:C17, "&gt;0")</f>
        <v/>
      </c>
      <c r="D5" s="17">
        <f>COUNTIFS(C9:C17, 0, D9:D17, "&gt;0")</f>
        <v/>
      </c>
      <c r="E5" s="18">
        <f>COUNTIFS(C9:C17, 0, D9:D17, 0, E9:E17, "&gt;0")</f>
        <v/>
      </c>
    </row>
    <row r="7">
      <c r="A7" s="19" t="inlineStr">
        <is>
          <t>Feature Categorization &amp; Priority Breakdown</t>
        </is>
      </c>
    </row>
    <row r="8" ht="26" customHeight="1">
      <c r="A8" s="20" t="inlineStr">
        <is>
          <t>Feature ID</t>
        </is>
      </c>
      <c r="B8" s="21" t="inlineStr">
        <is>
          <t>Feature Name</t>
        </is>
      </c>
      <c r="C8" s="20" t="inlineStr">
        <is>
          <t>High Priority</t>
        </is>
      </c>
      <c r="D8" s="20" t="inlineStr">
        <is>
          <t>Medium Priority</t>
        </is>
      </c>
      <c r="E8" s="20" t="inlineStr">
        <is>
          <t>Low Priority</t>
        </is>
      </c>
      <c r="F8" s="20" t="inlineStr">
        <is>
          <t>Total TCs</t>
        </is>
      </c>
    </row>
    <row r="9" ht="22" customHeight="1">
      <c r="A9" s="22" t="inlineStr">
        <is>
          <t>M06-F01</t>
        </is>
      </c>
      <c r="B9" s="23" t="inlineStr">
        <is>
          <t>Report Creation</t>
        </is>
      </c>
      <c r="C9" s="24">
        <f>COUNTIFS('Module06'!$C$2:$C$32, A9, 'Module06'!$M$2:$M$32, "High")</f>
        <v/>
      </c>
      <c r="D9" s="25">
        <f>COUNTIFS('Module06'!$C$2:$C$32, A9, 'Module06'!$M$2:$M$32, "Medium")</f>
        <v/>
      </c>
      <c r="E9" s="26">
        <f>COUNTIFS('Module06'!$C$2:$C$32, A9, 'Module06'!$M$2:$M$32, "Low")</f>
        <v/>
      </c>
      <c r="F9" s="27">
        <f>SUM(C9:E9)</f>
        <v/>
      </c>
    </row>
    <row r="10" ht="22" customHeight="1">
      <c r="A10" s="28" t="inlineStr">
        <is>
          <t>M06-F03</t>
        </is>
      </c>
      <c r="B10" s="29" t="inlineStr">
        <is>
          <t>Submission Validation</t>
        </is>
      </c>
      <c r="C10" s="30">
        <f>COUNTIFS('Module06'!$C$2:$C$32, A10, 'Module06'!$M$2:$M$32, "High")</f>
        <v/>
      </c>
      <c r="D10" s="31">
        <f>COUNTIFS('Module06'!$C$2:$C$32, A10, 'Module06'!$M$2:$M$32, "Medium")</f>
        <v/>
      </c>
      <c r="E10" s="32">
        <f>COUNTIFS('Module06'!$C$2:$C$32, A10, 'Module06'!$M$2:$M$32, "Low")</f>
        <v/>
      </c>
      <c r="F10" s="33">
        <f>SUM(C10:E10)</f>
        <v/>
      </c>
    </row>
    <row r="11" ht="22" customHeight="1">
      <c r="A11" s="22" t="inlineStr">
        <is>
          <t>M06-F02</t>
        </is>
      </c>
      <c r="B11" s="23" t="inlineStr">
        <is>
          <t>Draft Saving</t>
        </is>
      </c>
      <c r="C11" s="24">
        <f>COUNTIFS('Module06'!$C$2:$C$32, A11, 'Module06'!$M$2:$M$32, "High")</f>
        <v/>
      </c>
      <c r="D11" s="25">
        <f>COUNTIFS('Module06'!$C$2:$C$32, A11, 'Module06'!$M$2:$M$32, "Medium")</f>
        <v/>
      </c>
      <c r="E11" s="26">
        <f>COUNTIFS('Module06'!$C$2:$C$32, A11, 'Module06'!$M$2:$M$32, "Low")</f>
        <v/>
      </c>
      <c r="F11" s="27">
        <f>SUM(C11:E11)</f>
        <v/>
      </c>
    </row>
    <row r="12" ht="22" customHeight="1">
      <c r="A12" s="28" t="inlineStr">
        <is>
          <t>M06-F04</t>
        </is>
      </c>
      <c r="B12" s="29" t="inlineStr">
        <is>
          <t>Auto-calculated End Date</t>
        </is>
      </c>
      <c r="C12" s="30">
        <f>COUNTIFS('Module06'!$C$2:$C$32, A12, 'Module06'!$M$2:$M$32, "High")</f>
        <v/>
      </c>
      <c r="D12" s="31">
        <f>COUNTIFS('Module06'!$C$2:$C$32, A12, 'Module06'!$M$2:$M$32, "Medium")</f>
        <v/>
      </c>
      <c r="E12" s="32">
        <f>COUNTIFS('Module06'!$C$2:$C$32, A12, 'Module06'!$M$2:$M$32, "Low")</f>
        <v/>
      </c>
      <c r="F12" s="33">
        <f>SUM(C12:E12)</f>
        <v/>
      </c>
    </row>
    <row r="13" ht="22" customHeight="1">
      <c r="A13" s="22" t="inlineStr">
        <is>
          <t>M06-F05</t>
        </is>
      </c>
      <c r="B13" s="23" t="inlineStr">
        <is>
          <t>Dynamic Task Table</t>
        </is>
      </c>
      <c r="C13" s="24">
        <f>COUNTIFS('Module06'!$C$2:$C$32, A13, 'Module06'!$M$2:$M$32, "High")</f>
        <v/>
      </c>
      <c r="D13" s="25">
        <f>COUNTIFS('Module06'!$C$2:$C$32, A13, 'Module06'!$M$2:$M$32, "Medium")</f>
        <v/>
      </c>
      <c r="E13" s="26">
        <f>COUNTIFS('Module06'!$C$2:$C$32, A13, 'Module06'!$M$2:$M$32, "Low")</f>
        <v/>
      </c>
      <c r="F13" s="27">
        <f>SUM(C13:E13)</f>
        <v/>
      </c>
    </row>
    <row r="14" ht="22" customHeight="1">
      <c r="A14" s="28" t="inlineStr">
        <is>
          <t>M06-F06</t>
        </is>
      </c>
      <c r="B14" s="29" t="inlineStr">
        <is>
          <t>Auto-calculated Total Hours</t>
        </is>
      </c>
      <c r="C14" s="30">
        <f>COUNTIFS('Module06'!$C$2:$C$32, A14, 'Module06'!$M$2:$M$32, "High")</f>
        <v/>
      </c>
      <c r="D14" s="31">
        <f>COUNTIFS('Module06'!$C$2:$C$32, A14, 'Module06'!$M$2:$M$32, "Medium")</f>
        <v/>
      </c>
      <c r="E14" s="32">
        <f>COUNTIFS('Module06'!$C$2:$C$32, A14, 'Module06'!$M$2:$M$32, "Low")</f>
        <v/>
      </c>
      <c r="F14" s="33">
        <f>SUM(C14:E14)</f>
        <v/>
      </c>
    </row>
    <row r="15" ht="22" customHeight="1">
      <c r="A15" s="22" t="inlineStr">
        <is>
          <t>M06-F07</t>
        </is>
      </c>
      <c r="B15" s="23" t="inlineStr">
        <is>
          <t>Report Submission</t>
        </is>
      </c>
      <c r="C15" s="24">
        <f>COUNTIFS('Module06'!$C$2:$C$32, A15, 'Module06'!$M$2:$M$32, "High")</f>
        <v/>
      </c>
      <c r="D15" s="25">
        <f>COUNTIFS('Module06'!$C$2:$C$32, A15, 'Module06'!$M$2:$M$32, "Medium")</f>
        <v/>
      </c>
      <c r="E15" s="26">
        <f>COUNTIFS('Module06'!$C$2:$C$32, A15, 'Module06'!$M$2:$M$32, "Low")</f>
        <v/>
      </c>
      <c r="F15" s="27">
        <f>SUM(C15:E15)</f>
        <v/>
      </c>
    </row>
    <row r="16" ht="22" customHeight="1">
      <c r="A16" s="28" t="inlineStr">
        <is>
          <t>M06-F08</t>
        </is>
      </c>
      <c r="B16" s="29" t="inlineStr">
        <is>
          <t>Automatic Email Notification</t>
        </is>
      </c>
      <c r="C16" s="30">
        <f>COUNTIFS('Module06'!$C$2:$C$32, A16, 'Module06'!$M$2:$M$32, "High")</f>
        <v/>
      </c>
      <c r="D16" s="31">
        <f>COUNTIFS('Module06'!$C$2:$C$32, A16, 'Module06'!$M$2:$M$32, "Medium")</f>
        <v/>
      </c>
      <c r="E16" s="32">
        <f>COUNTIFS('Module06'!$C$2:$C$32, A16, 'Module06'!$M$2:$M$32, "Low")</f>
        <v/>
      </c>
      <c r="F16" s="33">
        <f>SUM(C16:E16)</f>
        <v/>
      </c>
    </row>
    <row r="17" ht="22" customHeight="1">
      <c r="A17" s="22" t="inlineStr">
        <is>
          <t>M06-F09</t>
        </is>
      </c>
      <c r="B17" s="23" t="inlineStr">
        <is>
          <t>Staff View of Student Reports</t>
        </is>
      </c>
      <c r="C17" s="24">
        <f>COUNTIFS('Module06'!$C$2:$C$32, A17, 'Module06'!$M$2:$M$32, "High")</f>
        <v/>
      </c>
      <c r="D17" s="25">
        <f>COUNTIFS('Module06'!$C$2:$C$32, A17, 'Module06'!$M$2:$M$32, "Medium")</f>
        <v/>
      </c>
      <c r="E17" s="26">
        <f>COUNTIFS('Module06'!$C$2:$C$32, A17, 'Module06'!$M$2:$M$32, "Low")</f>
        <v/>
      </c>
      <c r="F17" s="27">
        <f>SUM(C17:E17)</f>
        <v/>
      </c>
    </row>
    <row r="18" ht="24" customHeight="1">
      <c r="A18" s="34" t="inlineStr">
        <is>
          <t>Total</t>
        </is>
      </c>
      <c r="B18" s="35">
        <f>COUNTA(A9:A17)&amp;" Features"</f>
        <v/>
      </c>
      <c r="C18" s="34">
        <f>SUM(C9:C17)</f>
        <v/>
      </c>
      <c r="D18" s="34">
        <f>SUM(D9:D17)</f>
        <v/>
      </c>
      <c r="E18" s="34">
        <f>SUM(E9:E17)</f>
        <v/>
      </c>
      <c r="F18" s="34">
        <f>SUM(F9:F17)</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14" customWidth="1" min="13" max="13"/>
    <col width="32" customWidth="1" min="14" max="14"/>
  </cols>
  <sheetData>
    <row r="1" ht="28" customHeight="1">
      <c r="A1" s="1" t="inlineStr">
        <is>
          <t>ID</t>
        </is>
      </c>
      <c r="B1" s="1" t="inlineStr">
        <is>
          <t>Module</t>
        </is>
      </c>
      <c r="C1" s="1" t="inlineStr">
        <is>
          <t>Feature ID</t>
        </is>
      </c>
      <c r="D1" s="1" t="inlineStr">
        <is>
          <t>Feature Name</t>
        </is>
      </c>
      <c r="E1" s="1" t="inlineStr">
        <is>
          <t>Title</t>
        </is>
      </c>
      <c r="F1" s="1" t="inlineStr">
        <is>
          <t>Objective</t>
        </is>
      </c>
      <c r="G1" s="1" t="inlineStr">
        <is>
          <t>Preconditions</t>
        </is>
      </c>
      <c r="H1" s="1" t="inlineStr">
        <is>
          <t>TestData</t>
        </is>
      </c>
      <c r="I1" s="1" t="inlineStr">
        <is>
          <t>Steps</t>
        </is>
      </c>
      <c r="J1" s="1" t="inlineStr">
        <is>
          <t>ExpectedResult</t>
        </is>
      </c>
      <c r="K1" s="1" t="inlineStr">
        <is>
          <t>Actual Result</t>
        </is>
      </c>
      <c r="L1" s="1" t="inlineStr">
        <is>
          <t>Status</t>
        </is>
      </c>
      <c r="M1" s="1" t="inlineStr">
        <is>
          <t>Priority</t>
        </is>
      </c>
      <c r="N1" s="1" t="inlineStr">
        <is>
          <t>Notes</t>
        </is>
      </c>
    </row>
    <row r="2" ht="90" customHeight="1">
      <c r="A2" s="2" t="inlineStr">
        <is>
          <t>TC-M06-001</t>
        </is>
      </c>
      <c r="B2" s="2" t="inlineStr">
        <is>
          <t>Module 06 – Bi-Weekly Internship Reports</t>
        </is>
      </c>
      <c r="C2" s="3" t="inlineStr">
        <is>
          <t>M06-F01</t>
        </is>
      </c>
      <c r="D2" s="4" t="inlineStr">
        <is>
          <t>Report Creation</t>
        </is>
      </c>
      <c r="E2" s="4" t="inlineStr">
        <is>
          <t>Create new report boi student thuoc internship group dang hoat dong</t>
        </is>
      </c>
      <c r="F2" s="4" t="inlineStr">
        <is>
          <t>Verify functionality for display nut va mo interface create new report cho student thuoc internship group dang hoat dong (On-going).</t>
        </is>
      </c>
      <c r="G2" s="4" t="inlineStr">
        <is>
          <t>User is logged in as Student.
Hoc vien thuoc internship group co status "On-going".
Currently on Student Portal interface.</t>
        </is>
      </c>
      <c r="H2" s="4" t="inlineStr">
        <is>
          <t>BatchName="PNV26A"; GroupStatus="On-going"</t>
        </is>
      </c>
      <c r="I2" s="4" t="inlineStr">
        <is>
          <t>1. Truy cap vao Student Portal.
2. Verify su xuat hien cua nut "+ New Report".
3. Nhap vao nut "+ New Report".</t>
        </is>
      </c>
      <c r="J2" s="4" t="inlineStr">
        <is>
          <t>Nut "+ New Report" display ro rang va can click duoc.
Interface create new internship report mo ra successfully.</t>
        </is>
      </c>
      <c r="K2" s="4" t="inlineStr"/>
      <c r="L2" s="5" t="inlineStr">
        <is>
          <t>Not Run</t>
        </is>
      </c>
      <c r="M2" s="6" t="inlineStr">
        <is>
          <t>High</t>
        </is>
      </c>
      <c r="N2" s="4" t="inlineStr">
        <is>
          <t>Related to M06-F01, Rule 6.1</t>
        </is>
      </c>
    </row>
    <row r="3" ht="90" customHeight="1">
      <c r="A3" s="7" t="inlineStr">
        <is>
          <t>TC-M06-002</t>
        </is>
      </c>
      <c r="B3" s="7" t="inlineStr">
        <is>
          <t>Module 06 – Bi-Weekly Internship Reports</t>
        </is>
      </c>
      <c r="C3" s="8" t="inlineStr">
        <is>
          <t>M06-F01</t>
        </is>
      </c>
      <c r="D3" s="9" t="inlineStr">
        <is>
          <t>Report Creation</t>
        </is>
      </c>
      <c r="E3" s="9" t="inlineStr">
        <is>
          <t>Prevent create new report for student thuoc internship group da hoan thanh</t>
        </is>
      </c>
      <c r="F3" s="9" t="inlineStr">
        <is>
          <t>Verify system an nut create new report neu student thuoc internship group da hoan thanh (Completed).</t>
        </is>
      </c>
      <c r="G3" s="9" t="inlineStr">
        <is>
          <t>User is logged in as Student.
Hoc vien thuoc internship group co status "Completed".
Currently on Student Portal interface.</t>
        </is>
      </c>
      <c r="H3" s="9" t="inlineStr">
        <is>
          <t>BatchName="PNV26A"; GroupStatus="Completed"</t>
        </is>
      </c>
      <c r="I3" s="9" t="inlineStr">
        <is>
          <t>1. Truy cap vao Student Portal.
2. Observe su xuat hien cua nut "+ New Report".</t>
        </is>
      </c>
      <c r="J3" s="9" t="inlineStr">
        <is>
          <t>Nut "+ New Report" not displayed tren interface.
Hoc vien cannot create new internship report.</t>
        </is>
      </c>
      <c r="K3" s="9" t="inlineStr"/>
      <c r="L3" s="5" t="inlineStr">
        <is>
          <t>Not Run</t>
        </is>
      </c>
      <c r="M3" s="6" t="inlineStr">
        <is>
          <t>High</t>
        </is>
      </c>
      <c r="N3" s="9" t="inlineStr">
        <is>
          <t>Related to M06-F01, Rule 6.1</t>
        </is>
      </c>
    </row>
    <row r="4" ht="90" customHeight="1">
      <c r="A4" s="2" t="inlineStr">
        <is>
          <t>TC-M06-003</t>
        </is>
      </c>
      <c r="B4" s="2" t="inlineStr">
        <is>
          <t>Module 06 – Bi-Weekly Internship Reports</t>
        </is>
      </c>
      <c r="C4" s="3" t="inlineStr">
        <is>
          <t>M06-F01</t>
        </is>
      </c>
      <c r="D4" s="4" t="inlineStr">
        <is>
          <t>Report Creation</t>
        </is>
      </c>
      <c r="E4" s="4" t="inlineStr">
        <is>
          <t>Prevent create new report for student thuoc internship group da archive</t>
        </is>
      </c>
      <c r="F4" s="4" t="inlineStr">
        <is>
          <t>Verify system an nut create new report neu student thuoc internship group da archive (Archived).</t>
        </is>
      </c>
      <c r="G4" s="4" t="inlineStr">
        <is>
          <t>User is logged in as Student.
Hoc vien thuoc internship group co status "Archived".
Currently on Student Portal interface.</t>
        </is>
      </c>
      <c r="H4" s="4" t="inlineStr">
        <is>
          <t>BatchName="PNV26A"; GroupStatus="Archived"</t>
        </is>
      </c>
      <c r="I4" s="4" t="inlineStr">
        <is>
          <t>1. Truy cap vao Student Portal.
2. Observe su xuat hien cua nut "+ New Report".</t>
        </is>
      </c>
      <c r="J4" s="4" t="inlineStr">
        <is>
          <t>Nut "+ New Report" not displayed tren interface.
Hoc vien cannot create new internship report.</t>
        </is>
      </c>
      <c r="K4" s="4" t="inlineStr"/>
      <c r="L4" s="5" t="inlineStr">
        <is>
          <t>Not Run</t>
        </is>
      </c>
      <c r="M4" s="6" t="inlineStr">
        <is>
          <t>High</t>
        </is>
      </c>
      <c r="N4" s="4" t="inlineStr">
        <is>
          <t>Related to M06-F01, Rule 6.1</t>
        </is>
      </c>
    </row>
    <row r="5" ht="60" customHeight="1">
      <c r="A5" s="7" t="inlineStr">
        <is>
          <t>TC-M06-004</t>
        </is>
      </c>
      <c r="B5" s="7" t="inlineStr">
        <is>
          <t>Module 06 – Bi-Weekly Internship Reports</t>
        </is>
      </c>
      <c r="C5" s="8" t="inlineStr">
        <is>
          <t>M06-F03</t>
        </is>
      </c>
      <c r="D5" s="9" t="inlineStr">
        <is>
          <t>Submission Validation</t>
        </is>
      </c>
      <c r="E5" s="9" t="inlineStr">
        <is>
          <t>Prevent creating new report from Staff account</t>
        </is>
      </c>
      <c r="F5" s="9" t="inlineStr">
        <is>
          <t>Verify whether account Staff co bi gioi han quyen khong duoc create new internship report hay khong.</t>
        </is>
      </c>
      <c r="G5" s="9" t="inlineStr">
        <is>
          <t>User is logged in as Staff.
Currently on Student Management or Internship Management interface.</t>
        </is>
      </c>
      <c r="H5" s="9" t="inlineStr">
        <is>
          <t>Role="Staff"</t>
        </is>
      </c>
      <c r="I5" s="9" t="inlineStr">
        <is>
          <t>1. Truy cap interface report cua student bat ky hoac kiem tra cac nut chuc nang tren trang report.</t>
        </is>
      </c>
      <c r="J5" s="9" t="inlineStr">
        <is>
          <t>Khong xuat hien nut "+ New Report" hoac bat ky tuy select nao allows Staff create internship report.</t>
        </is>
      </c>
      <c r="K5" s="9" t="inlineStr"/>
      <c r="L5" s="5" t="inlineStr">
        <is>
          <t>Not Run</t>
        </is>
      </c>
      <c r="M5" s="10" t="inlineStr">
        <is>
          <t>Medium</t>
        </is>
      </c>
      <c r="N5" s="9" t="inlineStr">
        <is>
          <t>Related to User Roles (Section 4), Staff Access (Rule 6.12)</t>
        </is>
      </c>
    </row>
    <row r="6" ht="120" customHeight="1">
      <c r="A6" s="2" t="inlineStr">
        <is>
          <t>TC-M06-005</t>
        </is>
      </c>
      <c r="B6" s="2" t="inlineStr">
        <is>
          <t>Module 06 – Bi-Weekly Internship Reports</t>
        </is>
      </c>
      <c r="C6" s="3" t="inlineStr">
        <is>
          <t>M06-F02</t>
        </is>
      </c>
      <c r="D6" s="4" t="inlineStr">
        <is>
          <t>Draft Saving</t>
        </is>
      </c>
      <c r="E6" s="4" t="inlineStr">
        <is>
          <t>Save temporary report as Draft</t>
        </is>
      </c>
      <c r="F6" s="4" t="inlineStr">
        <is>
          <t>Verify functionality for save as draft report voi thong tin chua day du de edit sau.</t>
        </is>
      </c>
      <c r="G6" s="4" t="inlineStr">
        <is>
          <t>User is logged in as Student.
Currently on new internship report creation interface.</t>
        </is>
      </c>
      <c r="H6" s="4" t="inlineStr">
        <is>
          <t>CompanySupervisorName="Nguyen Van B"; StartDate="2026-07-20"; Status="Draft"</t>
        </is>
      </c>
      <c r="I6" s="4" t="inlineStr">
        <is>
          <t>1. Enter Ten supervisor cua company la "Nguyen Van B".
2. Select Start Date la "2026-07-20" (Monday).
3. De trong cac truong bat buoc khac.
4. Nhap nut "Save as Draft" (Save as draft).</t>
        </is>
      </c>
      <c r="J6" s="4" t="inlineStr">
        <is>
          <t>System display notification save as draft successfully.
Bao cao duoc save vao danh sach voi status "Draft".
Hoc vien can mo lai de tiep tuc edit.</t>
        </is>
      </c>
      <c r="K6" s="4" t="inlineStr"/>
      <c r="L6" s="5" t="inlineStr">
        <is>
          <t>Not Run</t>
        </is>
      </c>
      <c r="M6" s="6" t="inlineStr">
        <is>
          <t>High</t>
        </is>
      </c>
      <c r="N6" s="4" t="inlineStr">
        <is>
          <t>Related to M06-F02, Rule 6.2</t>
        </is>
      </c>
    </row>
    <row r="7" ht="165" customHeight="1">
      <c r="A7" s="7" t="inlineStr">
        <is>
          <t>TC-M06-006</t>
        </is>
      </c>
      <c r="B7" s="7" t="inlineStr">
        <is>
          <t>Module 06 – Bi-Weekly Internship Reports</t>
        </is>
      </c>
      <c r="C7" s="8" t="inlineStr">
        <is>
          <t>M06-F02</t>
        </is>
      </c>
      <c r="D7" s="9" t="inlineStr">
        <is>
          <t>Draft Saving</t>
        </is>
      </c>
      <c r="E7" s="9" t="inlineStr">
        <is>
          <t>Edit draft report unlimited number of times</t>
        </is>
      </c>
      <c r="F7" s="9" t="inlineStr">
        <is>
          <t>Verify whether student can edit va save lai draft report nhieu lan truoc khi submit chinh thuc.</t>
        </is>
      </c>
      <c r="G7" s="9" t="inlineStr">
        <is>
          <t>User is logged in as Student.
Da co san mot report o status "Draft" trong danh sach.</t>
        </is>
      </c>
      <c r="H7" s="9" t="inlineStr">
        <is>
          <t>ReportId="REP001"; InitialStatus="Draft"; NewSupervisorName="Tran Thi C"; Tasks=[{"TaskName": "Design Database", "Description": "Create ERD", "Result": "Completed"}]</t>
        </is>
      </c>
      <c r="I7" s="9" t="inlineStr">
        <is>
          <t>1. Select draft report "REP001" tu danh sach va click "Edit" (Edit).
2. Thay doi Ten supervisor thanh "Tran Thi C".
3. Add mot task vao task table.
4. Nhap nut "Save as Draft".
5. Mo lai report do lan nua, sua doi thong tin va click "Save as Draft" tiep.</t>
        </is>
      </c>
      <c r="J7" s="9" t="inlineStr">
        <is>
          <t>System allows edit va save successfully tat ca cac thay doi ma without limit times.
Status report van giu nguyen la "Draft" sau moi lan save as draft.</t>
        </is>
      </c>
      <c r="K7" s="9" t="inlineStr"/>
      <c r="L7" s="5" t="inlineStr">
        <is>
          <t>Not Run</t>
        </is>
      </c>
      <c r="M7" s="6" t="inlineStr">
        <is>
          <t>High</t>
        </is>
      </c>
      <c r="N7" s="9" t="inlineStr">
        <is>
          <t>Related to M06-F02, Rule 6.2</t>
        </is>
      </c>
    </row>
    <row r="8" ht="105" customHeight="1">
      <c r="A8" s="2" t="inlineStr">
        <is>
          <t>TC-M06-007</t>
        </is>
      </c>
      <c r="B8" s="2" t="inlineStr">
        <is>
          <t>Module 06 – Bi-Weekly Internship Reports</t>
        </is>
      </c>
      <c r="C8" s="3" t="inlineStr">
        <is>
          <t>M06-F02</t>
        </is>
      </c>
      <c r="D8" s="4" t="inlineStr">
        <is>
          <t>Draft Saving</t>
        </is>
      </c>
      <c r="E8" s="4" t="inlineStr">
        <is>
          <t>Draft report does not send emails and is hidden from Staff</t>
        </is>
      </c>
      <c r="F8" s="4" t="inlineStr">
        <is>
          <t>Dam bao draft report khong kich hoat tinh nang gui email va cannot nhin thay boi account Staff.</t>
        </is>
      </c>
      <c r="G8" s="4" t="inlineStr">
        <is>
          <t>Hoc vien vua thuc hien save as draft mot new report.</t>
        </is>
      </c>
      <c r="H8" s="4" t="inlineStr">
        <is>
          <t>Status="Draft"; StudentEmail="student01@student.passerellesnumeriques.org"; PnvSupervisorEmail="pnv.sup@passerellesnumeriques.org"</t>
        </is>
      </c>
      <c r="I8" s="4" t="inlineStr">
        <is>
          <t>1. Verify hom thu cua PNV Supervisor va Company Supervisor xem co email notification nao duoc gui di khong.
2. Log in system bang account Staff, access trang chi tiet student (Student Detail) cua student nay va kiem tra danh sach report.</t>
        </is>
      </c>
      <c r="J8" s="4" t="inlineStr">
        <is>
          <t>1. Khong co email nao duoc gui tu system.
2. Tai khoan Staff khong nhin thay draft report nay trong danh sach report cua student.</t>
        </is>
      </c>
      <c r="K8" s="4" t="inlineStr"/>
      <c r="L8" s="5" t="inlineStr">
        <is>
          <t>Not Run</t>
        </is>
      </c>
      <c r="M8" s="6" t="inlineStr">
        <is>
          <t>High</t>
        </is>
      </c>
      <c r="N8" s="4" t="inlineStr">
        <is>
          <t>Related to M06-F02, Rule 6.2, Rule 6.12</t>
        </is>
      </c>
    </row>
    <row r="9" ht="105" customHeight="1">
      <c r="A9" s="7" t="inlineStr">
        <is>
          <t>TC-M06-008</t>
        </is>
      </c>
      <c r="B9" s="7" t="inlineStr">
        <is>
          <t>Module 06 – Bi-Weekly Internship Reports</t>
        </is>
      </c>
      <c r="C9" s="8" t="inlineStr">
        <is>
          <t>M06-F04</t>
        </is>
      </c>
      <c r="D9" s="9" t="inlineStr">
        <is>
          <t>Auto-calculated End Date</t>
        </is>
      </c>
      <c r="E9" s="9" t="inlineStr">
        <is>
          <t>Auto-calculate End Date when valid Start Date is entered</t>
        </is>
      </c>
      <c r="F9" s="9" t="inlineStr">
        <is>
          <t>Verify functionality for auto-calculate End Date (End Date) dua tren cong thuc Start Date (Start Date) + 13 ngay.</t>
        </is>
      </c>
      <c r="G9" s="9" t="inlineStr">
        <is>
          <t>User is logged in as Student.
Currently on new report creation interface.</t>
        </is>
      </c>
      <c r="H9" s="9" t="inlineStr">
        <is>
          <t>StartDate="2026-07-20" (Monday)</t>
        </is>
      </c>
      <c r="I9" s="9" t="inlineStr">
        <is>
          <t>1. Nhap select truong Start Date va enter/select ngay "2026-07-20".
2. Verify gia tri display o truong End Date.
3. Thu click dup hoac go vao truong End Date de edit.</t>
        </is>
      </c>
      <c r="J9" s="9" t="inlineStr">
        <is>
          <t>Truong End Date tu dong display ngay "2026-08-02".
Truong End Date bi vo hieu hoa (disabled/read-only) va user cannot edit thu cong.</t>
        </is>
      </c>
      <c r="K9" s="9" t="inlineStr"/>
      <c r="L9" s="5" t="inlineStr">
        <is>
          <t>Not Run</t>
        </is>
      </c>
      <c r="M9" s="6" t="inlineStr">
        <is>
          <t>High</t>
        </is>
      </c>
      <c r="N9" s="9" t="inlineStr">
        <is>
          <t>Related to M06-F04, Rule 6.5</t>
        </is>
      </c>
    </row>
    <row r="10" ht="120" customHeight="1">
      <c r="A10" s="2" t="inlineStr">
        <is>
          <t>TC-M06-009</t>
        </is>
      </c>
      <c r="B10" s="2" t="inlineStr">
        <is>
          <t>Module 06 – Bi-Weekly Internship Reports</t>
        </is>
      </c>
      <c r="C10" s="3" t="inlineStr">
        <is>
          <t>M06-F04</t>
        </is>
      </c>
      <c r="D10" s="4" t="inlineStr">
        <is>
          <t>Auto-calculated End Date</t>
        </is>
      </c>
      <c r="E10" s="4" t="inlineStr">
        <is>
          <t>Prevent submitting report if Start Date is not a Monday</t>
        </is>
      </c>
      <c r="F10" s="4" t="inlineStr">
        <is>
          <t>Verify system bao error khi Start Date duoc select khong roi vao thu Hai.</t>
        </is>
      </c>
      <c r="G10" s="4" t="inlineStr">
        <is>
          <t>User is logged in as Student.
Currently on new report creation interface.</t>
        </is>
      </c>
      <c r="H10" s="4" t="inlineStr">
        <is>
          <t>StartDate="2026-07-21" (Tuesday, not thu Hai); Other required fields valid</t>
        </is>
      </c>
      <c r="I10" s="4" t="inlineStr">
        <is>
          <t>1. Enter day du thong tin hop le vao cac truong bat buoc.
2. Thay doi Start Date thanh "2026-07-21" (Tuesday).
3. Nhap nut "Submit" (Submit report).
4. Xac nhan submit trong hop thoai xac nhan.</t>
        </is>
      </c>
      <c r="J10" s="4" t="inlineStr">
        <is>
          <t>System display error cphoto bao Start Date phai la thu Hai (e.g.: "Start Date must be a Monday").
Bao cao khong duoc submit va status khong doi.</t>
        </is>
      </c>
      <c r="K10" s="4" t="inlineStr"/>
      <c r="L10" s="5" t="inlineStr">
        <is>
          <t>Not Run</t>
        </is>
      </c>
      <c r="M10" s="6" t="inlineStr">
        <is>
          <t>High</t>
        </is>
      </c>
      <c r="N10" s="4" t="inlineStr">
        <is>
          <t>Related to Validation Rules (Section 7), Error Handling (Section 8)</t>
        </is>
      </c>
    </row>
    <row r="11" ht="90" customHeight="1">
      <c r="A11" s="7" t="inlineStr">
        <is>
          <t>TC-M06-010</t>
        </is>
      </c>
      <c r="B11" s="7" t="inlineStr">
        <is>
          <t>Module 06 – Bi-Weekly Internship Reports</t>
        </is>
      </c>
      <c r="C11" s="8" t="inlineStr">
        <is>
          <t>M06-F04</t>
        </is>
      </c>
      <c r="D11" s="9" t="inlineStr">
        <is>
          <t>Auto-calculated End Date</t>
        </is>
      </c>
      <c r="E11" s="9" t="inlineStr">
        <is>
          <t>Prevent submitting report if Start Date is outside internship period</t>
        </is>
      </c>
      <c r="F11" s="9" t="inlineStr">
        <is>
          <t>Verify system bao error khi student select Start Date outside pham vi period internship da cau hinh.</t>
        </is>
      </c>
      <c r="G11" s="9" t="inlineStr">
        <is>
          <t>User is logged in as Student.
Thoi gian internship cua student duoc cau hinh tu "2026-07-01" den "2026-09-30".
Currently on new report creation interface.</t>
        </is>
      </c>
      <c r="H11" s="9" t="inlineStr">
        <is>
          <t>StartDate="2026-06-22" (Monday, truoc period internship); Other required fields valid</t>
        </is>
      </c>
      <c r="I11" s="9" t="inlineStr">
        <is>
          <t>1. Enter day du thong tin hop le vao cac truong bat buoc.
2. Select Start Date la "2026-06-22".
3. Nhap nut "Submit" va xac nhan.</t>
        </is>
      </c>
      <c r="J11" s="9" t="inlineStr">
        <is>
          <t>System display notification error requires Start Date phai nam trong period internship (e.g.: "Start Date must be within the internship period").
Bao cao khong duoc submit.</t>
        </is>
      </c>
      <c r="K11" s="9" t="inlineStr"/>
      <c r="L11" s="5" t="inlineStr">
        <is>
          <t>Not Run</t>
        </is>
      </c>
      <c r="M11" s="6" t="inlineStr">
        <is>
          <t>High</t>
        </is>
      </c>
      <c r="N11" s="9" t="inlineStr">
        <is>
          <t>Related to Validation Rules (Section 7), Error Handling (Section 8)</t>
        </is>
      </c>
    </row>
    <row r="12" ht="150" customHeight="1">
      <c r="A12" s="2" t="inlineStr">
        <is>
          <t>TC-M06-011</t>
        </is>
      </c>
      <c r="B12" s="2" t="inlineStr">
        <is>
          <t>Module 06 – Bi-Weekly Internship Reports</t>
        </is>
      </c>
      <c r="C12" s="3" t="inlineStr">
        <is>
          <t>M06-F05</t>
        </is>
      </c>
      <c r="D12" s="4" t="inlineStr">
        <is>
          <t>Dynamic Task Table</t>
        </is>
      </c>
      <c r="E12" s="4" t="inlineStr">
        <is>
          <t>Add and remove task rows in dynamic task table</t>
        </is>
      </c>
      <c r="F12" s="4" t="inlineStr">
        <is>
          <t>Verify functionality for add moi task row va delete bot task row hien tai trong task table.</t>
        </is>
      </c>
      <c r="G12" s="4" t="inlineStr">
        <is>
          <t>User is logged in as Student.
Currently on report creation or edit interface.</t>
        </is>
      </c>
      <c r="H12" s="4" t="inlineStr">
        <is>
          <t>Khong co du lieu dac biet</t>
        </is>
      </c>
      <c r="I12" s="4" t="inlineStr">
        <is>
          <t>1. Nhap nut "Add Task" (Add task).
2. Enter thong tin vao task row vua create.
3. Nhap nut "Add Task" mot lan nua de create dong thu 2.
4. Enter thong tin cho dong thu 2.
5. Nhap nut "Remove" (Delete) tai task row thu nhat.</t>
        </is>
      </c>
      <c r="J12" s="4" t="inlineStr">
        <is>
          <t>1. Mot dong moi xuat hien voi cac o enter: Ten task, Mo ta, Ket qua.
2. Enter lieu binh thuong.
3. Dong thu 2 duoc create add.
4. Enter lieu binh thuong cho dong thu 2.
5. Dong thu nhat bi delete khoi bang, chi con lai dong thu 2.</t>
        </is>
      </c>
      <c r="K12" s="4" t="inlineStr"/>
      <c r="L12" s="5" t="inlineStr">
        <is>
          <t>Not Run</t>
        </is>
      </c>
      <c r="M12" s="6" t="inlineStr">
        <is>
          <t>High</t>
        </is>
      </c>
      <c r="N12" s="4" t="inlineStr">
        <is>
          <t>Related to M06-F05, Rule 6.6</t>
        </is>
      </c>
    </row>
    <row r="13" ht="75" customHeight="1">
      <c r="A13" s="7" t="inlineStr">
        <is>
          <t>TC-M06-012</t>
        </is>
      </c>
      <c r="B13" s="7" t="inlineStr">
        <is>
          <t>Module 06 – Bi-Weekly Internship Reports</t>
        </is>
      </c>
      <c r="C13" s="8" t="inlineStr">
        <is>
          <t>M06-F05</t>
        </is>
      </c>
      <c r="D13" s="9" t="inlineStr">
        <is>
          <t>Dynamic Task Table</t>
        </is>
      </c>
      <c r="E13" s="9" t="inlineStr">
        <is>
          <t>Prevent submit report khi danh sach task trong</t>
        </is>
      </c>
      <c r="F13" s="9" t="inlineStr">
        <is>
          <t>Dam bao system bat buoc report phai co it nhat mot task moi allows submit.</t>
        </is>
      </c>
      <c r="G13" s="9" t="inlineStr">
        <is>
          <t>User is logged in as Student.
Dang o interface create new report, cac truong thong tin chung da dien day du.</t>
        </is>
      </c>
      <c r="H13" s="9" t="inlineStr">
        <is>
          <t>TaskList=Empty; Other required fields valid</t>
        </is>
      </c>
      <c r="I13" s="9" t="inlineStr">
        <is>
          <t>1. Delete tat ca cac task row trong task table (hoac khong add dong nao).
2. Nhap nut "Submit" va xac nhan.</t>
        </is>
      </c>
      <c r="J13" s="9" t="inlineStr">
        <is>
          <t>System display notification error requires phai enter it nhat mot task (e.g.: "At least one task is required").
Bao cao khong duoc submit.</t>
        </is>
      </c>
      <c r="K13" s="9" t="inlineStr"/>
      <c r="L13" s="5" t="inlineStr">
        <is>
          <t>Not Run</t>
        </is>
      </c>
      <c r="M13" s="6" t="inlineStr">
        <is>
          <t>High</t>
        </is>
      </c>
      <c r="N13" s="9" t="inlineStr">
        <is>
          <t>Related to Validation Rules (Section 7), Error Handling (Section 8)</t>
        </is>
      </c>
    </row>
    <row r="14" ht="90" customHeight="1">
      <c r="A14" s="2" t="inlineStr">
        <is>
          <t>TC-M06-013</t>
        </is>
      </c>
      <c r="B14" s="2" t="inlineStr">
        <is>
          <t>Module 06 – Bi-Weekly Internship Reports</t>
        </is>
      </c>
      <c r="C14" s="3" t="inlineStr">
        <is>
          <t>M06-F05</t>
        </is>
      </c>
      <c r="D14" s="4" t="inlineStr">
        <is>
          <t>Dynamic Task Table</t>
        </is>
      </c>
      <c r="E14" s="4" t="inlineStr">
        <is>
          <t>Prevent submit report khi co task row chua hoan thanh thong tin</t>
        </is>
      </c>
      <c r="F14" s="4" t="inlineStr">
        <is>
          <t>Verify system bao error neu ton tai bat ky task row nao bi bo trong Ten, Mo ta hoac Ket qua khi submit.</t>
        </is>
      </c>
      <c r="G14" s="4" t="inlineStr">
        <is>
          <t>User is logged in as Student.
Currently on new report creation interface.</t>
        </is>
      </c>
      <c r="H14" s="4" t="inlineStr">
        <is>
          <t>TaskName="Code FE"; Description=""; Result="Done" (De trong phan Mo ta)</t>
        </is>
      </c>
      <c r="I14" s="4" t="inlineStr">
        <is>
          <t>1. Enter day du thong tin chung hop le.
2. Add mot task row, enter Ten task la "Code FE", Ket qua la "Done", bo trong Mo ta.
3. Nhap nut "Submit" va xac nhan.</t>
        </is>
      </c>
      <c r="J14" s="4" t="inlineStr">
        <is>
          <t>System bao error task row khong hop le (e.g.: "Task fields cannot be left blank").
Bao cao khong duoc submit.</t>
        </is>
      </c>
      <c r="K14" s="4" t="inlineStr"/>
      <c r="L14" s="5" t="inlineStr">
        <is>
          <t>Not Run</t>
        </is>
      </c>
      <c r="M14" s="6" t="inlineStr">
        <is>
          <t>High</t>
        </is>
      </c>
      <c r="N14" s="4" t="inlineStr">
        <is>
          <t>Related to Rule 6.6, Validation Rules (Section 7), Error Handling (Section 8)</t>
        </is>
      </c>
    </row>
    <row r="15" ht="165" customHeight="1">
      <c r="A15" s="7" t="inlineStr">
        <is>
          <t>TC-M06-014</t>
        </is>
      </c>
      <c r="B15" s="7" t="inlineStr">
        <is>
          <t>Module 06 – Bi-Weekly Internship Reports</t>
        </is>
      </c>
      <c r="C15" s="8" t="inlineStr">
        <is>
          <t>M06-F06</t>
        </is>
      </c>
      <c r="D15" s="9" t="inlineStr">
        <is>
          <t>Auto-calculated Total Hours</t>
        </is>
      </c>
      <c r="E15" s="9" t="inlineStr">
        <is>
          <t>Auto-calculate so gio lam viec hang ngay va tong so gio lam viec</t>
        </is>
      </c>
      <c r="F15" s="9" t="inlineStr">
        <is>
          <t>Verify functionality for tu dong tinh tong so gio lam viec theo tuan va tong ca ky report khi user enter so gio lam viec hang ngay.</t>
        </is>
      </c>
      <c r="G15" s="9" t="inlineStr">
        <is>
          <t>User is logged in as Student.
Currently on report creation or edit interface.</t>
        </is>
      </c>
      <c r="H15" s="9" t="inlineStr">
        <is>
          <t>Week1Hours=[8, 8, 8, 8, 8, 0, 0]; Week2Hours=[8, 8, 8, 8, 8, 4, 0]</t>
        </is>
      </c>
      <c r="I15" s="9" t="inlineStr">
        <is>
          <t>1. Enter so gio lam viec cho Tuan 1 tu thu Hai den Sunday lan luot la: 8, 8, 8, 8, 8, 0, 0.
2. Enter so gio lam viec cho Tuan 2 lan luot la: 8, 8, 8, 8, 8, 4, 0.
3. Observe tong so gio cua Tuan 1, Tuan 2 va Tong so gio lam viec display tren interface.
4. Thay doi so gio ngay thu Bay Tuan 2 tu 4 thanh 8.</t>
        </is>
      </c>
      <c r="J15" s="9" t="inlineStr">
        <is>
          <t>Tong so gio Tuan 1 tu dong display 40.
Tong so gio Tuan 2 tu dong display 44.
Tong so gio lam viec ca ky report tu dong display 84.
Khi thay doi ngay thu Bay Tuan 2 thanh 8, tong Tuan 2 lap tuc cap nhat thanh 48 va Tong so gio lam viec cap nhat thanh 88.</t>
        </is>
      </c>
      <c r="K15" s="9" t="inlineStr"/>
      <c r="L15" s="5" t="inlineStr">
        <is>
          <t>Not Run</t>
        </is>
      </c>
      <c r="M15" s="6" t="inlineStr">
        <is>
          <t>High</t>
        </is>
      </c>
      <c r="N15" s="9" t="inlineStr">
        <is>
          <t>Related to M06-F06, Rule 6.7</t>
        </is>
      </c>
    </row>
    <row r="16" ht="75" customHeight="1">
      <c r="A16" s="2" t="inlineStr">
        <is>
          <t>TC-M06-015</t>
        </is>
      </c>
      <c r="B16" s="2" t="inlineStr">
        <is>
          <t>Module 06 – Bi-Weekly Internship Reports</t>
        </is>
      </c>
      <c r="C16" s="3" t="inlineStr">
        <is>
          <t>M06-F06</t>
        </is>
      </c>
      <c r="D16" s="4" t="inlineStr">
        <is>
          <t>Auto-calculated Total Hours</t>
        </is>
      </c>
      <c r="E16" s="4" t="inlineStr">
        <is>
          <t>Prevent enter so gio lam viec la so am</t>
        </is>
      </c>
      <c r="F16" s="4" t="inlineStr">
        <is>
          <t>Dam bao system khong chap nhan gia tri so gio lam viec nho hon 0.</t>
        </is>
      </c>
      <c r="G16" s="4" t="inlineStr">
        <is>
          <t>User is logged in as Student.
Currently on report creation or edit interface.</t>
        </is>
      </c>
      <c r="H16" s="4" t="inlineStr">
        <is>
          <t>HourInput=-2</t>
        </is>
      </c>
      <c r="I16" s="4" t="inlineStr">
        <is>
          <t>1. Enter gia tri -2 vao o enter gio lam viec cua ngay bat ky.
2. Nhan nut "Save as Draft" hoac "Submit".</t>
        </is>
      </c>
      <c r="J16" s="4" t="inlineStr">
        <is>
          <t>System bao error so gio khong hop le hoac tu dong khoi phuc ve 0/ngan khong cho enter so am.
Bao cao khong duoc save/submit voi gia tri am.</t>
        </is>
      </c>
      <c r="K16" s="4" t="inlineStr"/>
      <c r="L16" s="5" t="inlineStr">
        <is>
          <t>Not Run</t>
        </is>
      </c>
      <c r="M16" s="6" t="inlineStr">
        <is>
          <t>High</t>
        </is>
      </c>
      <c r="N16" s="4" t="inlineStr">
        <is>
          <t>Related to Boundary Value Testing (Section 6.7)</t>
        </is>
      </c>
    </row>
    <row r="17" ht="75" customHeight="1">
      <c r="A17" s="7" t="inlineStr">
        <is>
          <t>TC-M06-016</t>
        </is>
      </c>
      <c r="B17" s="7" t="inlineStr">
        <is>
          <t>Module 06 – Bi-Weekly Internship Reports</t>
        </is>
      </c>
      <c r="C17" s="8" t="inlineStr">
        <is>
          <t>M06-F06</t>
        </is>
      </c>
      <c r="D17" s="9" t="inlineStr">
        <is>
          <t>Auto-calculated Total Hours</t>
        </is>
      </c>
      <c r="E17" s="9" t="inlineStr">
        <is>
          <t>Prevent enter so gio lam viec exceeding 24 gio mot ngay</t>
        </is>
      </c>
      <c r="F17" s="9" t="inlineStr">
        <is>
          <t>Dam bao system khong chap nhan gia tri so gio lam viec lon hon 24 gio cho mot ngay.</t>
        </is>
      </c>
      <c r="G17" s="9" t="inlineStr">
        <is>
          <t>User is logged in as Student.
Currently on report creation or edit interface.</t>
        </is>
      </c>
      <c r="H17" s="9" t="inlineStr">
        <is>
          <t>HourInput=25</t>
        </is>
      </c>
      <c r="I17" s="9" t="inlineStr">
        <is>
          <t>1. Enter gia tri 25 vao o enter gio lam viec cua ngay bat ky.
2. Nhan nut "Save as Draft" hoac "Submit".</t>
        </is>
      </c>
      <c r="J17" s="9" t="inlineStr">
        <is>
          <t>System bao error so gio cannot exceeding 24 gio mot ngay.
Gia tri khong duoc chap nhan va report khong duoc save/submit.</t>
        </is>
      </c>
      <c r="K17" s="9" t="inlineStr"/>
      <c r="L17" s="5" t="inlineStr">
        <is>
          <t>Not Run</t>
        </is>
      </c>
      <c r="M17" s="6" t="inlineStr">
        <is>
          <t>High</t>
        </is>
      </c>
      <c r="N17" s="9" t="inlineStr">
        <is>
          <t>Related to Boundary Value Testing (Section 6.7)</t>
        </is>
      </c>
    </row>
    <row r="18" ht="60" customHeight="1">
      <c r="A18" s="2" t="inlineStr">
        <is>
          <t>TC-M06-017</t>
        </is>
      </c>
      <c r="B18" s="2" t="inlineStr">
        <is>
          <t>Module 06 – Bi-Weekly Internship Reports</t>
        </is>
      </c>
      <c r="C18" s="3" t="inlineStr">
        <is>
          <t>M06-F06</t>
        </is>
      </c>
      <c r="D18" s="4" t="inlineStr">
        <is>
          <t>Auto-calculated Total Hours</t>
        </is>
      </c>
      <c r="E18" s="4" t="inlineStr">
        <is>
          <t>Prevent enter ky tu not so vao o so gio lam viec</t>
        </is>
      </c>
      <c r="F18" s="4" t="inlineStr">
        <is>
          <t>Dam bao system chi chap nhan du lieu so trong o enter so gio lam viec.</t>
        </is>
      </c>
      <c r="G18" s="4" t="inlineStr">
        <is>
          <t>User is logged in as Student.
Currently on report creation or edit interface.</t>
        </is>
      </c>
      <c r="H18" s="4" t="inlineStr">
        <is>
          <t>HourInput="abc"</t>
        </is>
      </c>
      <c r="I18" s="4" t="inlineStr">
        <is>
          <t>1. Enter ky tu "abc" vao o enter gio lam viec cua ngay bat ky.
2. Verify gia tri trong o enter.</t>
        </is>
      </c>
      <c r="J18" s="4" t="inlineStr">
        <is>
          <t>System tu dong loai bo ky tu chu hoac display error va khong allows enter ky tu phi so.</t>
        </is>
      </c>
      <c r="K18" s="4" t="inlineStr"/>
      <c r="L18" s="5" t="inlineStr">
        <is>
          <t>Not Run</t>
        </is>
      </c>
      <c r="M18" s="6" t="inlineStr">
        <is>
          <t>High</t>
        </is>
      </c>
      <c r="N18" s="4" t="inlineStr">
        <is>
          <t>Related to Boundary Value Testing (Section 6.7)</t>
        </is>
      </c>
    </row>
    <row r="19" ht="165" customHeight="1">
      <c r="A19" s="7" t="inlineStr">
        <is>
          <t>TC-M06-018</t>
        </is>
      </c>
      <c r="B19" s="7" t="inlineStr">
        <is>
          <t>Module 06 – Bi-Weekly Internship Reports</t>
        </is>
      </c>
      <c r="C19" s="8" t="inlineStr">
        <is>
          <t>M06-F07</t>
        </is>
      </c>
      <c r="D19" s="9" t="inlineStr">
        <is>
          <t>Report Submission</t>
        </is>
      </c>
      <c r="E19" s="9" t="inlineStr">
        <is>
          <t>Submit report successfully voi day du thong tin hop le</t>
        </is>
      </c>
      <c r="F19" s="9" t="inlineStr">
        <is>
          <t>Verify luong submit report successfully khi dien day du va dung format tat ca cac thong tin bat buoc.</t>
        </is>
      </c>
      <c r="G19" s="9" t="inlineStr">
        <is>
          <t>User is logged in as Student.
Dang o interface create internship report.</t>
        </is>
      </c>
      <c r="H19" s="9" t="inlineStr">
        <is>
          <t>CompanySupervisorName="Nguyen Van B"; StartDate="2026-07-20"; PnvSupervisorEmail="pnv.sup@passerellesnumeriques.org"; CompanySupervisorEmail="company.sup@example.com"; TaskName="Implement Login API"; TaskDesc="Develop authentication feature"; TaskResult="Completed successfully"; Week1Hours=[8,8,8,8,8,0,0]; Week2Hours=[8,8,8,8,8,0,0]; Challenges="Gap kho khan khi tich hop OAuth"; SupportNeeded="Can mentor ho tro review code"</t>
        </is>
      </c>
      <c r="I19" s="9" t="inlineStr">
        <is>
          <t>1. Dien day du thong tin nhu trong Test Data.
2. Nhan nut "Submit" (Submit report).
3. Tai hop thoai xac nhan "Submit Report", click button "Confirm" (Xac nhan).</t>
        </is>
      </c>
      <c r="J19" s="9" t="inlineStr">
        <is>
          <t>System display notification submit report successfully.
Status cua report chuyen sang "Submitted".
Bao cao chuyen sang che do chi doc.</t>
        </is>
      </c>
      <c r="K19" s="9" t="inlineStr"/>
      <c r="L19" s="5" t="inlineStr">
        <is>
          <t>Not Run</t>
        </is>
      </c>
      <c r="M19" s="6" t="inlineStr">
        <is>
          <t>High</t>
        </is>
      </c>
      <c r="N19" s="9" t="inlineStr">
        <is>
          <t>Related to M06-F07, Rule 6.3</t>
        </is>
      </c>
    </row>
    <row r="20" ht="75" customHeight="1">
      <c r="A20" s="2" t="inlineStr">
        <is>
          <t>TC-M06-019</t>
        </is>
      </c>
      <c r="B20" s="2" t="inlineStr">
        <is>
          <t>Module 06 – Bi-Weekly Internship Reports</t>
        </is>
      </c>
      <c r="C20" s="3" t="inlineStr">
        <is>
          <t>M06-F03</t>
        </is>
      </c>
      <c r="D20" s="4" t="inlineStr">
        <is>
          <t>Submission Validation</t>
        </is>
      </c>
      <c r="E20" s="4" t="inlineStr">
        <is>
          <t>Submit report failed due to empty name nguoi supervisor company</t>
        </is>
      </c>
      <c r="F20" s="4" t="inlineStr">
        <is>
          <t>Verify system bao error khi blank truong Ten supervisor cua company.</t>
        </is>
      </c>
      <c r="G20" s="4" t="inlineStr">
        <is>
          <t>User is logged in as Student.
Currently on new report creation interface.</t>
        </is>
      </c>
      <c r="H20" s="4" t="inlineStr">
        <is>
          <t>CompanySupervisorName=""; Cac truong khac deu hop le</t>
        </is>
      </c>
      <c r="I20" s="4" t="inlineStr">
        <is>
          <t>1. Dien day du thong tin hop le tru truong Ten supervisor company blank.
2. Nhap nut "Submit" va xac nhan.</t>
        </is>
      </c>
      <c r="J20" s="4" t="inlineStr">
        <is>
          <t>System bao error requires enter Ten supervisor company (e.g.: "Company Supervisor Name is required").
Bao cao khong duoc submit.</t>
        </is>
      </c>
      <c r="K20" s="4" t="inlineStr"/>
      <c r="L20" s="5" t="inlineStr">
        <is>
          <t>Not Run</t>
        </is>
      </c>
      <c r="M20" s="6" t="inlineStr">
        <is>
          <t>High</t>
        </is>
      </c>
      <c r="N20" s="4" t="inlineStr">
        <is>
          <t>Related to Validation Rules (Section 7), Error Handling (Section 8)</t>
        </is>
      </c>
    </row>
    <row r="21" ht="75" customHeight="1">
      <c r="A21" s="7" t="inlineStr">
        <is>
          <t>TC-M06-020</t>
        </is>
      </c>
      <c r="B21" s="7" t="inlineStr">
        <is>
          <t>Module 06 – Bi-Weekly Internship Reports</t>
        </is>
      </c>
      <c r="C21" s="8" t="inlineStr">
        <is>
          <t>M06-F03</t>
        </is>
      </c>
      <c r="D21" s="9" t="inlineStr">
        <is>
          <t>Submission Validation</t>
        </is>
      </c>
      <c r="E21" s="9" t="inlineStr">
        <is>
          <t>Submit report failed do blank email nguoi supervisor PNV</t>
        </is>
      </c>
      <c r="F21" s="9" t="inlineStr">
        <is>
          <t>Verify system bao error khi blank truong Email supervisor PNV.</t>
        </is>
      </c>
      <c r="G21" s="9" t="inlineStr">
        <is>
          <t>User is logged in as Student.
Currently on new report creation interface.</t>
        </is>
      </c>
      <c r="H21" s="9" t="inlineStr">
        <is>
          <t>PnvSupervisorEmail=""; Cac truong khac deu hop le</t>
        </is>
      </c>
      <c r="I21" s="9" t="inlineStr">
        <is>
          <t>1. Dien day du thong tin hop le tru truong Email supervisor PNV blank.
2. Nhap nut "Submit" va xac nhan.</t>
        </is>
      </c>
      <c r="J21" s="9" t="inlineStr">
        <is>
          <t>System bao error requires enter Email supervisor PNV (e.g.: "PNV Supervisor Email is required").
Bao cao khong duoc submit.</t>
        </is>
      </c>
      <c r="K21" s="9" t="inlineStr"/>
      <c r="L21" s="5" t="inlineStr">
        <is>
          <t>Not Run</t>
        </is>
      </c>
      <c r="M21" s="6" t="inlineStr">
        <is>
          <t>High</t>
        </is>
      </c>
      <c r="N21" s="9" t="inlineStr">
        <is>
          <t>Related to Validation Rules (Section 7), Error Handling (Section 8)</t>
        </is>
      </c>
    </row>
    <row r="22" ht="75" customHeight="1">
      <c r="A22" s="2" t="inlineStr">
        <is>
          <t>TC-M06-021</t>
        </is>
      </c>
      <c r="B22" s="2" t="inlineStr">
        <is>
          <t>Module 06 – Bi-Weekly Internship Reports</t>
        </is>
      </c>
      <c r="C22" s="3" t="inlineStr">
        <is>
          <t>M06-F03</t>
        </is>
      </c>
      <c r="D22" s="4" t="inlineStr">
        <is>
          <t>Submission Validation</t>
        </is>
      </c>
      <c r="E22" s="4" t="inlineStr">
        <is>
          <t>Submit report failed do email nguoi supervisor PNV sai format</t>
        </is>
      </c>
      <c r="F22" s="4" t="inlineStr">
        <is>
          <t>Verify system bao error khi enter email supervisor PNV khong dung format.</t>
        </is>
      </c>
      <c r="G22" s="4" t="inlineStr">
        <is>
          <t>User is logged in as Student.
Currently on new report creation interface.</t>
        </is>
      </c>
      <c r="H22" s="4" t="inlineStr">
        <is>
          <t>PnvSupervisorEmail="pnv.sup"; Cac truong khac deu hop le</t>
        </is>
      </c>
      <c r="I22" s="4" t="inlineStr">
        <is>
          <t>1. Dien day du thong tin hop le tru truong Email supervisor PNV enter la "pnv.sup".
2. Nhap nut "Submit" va xac nhan.</t>
        </is>
      </c>
      <c r="J22" s="4" t="inlineStr">
        <is>
          <t>System bao error format Email supervisor PNV khong hop le (e.g.: "Invalid PNV Supervisor Email format").
Bao cao khong duoc submit.</t>
        </is>
      </c>
      <c r="K22" s="4" t="inlineStr"/>
      <c r="L22" s="5" t="inlineStr">
        <is>
          <t>Not Run</t>
        </is>
      </c>
      <c r="M22" s="6" t="inlineStr">
        <is>
          <t>High</t>
        </is>
      </c>
      <c r="N22" s="4" t="inlineStr">
        <is>
          <t>Related to Validation Rules (Section 7), Error Handling (Section 8)</t>
        </is>
      </c>
    </row>
    <row r="23" ht="75" customHeight="1">
      <c r="A23" s="7" t="inlineStr">
        <is>
          <t>TC-M06-022</t>
        </is>
      </c>
      <c r="B23" s="7" t="inlineStr">
        <is>
          <t>Module 06 – Bi-Weekly Internship Reports</t>
        </is>
      </c>
      <c r="C23" s="8" t="inlineStr">
        <is>
          <t>M06-F03</t>
        </is>
      </c>
      <c r="D23" s="9" t="inlineStr">
        <is>
          <t>Submission Validation</t>
        </is>
      </c>
      <c r="E23" s="9" t="inlineStr">
        <is>
          <t>Submit report failed do blank email nguoi supervisor company</t>
        </is>
      </c>
      <c r="F23" s="9" t="inlineStr">
        <is>
          <t>Verify system bao error khi blank truong Email supervisor company.</t>
        </is>
      </c>
      <c r="G23" s="9" t="inlineStr">
        <is>
          <t>User is logged in as Student.
Currently on new report creation interface.</t>
        </is>
      </c>
      <c r="H23" s="9" t="inlineStr">
        <is>
          <t>CompanySupervisorEmail=""; Cac truong khac deu hop le</t>
        </is>
      </c>
      <c r="I23" s="9" t="inlineStr">
        <is>
          <t>1. Dien day du thong tin hop le tru truong Email supervisor company blank.
2. Nhap nut "Submit" va xac nhan.</t>
        </is>
      </c>
      <c r="J23" s="9" t="inlineStr">
        <is>
          <t>System bao error requires co it nhat mot email supervisor company (e.g.: "Company Supervisor Email is required").
Bao cao khong duoc submit.</t>
        </is>
      </c>
      <c r="K23" s="9" t="inlineStr"/>
      <c r="L23" s="5" t="inlineStr">
        <is>
          <t>Not Run</t>
        </is>
      </c>
      <c r="M23" s="6" t="inlineStr">
        <is>
          <t>High</t>
        </is>
      </c>
      <c r="N23" s="9" t="inlineStr">
        <is>
          <t>TRUNG LAP. Test case nay trung lap voi requires "At least one valid email address" da duoc kiem tra. Nen duoc loai bo.</t>
        </is>
      </c>
    </row>
    <row r="24" ht="75" customHeight="1">
      <c r="A24" s="2" t="inlineStr">
        <is>
          <t>TC-M06-023</t>
        </is>
      </c>
      <c r="B24" s="2" t="inlineStr">
        <is>
          <t>Module 06 – Bi-Weekly Internship Reports</t>
        </is>
      </c>
      <c r="C24" s="3" t="inlineStr">
        <is>
          <t>M06-F03</t>
        </is>
      </c>
      <c r="D24" s="4" t="inlineStr">
        <is>
          <t>Submission Validation</t>
        </is>
      </c>
      <c r="E24" s="4" t="inlineStr">
        <is>
          <t>Submit report failed do email nguoi supervisor company sai format</t>
        </is>
      </c>
      <c r="F24" s="4" t="inlineStr">
        <is>
          <t>Verify system bao error khi enter email supervisor company khong dung format email.</t>
        </is>
      </c>
      <c r="G24" s="4" t="inlineStr">
        <is>
          <t>User is logged in as Student.
Currently on new report creation interface.</t>
        </is>
      </c>
      <c r="H24" s="4" t="inlineStr">
        <is>
          <t>CompanySupervisorEmail="company.sup@"; Cac truong khac deu hop le</t>
        </is>
      </c>
      <c r="I24" s="4" t="inlineStr">
        <is>
          <t>1. Dien day du thong tin hop le tru truong Email supervisor company enter la "company.sup@".
2. Nhap nut "Submit" va xac nhan.</t>
        </is>
      </c>
      <c r="J24" s="4" t="inlineStr">
        <is>
          <t>System bao error format Email supervisor company khong hop le (e.g.: "Invalid Company Supervisor Email format").
Bao cao khong duoc submit.</t>
        </is>
      </c>
      <c r="K24" s="4" t="inlineStr"/>
      <c r="L24" s="5" t="inlineStr">
        <is>
          <t>Not Run</t>
        </is>
      </c>
      <c r="M24" s="6" t="inlineStr">
        <is>
          <t>High</t>
        </is>
      </c>
      <c r="N24" s="4" t="inlineStr">
        <is>
          <t>Related to Validation Rules (Section 7), Error Handling (Section 8)</t>
        </is>
      </c>
    </row>
    <row r="25" ht="60" customHeight="1">
      <c r="A25" s="7" t="inlineStr">
        <is>
          <t>TC-M06-024</t>
        </is>
      </c>
      <c r="B25" s="7" t="inlineStr">
        <is>
          <t>Module 06 – Bi-Weekly Internship Reports</t>
        </is>
      </c>
      <c r="C25" s="8" t="inlineStr">
        <is>
          <t>M06-F03</t>
        </is>
      </c>
      <c r="D25" s="9" t="inlineStr">
        <is>
          <t>Submission Validation</t>
        </is>
      </c>
      <c r="E25" s="9" t="inlineStr">
        <is>
          <t>Submit report failed do blank phan mo ta kho khan (Challenges)</t>
        </is>
      </c>
      <c r="F25" s="9" t="inlineStr">
        <is>
          <t>Verify system bao error khi truong Kho khan gap phai (Challenges) bi bo trong khi submit.</t>
        </is>
      </c>
      <c r="G25" s="9" t="inlineStr">
        <is>
          <t>User is logged in as Student.
Currently on new report creation interface.</t>
        </is>
      </c>
      <c r="H25" s="9" t="inlineStr">
        <is>
          <t>Challenges=""; Cac truong khac deu hop le</t>
        </is>
      </c>
      <c r="I25" s="9" t="inlineStr">
        <is>
          <t>1. Dien day du thong tin hop le tru truong Kho khan blank.
2. Nhap nut "Submit" va xac nhan.</t>
        </is>
      </c>
      <c r="J25" s="9" t="inlineStr">
        <is>
          <t>System bao error requires enter Kho khan gap phai (e.g.: "Challenges field is required").
Bao cao khong duoc submit.</t>
        </is>
      </c>
      <c r="K25" s="9" t="inlineStr"/>
      <c r="L25" s="5" t="inlineStr">
        <is>
          <t>Not Run</t>
        </is>
      </c>
      <c r="M25" s="6" t="inlineStr">
        <is>
          <t>High</t>
        </is>
      </c>
      <c r="N25" s="9" t="inlineStr">
        <is>
          <t>Related to Validation Rules (Section 7), Error Handling (Section 8)</t>
        </is>
      </c>
    </row>
    <row r="26" ht="60" customHeight="1">
      <c r="A26" s="2" t="inlineStr">
        <is>
          <t>TC-M06-025</t>
        </is>
      </c>
      <c r="B26" s="2" t="inlineStr">
        <is>
          <t>Module 06 – Bi-Weekly Internship Reports</t>
        </is>
      </c>
      <c r="C26" s="3" t="inlineStr">
        <is>
          <t>M06-F03</t>
        </is>
      </c>
      <c r="D26" s="4" t="inlineStr">
        <is>
          <t>Submission Validation</t>
        </is>
      </c>
      <c r="E26" s="4" t="inlineStr">
        <is>
          <t>Submit report failed do blank phan ho tro can thiet (Support Needed)</t>
        </is>
      </c>
      <c r="F26" s="4" t="inlineStr">
        <is>
          <t>Verify system bao error khi truong Ho tro can thiet (Support Needed) bi bo trong khi submit.</t>
        </is>
      </c>
      <c r="G26" s="4" t="inlineStr">
        <is>
          <t>User is logged in as Student.
Currently on new report creation interface.</t>
        </is>
      </c>
      <c r="H26" s="4" t="inlineStr">
        <is>
          <t>SupportNeeded=""; Cac truong khac deu hop le</t>
        </is>
      </c>
      <c r="I26" s="4" t="inlineStr">
        <is>
          <t>1. Dien day du thong tin hop le tru truong Ho tro can thiet blank.
2. Nhap nut "Submit" va xac nhan.</t>
        </is>
      </c>
      <c r="J26" s="4" t="inlineStr">
        <is>
          <t>System bao error requires enter Ho tro can thiet (e.g.: "Support Needed field is required").
Bao cao khong duoc submit.</t>
        </is>
      </c>
      <c r="K26" s="4" t="inlineStr"/>
      <c r="L26" s="5" t="inlineStr">
        <is>
          <t>Not Run</t>
        </is>
      </c>
      <c r="M26" s="6" t="inlineStr">
        <is>
          <t>High</t>
        </is>
      </c>
      <c r="N26" s="4" t="inlineStr">
        <is>
          <t>Related to Validation Rules (Section 7), Error Handling (Section 8)</t>
        </is>
      </c>
    </row>
    <row r="27" ht="90" customHeight="1">
      <c r="A27" s="7" t="inlineStr">
        <is>
          <t>TC-M06-026</t>
        </is>
      </c>
      <c r="B27" s="7" t="inlineStr">
        <is>
          <t>Module 06 – Bi-Weekly Internship Reports</t>
        </is>
      </c>
      <c r="C27" s="8" t="inlineStr">
        <is>
          <t>M06-F03</t>
        </is>
      </c>
      <c r="D27" s="9" t="inlineStr">
        <is>
          <t>Submission Validation</t>
        </is>
      </c>
      <c r="E27" s="9" t="inlineStr">
        <is>
          <t>Huy xac nhan submit report</t>
        </is>
      </c>
      <c r="F27" s="9" t="inlineStr">
        <is>
          <t>Dam bao system khong submit report neu user click button Huy (Cancel) tren hop thoai xac nhan submit.</t>
        </is>
      </c>
      <c r="G27" s="9" t="inlineStr">
        <is>
          <t>User is logged in as Student.
Dang o interface create report va da enter day du thong tin hop le.</t>
        </is>
      </c>
      <c r="H27" s="9" t="inlineStr">
        <is>
          <t>Cac thong tin hop le</t>
        </is>
      </c>
      <c r="I27" s="9" t="inlineStr">
        <is>
          <t>1. Nhap nut "Submit".
2. Khi hop thoai xac nhan "Submit Report" hien len, click button "Cancel" (Huy) hoac nut dong hop thoai.</t>
        </is>
      </c>
      <c r="J27" s="9" t="inlineStr">
        <is>
          <t>Hop thoai dong lai.
Bao cao khong duoc submit va status van la draft hoac chua save.
Nguoi dung van can tiep tuc edit report.</t>
        </is>
      </c>
      <c r="K27" s="9" t="inlineStr"/>
      <c r="L27" s="5" t="inlineStr">
        <is>
          <t>Not Run</t>
        </is>
      </c>
      <c r="M27" s="10" t="inlineStr">
        <is>
          <t>Medium</t>
        </is>
      </c>
      <c r="N27" s="9" t="inlineStr">
        <is>
          <t>Related to Rule 6.3, Workflow</t>
        </is>
      </c>
    </row>
    <row r="28" ht="105" customHeight="1">
      <c r="A28" s="2" t="inlineStr">
        <is>
          <t>TC-M06-027</t>
        </is>
      </c>
      <c r="B28" s="2" t="inlineStr">
        <is>
          <t>Module 06 – Bi-Weekly Internship Reports</t>
        </is>
      </c>
      <c r="C28" s="3" t="inlineStr">
        <is>
          <t>M06-F07</t>
        </is>
      </c>
      <c r="D28" s="4" t="inlineStr">
        <is>
          <t>Report Submission</t>
        </is>
      </c>
      <c r="E28" s="4" t="inlineStr">
        <is>
          <t>Bao cao da submit chuyen sang status chi doc mai mai</t>
        </is>
      </c>
      <c r="F28" s="4" t="inlineStr">
        <is>
          <t>Dam bao report sau khi submit (Submitted) se bi khoa, cannot edit hay delete boi student.</t>
        </is>
      </c>
      <c r="G28" s="4" t="inlineStr">
        <is>
          <t>User is logged in as Student.
Co mot report trong danh sach da o status "Submitted".</t>
        </is>
      </c>
      <c r="H28" s="4" t="inlineStr">
        <is>
          <t>ReportStatus="Submitted"</t>
        </is>
      </c>
      <c r="I28" s="4" t="inlineStr">
        <is>
          <t>1. Mo xem chi tiet report da submit.
2. Verify su xuat hien cua nut "Edit" (Edit), "Save" (Save), hoac "Delete" (Delete).
3. Thu click dup hoac thay doi noi dung cac truong thong tin.</t>
        </is>
      </c>
      <c r="J28" s="4" t="inlineStr">
        <is>
          <t>Nut "Edit" va "Save as Draft" not displayed.
Tat ca cac truong thong tin deu o status chi doc (disabled/read-only).
Hoc vien cannot sua doi bat ky du lieu nao.</t>
        </is>
      </c>
      <c r="K28" s="4" t="inlineStr"/>
      <c r="L28" s="5" t="inlineStr">
        <is>
          <t>Not Run</t>
        </is>
      </c>
      <c r="M28" s="6" t="inlineStr">
        <is>
          <t>High</t>
        </is>
      </c>
      <c r="N28" s="4" t="inlineStr">
        <is>
          <t>Related to M06-F07, Rule 6.3, Rule 6.11</t>
        </is>
      </c>
    </row>
    <row r="29" ht="180" customHeight="1">
      <c r="A29" s="7" t="inlineStr">
        <is>
          <t>TC-M06-028</t>
        </is>
      </c>
      <c r="B29" s="7" t="inlineStr">
        <is>
          <t>Module 06 – Bi-Weekly Internship Reports</t>
        </is>
      </c>
      <c r="C29" s="8" t="inlineStr">
        <is>
          <t>M06-F08</t>
        </is>
      </c>
      <c r="D29" s="9" t="inlineStr">
        <is>
          <t>Automatic Email Notification</t>
        </is>
      </c>
      <c r="E29" s="9" t="inlineStr">
        <is>
          <t>Gui email notification tu dong khi submit report successfully</t>
        </is>
      </c>
      <c r="F29" s="9" t="inlineStr">
        <is>
          <t>Verify whether system co tu dong gui email voi dung format va dung doi tuong sau khi submit report hay khong.</t>
        </is>
      </c>
      <c r="G29" s="9" t="inlineStr">
        <is>
          <t>Nguoi dung da log in voi quyen Student ten "Nguyen Van A", lop "PNV26A", lam viec tai company "TechCorp".
System ket noi email hoat dong binh thuong.</t>
        </is>
      </c>
      <c r="H29" s="9" t="inlineStr">
        <is>
          <t>StudentName="Nguyen Van A"; BatchName="PNV26A"; Company="TechCorp"; PnvSupervisorEmail="pnv.sup@passerellesnumeriques.org"; CompanySupervisorEmail="company.sup@example.com"; StudentEmail="student01@student.passerellesnumeriques.org"; StartDate="2026-07-20"; EndDate="2026-08-02"</t>
        </is>
      </c>
      <c r="I29" s="9" t="inlineStr">
        <is>
          <t>1. Dien day du thong tin report cua student "Nguyen Van A" lam viec tai "TechCorp" tu ngay "2026-07-20" den "2026-08-02".
2. Nhap nut "Submit" va xac nhan submit report.
3. Verify email nhan duoc tu account PNV Supervisor, Company Supervisor va student.</t>
        </is>
      </c>
      <c r="J29" s="9" t="inlineStr">
        <is>
          <t>1. Bao cao submit successfully.
2. Email duoc tu dong gui den dia chi "pnv.sup@passerellesnumeriques.org" va "company.sup@example.com".
3. Email duoc gui CC cho "student01@student.passerellesnumeriques.org" va "ero.vietnam@passerellesnumeriques.org".
4. Tieu de email co format chinh xac: "[PNV26A] [Bi-Weekly Internship Report] Nguyen Van A - TechCorp (Period: 20/07 – 02/08)"</t>
        </is>
      </c>
      <c r="K29" s="9" t="inlineStr"/>
      <c r="L29" s="5" t="inlineStr">
        <is>
          <t>Not Run</t>
        </is>
      </c>
      <c r="M29" s="6" t="inlineStr">
        <is>
          <t>High</t>
        </is>
      </c>
      <c r="N29" s="9" t="inlineStr">
        <is>
          <t>Related to M06-F08, Rule 6.10</t>
        </is>
      </c>
    </row>
    <row r="30" ht="120" customHeight="1">
      <c r="A30" s="2" t="inlineStr">
        <is>
          <t>TC-M06-029</t>
        </is>
      </c>
      <c r="B30" s="2" t="inlineStr">
        <is>
          <t>Module 06 – Bi-Weekly Internship Reports</t>
        </is>
      </c>
      <c r="C30" s="3" t="inlineStr">
        <is>
          <t>M06-F08</t>
        </is>
      </c>
      <c r="D30" s="4" t="inlineStr">
        <is>
          <t>Automatic Email Notification</t>
        </is>
      </c>
      <c r="E30" s="4" t="inlineStr">
        <is>
          <t>Xu ly error khi gui email notification failed</t>
        </is>
      </c>
      <c r="F30" s="4" t="inlineStr">
        <is>
          <t>Dam bao system van ghi nhan submit report successfully va display cphoto bao neu qua trinh gui email tu dong bi error.</t>
        </is>
      </c>
      <c r="G30" s="4" t="inlineStr">
        <is>
          <t>User is logged in as Student.
System email bi error ket noi hoac account gui bi chan.</t>
        </is>
      </c>
      <c r="H30" s="4" t="inlineStr">
        <is>
          <t>Cac thong tin hop le</t>
        </is>
      </c>
      <c r="I30" s="4" t="inlineStr">
        <is>
          <t>1. Dien day du thong tin report hop le.
2. Nhap nut "Submit" va xac nhan submit report.</t>
        </is>
      </c>
      <c r="J30" s="4" t="inlineStr">
        <is>
          <t>System display cphoto bao error gui email (e.g.: "Email notification failed: [Reason]").
Bao cao van duoc submit successfully va status chuyen sang "Submitted" binh thuong.
Du lieu report bi khoa thanh chi doc.</t>
        </is>
      </c>
      <c r="K30" s="4" t="inlineStr"/>
      <c r="L30" s="5" t="inlineStr">
        <is>
          <t>Not Run</t>
        </is>
      </c>
      <c r="M30" s="6" t="inlineStr">
        <is>
          <t>High</t>
        </is>
      </c>
      <c r="N30" s="4" t="inlineStr">
        <is>
          <t>Related to Rule 6.11, Error Handling (Section 8)</t>
        </is>
      </c>
    </row>
    <row r="31" ht="120" customHeight="1">
      <c r="A31" s="7" t="inlineStr">
        <is>
          <t>TC-M06-030</t>
        </is>
      </c>
      <c r="B31" s="7" t="inlineStr">
        <is>
          <t>Module 06 – Bi-Weekly Internship Reports</t>
        </is>
      </c>
      <c r="C31" s="8" t="inlineStr">
        <is>
          <t>M06-F09</t>
        </is>
      </c>
      <c r="D31" s="9" t="inlineStr">
        <is>
          <t>Staff View of Student Reports</t>
        </is>
      </c>
      <c r="E31" s="9" t="inlineStr">
        <is>
          <t>Staff xem internship report cua student</t>
        </is>
      </c>
      <c r="F31" s="9" t="inlineStr">
        <is>
          <t>Verify whether account Staff can xem duoc noi dung chi tiet report da submit cua student hay khong.</t>
        </is>
      </c>
      <c r="G31" s="9" t="inlineStr">
        <is>
          <t>User is logged in as Staff.
Hoc vien "Nguyen Van A" da submit internship report.</t>
        </is>
      </c>
      <c r="H31" s="9" t="inlineStr">
        <is>
          <t>StudentName="Nguyen Van A"; ReportStatus="Submitted"</t>
        </is>
      </c>
      <c r="I31" s="9" t="inlineStr">
        <is>
          <t>1. Log in voi quyen Staff.
2. Truy cap vao trang chi tiet student "Nguyen Van A".
3. Tim phan Bao cao internship cua student.
4. Nhap vao xem chi tiet report da submit.</t>
        </is>
      </c>
      <c r="J31" s="9" t="inlineStr">
        <is>
          <t>Staff can xem day du noi dung chi tiet cua report student da submit.
Bao cao display chinh xac cac thong tin student da dien.</t>
        </is>
      </c>
      <c r="K31" s="9" t="inlineStr"/>
      <c r="L31" s="5" t="inlineStr">
        <is>
          <t>Not Run</t>
        </is>
      </c>
      <c r="M31" s="6" t="inlineStr">
        <is>
          <t>High</t>
        </is>
      </c>
      <c r="N31" s="9" t="inlineStr">
        <is>
          <t>Related to M06-F09, Rule 6.12</t>
        </is>
      </c>
    </row>
    <row r="32" ht="90" customHeight="1">
      <c r="A32" s="2" t="inlineStr">
        <is>
          <t>TC-M06-031</t>
        </is>
      </c>
      <c r="B32" s="2" t="inlineStr">
        <is>
          <t>Module 06 – Bi-Weekly Internship Reports</t>
        </is>
      </c>
      <c r="C32" s="3" t="inlineStr">
        <is>
          <t>M06-F09</t>
        </is>
      </c>
      <c r="D32" s="4" t="inlineStr">
        <is>
          <t>Staff View of Student Reports</t>
        </is>
      </c>
      <c r="E32" s="4" t="inlineStr">
        <is>
          <t>Staff cannot sua hoac delete report cua student</t>
        </is>
      </c>
      <c r="F32" s="4" t="inlineStr">
        <is>
          <t>Dam bao Staff chi co quyen xem (Read-only) va cannot thay doi thong tin hoac delete report cua student.</t>
        </is>
      </c>
      <c r="G32" s="4" t="inlineStr">
        <is>
          <t>User is logged in as Staff.
Dang o man hinh xem chi tiet report cua student "Nguyen Van A".</t>
        </is>
      </c>
      <c r="H32" s="4" t="inlineStr">
        <is>
          <t>StudentName="Nguyen Van A"</t>
        </is>
      </c>
      <c r="I32" s="4" t="inlineStr">
        <is>
          <t>1. Verify su xuat hien cua cac nut edit (Edit), save (Save), hoac delete (Delete) report.
2. Thu thay doi gia tri trong cac truong thong tin cua report student.</t>
        </is>
      </c>
      <c r="J32" s="4" t="inlineStr">
        <is>
          <t>Khong co bat ky nut hoac tuy select edit/delete nao display voi account Staff.
Tat ca cac truong thong tin deu bi khoa, cannot tuong tac thay doi gia tri.</t>
        </is>
      </c>
      <c r="K32" s="4" t="inlineStr"/>
      <c r="L32" s="5" t="inlineStr">
        <is>
          <t>Not Run</t>
        </is>
      </c>
      <c r="M32" s="6" t="inlineStr">
        <is>
          <t>High</t>
        </is>
      </c>
      <c r="N32" s="4" t="inlineStr">
        <is>
          <t>Related to Staff Access (Rule 6.12)</t>
        </is>
      </c>
    </row>
  </sheetData>
  <autoFilter ref="A1:N32"/>
  <dataValidations count="2">
    <dataValidation sqref="L2:L132" showDropDown="0" showInputMessage="0" showErrorMessage="0" allowBlank="1" errorTitle="Invalid Status" error="Please select a valid state: Passed, Failed, or Not Run" type="list">
      <formula1>"Passed,Failed,Not Run"</formula1>
    </dataValidation>
    <dataValidation sqref="M2:M132"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2026-07-22T09:41:07Z</dcterms:created>
  <dcterms:modified xmlns:dcterms="http://purl.org/dc/terms/" xmlns:xsi="http://www.w3.org/2001/XMLSchema-instance" xsi:type="dcterms:W3CDTF">2026-07-22T09:41:09Z</dcterms:modified>
</cp:coreProperties>
</file>