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Report" sheetId="1" state="visible" r:id="rId1"/>
    <sheet name="Module06" sheetId="2" state="visible" r:id="rId2"/>
  </sheets>
  <definedNames>
    <definedName name="_xlnm._FilterDatabase" localSheetId="1" hidden="1">'Module06'!$A$1:$N$30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color rgb="FF000000"/>
      <sz val="10"/>
    </font>
    <font>
      <name val="Segoe UI"/>
      <b val="1"/>
      <color rgb="FF1F4E78"/>
      <sz val="10"/>
    </font>
    <font>
      <name val="Segoe UI"/>
      <b val="1"/>
      <color rgb="FF137333"/>
      <sz val="10"/>
    </font>
    <font>
      <name val="Segoe UI"/>
      <b val="1"/>
      <color rgb="FFA50E0E"/>
      <sz val="10"/>
    </font>
    <font>
      <name val="Segoe UI"/>
      <b val="1"/>
      <color rgb="FFB06000"/>
      <sz val="10"/>
    </font>
    <font>
      <name val="Segoe UI"/>
      <b val="1"/>
      <color rgb="FF1F4E78"/>
      <sz val="16"/>
    </font>
    <font>
      <name val="Segoe UI"/>
      <i val="1"/>
      <color rgb="FF555555"/>
      <sz val="10"/>
    </font>
    <font>
      <name val="Segoe UI"/>
      <b val="1"/>
      <color rgb="FF000000"/>
      <sz val="10"/>
    </font>
    <font>
      <name val="Segoe UI"/>
      <b val="1"/>
      <color rgb="FF64748B"/>
      <sz val="9"/>
    </font>
    <font>
      <name val="Segoe UI"/>
      <b val="1"/>
      <color rgb="FF1E293B"/>
      <sz val="18"/>
    </font>
    <font>
      <name val="Segoe UI"/>
      <b val="1"/>
      <color rgb="FF1F4E78"/>
      <sz val="18"/>
    </font>
    <font>
      <name val="Segoe UI"/>
      <b val="1"/>
      <color rgb="FFA50E0E"/>
      <sz val="18"/>
    </font>
    <font>
      <name val="Segoe UI"/>
      <b val="1"/>
      <color rgb="FFB06000"/>
      <sz val="18"/>
    </font>
    <font>
      <name val="Segoe UI"/>
      <b val="1"/>
      <color rgb="FF137333"/>
      <sz val="18"/>
    </font>
    <font>
      <name val="Segoe UI"/>
      <b val="1"/>
      <color rgb="FF1F4E78"/>
      <sz val="12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16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6F4EA"/>
        <bgColor rgb="FFE6F4EA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EF7E0"/>
        <bgColor rgb="FFFEF7E0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17" fillId="0" borderId="0" pivotButton="0" quotePrefix="0" xfId="0"/>
    <xf numFmtId="0" fontId="18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27" fillId="12" borderId="3" applyAlignment="1" pivotButton="0" quotePrefix="0" xfId="0">
      <alignment horizontal="center" vertical="center"/>
    </xf>
    <xf numFmtId="0" fontId="28" fillId="11" borderId="3" applyAlignment="1" pivotButton="0" quotePrefix="0" xfId="0">
      <alignment horizontal="center" vertical="center"/>
    </xf>
    <xf numFmtId="0" fontId="29" fillId="13" borderId="3" applyAlignment="1" pivotButton="0" quotePrefix="0" xfId="0">
      <alignment horizontal="center" vertical="center"/>
    </xf>
    <xf numFmtId="0" fontId="30" fillId="14" borderId="3" applyAlignment="1" pivotButton="0" quotePrefix="0" xfId="0">
      <alignment horizontal="center" vertical="center"/>
    </xf>
    <xf numFmtId="0" fontId="31" fillId="15" borderId="3" applyAlignment="1" pivotButton="0" quotePrefix="0" xfId="0">
      <alignment horizontal="center" vertical="center"/>
    </xf>
    <xf numFmtId="0" fontId="32" fillId="0" borderId="0" pivotButton="0" quotePrefix="0" xfId="0"/>
    <xf numFmtId="0" fontId="19" fillId="9" borderId="3" applyAlignment="1" pivotButton="0" quotePrefix="0" xfId="0">
      <alignment horizontal="center" vertical="center"/>
    </xf>
    <xf numFmtId="0" fontId="19" fillId="9" borderId="3" applyAlignment="1" pivotButton="0" quotePrefix="0" xfId="0">
      <alignment horizontal="left" vertical="center"/>
    </xf>
    <xf numFmtId="0" fontId="21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horizontal="left" vertical="center"/>
    </xf>
    <xf numFmtId="0" fontId="22" fillId="10" borderId="3" applyAlignment="1" pivotButton="0" quotePrefix="0" xfId="0">
      <alignment horizontal="center" vertical="center"/>
    </xf>
    <xf numFmtId="0" fontId="23" fillId="10" borderId="3" applyAlignment="1" pivotButton="0" quotePrefix="0" xfId="0">
      <alignment horizontal="center" vertical="center"/>
    </xf>
    <xf numFmtId="0" fontId="24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/>
    </xf>
    <xf numFmtId="0" fontId="22" fillId="0" borderId="3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center" vertical="center"/>
    </xf>
    <xf numFmtId="0" fontId="25" fillId="11" borderId="4" applyAlignment="1" pivotButton="0" quotePrefix="0" xfId="0">
      <alignment horizontal="center" vertical="center"/>
    </xf>
    <xf numFmtId="0" fontId="25" fillId="11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6" t="inlineStr">
        <is>
          <t>Module 06 - Feature &amp; Priority Summary Report</t>
        </is>
      </c>
    </row>
    <row r="2">
      <c r="A2" s="37" t="inlineStr">
        <is>
          <t>Summary of test cases per feature, calculated via Excel formulas</t>
        </is>
      </c>
    </row>
    <row r="4" ht="18" customHeight="1">
      <c r="A4" s="38" t="inlineStr">
        <is>
          <t>Total Features</t>
        </is>
      </c>
      <c r="B4" s="38" t="inlineStr">
        <is>
          <t>Total Test Cases</t>
        </is>
      </c>
      <c r="C4" s="38" t="inlineStr">
        <is>
          <t>High Priority Features</t>
        </is>
      </c>
      <c r="D4" s="38" t="inlineStr">
        <is>
          <t>Medium Priority Features</t>
        </is>
      </c>
      <c r="E4" s="38" t="inlineStr">
        <is>
          <t>Low Priority Features</t>
        </is>
      </c>
    </row>
    <row r="5" ht="32" customHeight="1">
      <c r="A5" s="39">
        <f>COUNTA(A9:A16)</f>
        <v/>
      </c>
      <c r="B5" s="40">
        <f>F17</f>
        <v/>
      </c>
      <c r="C5" s="41">
        <f>COUNTIF(C9:C16, "&gt;0")</f>
        <v/>
      </c>
      <c r="D5" s="42">
        <f>COUNTIFS(C9:C16, 0, D9:D16, "&gt;0")</f>
        <v/>
      </c>
      <c r="E5" s="43">
        <f>COUNTIFS(C9:C16, 0, D9:D16, 0, E9:E16, "&gt;0")</f>
        <v/>
      </c>
    </row>
    <row r="7">
      <c r="A7" s="44" t="inlineStr">
        <is>
          <t>Feature Categorization &amp; Priority Breakdown</t>
        </is>
      </c>
    </row>
    <row r="8" ht="26" customHeight="1">
      <c r="A8" s="45" t="inlineStr">
        <is>
          <t>Feature ID</t>
        </is>
      </c>
      <c r="B8" s="46" t="inlineStr">
        <is>
          <t>Feature Name</t>
        </is>
      </c>
      <c r="C8" s="45" t="inlineStr">
        <is>
          <t>High Priority</t>
        </is>
      </c>
      <c r="D8" s="45" t="inlineStr">
        <is>
          <t>Medium Priority</t>
        </is>
      </c>
      <c r="E8" s="45" t="inlineStr">
        <is>
          <t>Low Priority</t>
        </is>
      </c>
      <c r="F8" s="45" t="inlineStr">
        <is>
          <t>Total TCs</t>
        </is>
      </c>
    </row>
    <row r="9" ht="22" customHeight="1">
      <c r="A9" s="47" t="inlineStr">
        <is>
          <t>M06-F01</t>
        </is>
      </c>
      <c r="B9" s="48" t="inlineStr">
        <is>
          <t>Report Creation</t>
        </is>
      </c>
      <c r="C9" s="49">
        <f>COUNTIFS('Module06'!$C$2:$C$30, A9, 'Module06'!$M$2:$M$30, "High")</f>
        <v/>
      </c>
      <c r="D9" s="50">
        <f>COUNTIFS('Module06'!$C$2:$C$30, A9, 'Module06'!$M$2:$M$30, "Medium")</f>
        <v/>
      </c>
      <c r="E9" s="51">
        <f>COUNTIFS('Module06'!$C$2:$C$30, A9, 'Module06'!$M$2:$M$30, "Low")</f>
        <v/>
      </c>
      <c r="F9" s="52">
        <f>SUM(C9:E9)</f>
        <v/>
      </c>
    </row>
    <row r="10" ht="22" customHeight="1">
      <c r="A10" s="53" t="inlineStr">
        <is>
          <t>M06-F02</t>
        </is>
      </c>
      <c r="B10" s="54" t="inlineStr">
        <is>
          <t>Draft Saving &amp; Editing</t>
        </is>
      </c>
      <c r="C10" s="55">
        <f>COUNTIFS('Module06'!$C$2:$C$30, A10, 'Module06'!$M$2:$M$30, "High")</f>
        <v/>
      </c>
      <c r="D10" s="56">
        <f>COUNTIFS('Module06'!$C$2:$C$30, A10, 'Module06'!$M$2:$M$30, "Medium")</f>
        <v/>
      </c>
      <c r="E10" s="57">
        <f>COUNTIFS('Module06'!$C$2:$C$30, A10, 'Module06'!$M$2:$M$30, "Low")</f>
        <v/>
      </c>
      <c r="F10" s="58">
        <f>SUM(C10:E10)</f>
        <v/>
      </c>
    </row>
    <row r="11" ht="22" customHeight="1">
      <c r="A11" s="47" t="inlineStr">
        <is>
          <t>M06-F03</t>
        </is>
      </c>
      <c r="B11" s="48" t="inlineStr">
        <is>
          <t>Automatic Date Calculation</t>
        </is>
      </c>
      <c r="C11" s="49">
        <f>COUNTIFS('Module06'!$C$2:$C$30, A11, 'Module06'!$M$2:$M$30, "High")</f>
        <v/>
      </c>
      <c r="D11" s="50">
        <f>COUNTIFS('Module06'!$C$2:$C$30, A11, 'Module06'!$M$2:$M$30, "Medium")</f>
        <v/>
      </c>
      <c r="E11" s="51">
        <f>COUNTIFS('Module06'!$C$2:$C$30, A11, 'Module06'!$M$2:$M$30, "Low")</f>
        <v/>
      </c>
      <c r="F11" s="52">
        <f>SUM(C11:E11)</f>
        <v/>
      </c>
    </row>
    <row r="12" ht="22" customHeight="1">
      <c r="A12" s="53" t="inlineStr">
        <is>
          <t>M06-F04</t>
        </is>
      </c>
      <c r="B12" s="54" t="inlineStr">
        <is>
          <t>Dynamic Task Table Management</t>
        </is>
      </c>
      <c r="C12" s="55">
        <f>COUNTIFS('Module06'!$C$2:$C$30, A12, 'Module06'!$M$2:$M$30, "High")</f>
        <v/>
      </c>
      <c r="D12" s="56">
        <f>COUNTIFS('Module06'!$C$2:$C$30, A12, 'Module06'!$M$2:$M$30, "Medium")</f>
        <v/>
      </c>
      <c r="E12" s="57">
        <f>COUNTIFS('Module06'!$C$2:$C$30, A12, 'Module06'!$M$2:$M$30, "Low")</f>
        <v/>
      </c>
      <c r="F12" s="58">
        <f>SUM(C12:E12)</f>
        <v/>
      </c>
    </row>
    <row r="13" ht="22" customHeight="1">
      <c r="A13" s="47" t="inlineStr">
        <is>
          <t>M06-F05</t>
        </is>
      </c>
      <c r="B13" s="48" t="inlineStr">
        <is>
          <t>Working Hours Calculation</t>
        </is>
      </c>
      <c r="C13" s="49">
        <f>COUNTIFS('Module06'!$C$2:$C$30, A13, 'Module06'!$M$2:$M$30, "High")</f>
        <v/>
      </c>
      <c r="D13" s="50">
        <f>COUNTIFS('Module06'!$C$2:$C$30, A13, 'Module06'!$M$2:$M$30, "Medium")</f>
        <v/>
      </c>
      <c r="E13" s="51">
        <f>COUNTIFS('Module06'!$C$2:$C$30, A13, 'Module06'!$M$2:$M$30, "Low")</f>
        <v/>
      </c>
      <c r="F13" s="52">
        <f>SUM(C13:E13)</f>
        <v/>
      </c>
    </row>
    <row r="14" ht="22" customHeight="1">
      <c r="A14" s="53" t="inlineStr">
        <is>
          <t>M06-F06</t>
        </is>
      </c>
      <c r="B14" s="54" t="inlineStr">
        <is>
          <t>Report Submission</t>
        </is>
      </c>
      <c r="C14" s="55">
        <f>COUNTIFS('Module06'!$C$2:$C$30, A14, 'Module06'!$M$2:$M$30, "High")</f>
        <v/>
      </c>
      <c r="D14" s="56">
        <f>COUNTIFS('Module06'!$C$2:$C$30, A14, 'Module06'!$M$2:$M$30, "Medium")</f>
        <v/>
      </c>
      <c r="E14" s="57">
        <f>COUNTIFS('Module06'!$C$2:$C$30, A14, 'Module06'!$M$2:$M$30, "Low")</f>
        <v/>
      </c>
      <c r="F14" s="58">
        <f>SUM(C14:E14)</f>
        <v/>
      </c>
    </row>
    <row r="15" ht="22" customHeight="1">
      <c r="A15" s="47" t="inlineStr">
        <is>
          <t>M06-F07</t>
        </is>
      </c>
      <c r="B15" s="48" t="inlineStr">
        <is>
          <t>Read-only Submitted Reports</t>
        </is>
      </c>
      <c r="C15" s="49">
        <f>COUNTIFS('Module06'!$C$2:$C$30, A15, 'Module06'!$M$2:$M$30, "High")</f>
        <v/>
      </c>
      <c r="D15" s="50">
        <f>COUNTIFS('Module06'!$C$2:$C$30, A15, 'Module06'!$M$2:$M$30, "Medium")</f>
        <v/>
      </c>
      <c r="E15" s="51">
        <f>COUNTIFS('Module06'!$C$2:$C$30, A15, 'Module06'!$M$2:$M$30, "Low")</f>
        <v/>
      </c>
      <c r="F15" s="52">
        <f>SUM(C15:E15)</f>
        <v/>
      </c>
    </row>
    <row r="16" ht="22" customHeight="1">
      <c r="A16" s="53" t="inlineStr">
        <is>
          <t>M06-F08</t>
        </is>
      </c>
      <c r="B16" s="54" t="inlineStr">
        <is>
          <t>Automated Email Notifications</t>
        </is>
      </c>
      <c r="C16" s="55">
        <f>COUNTIFS('Module06'!$C$2:$C$30, A16, 'Module06'!$M$2:$M$30, "High")</f>
        <v/>
      </c>
      <c r="D16" s="56">
        <f>COUNTIFS('Module06'!$C$2:$C$30, A16, 'Module06'!$M$2:$M$30, "Medium")</f>
        <v/>
      </c>
      <c r="E16" s="57">
        <f>COUNTIFS('Module06'!$C$2:$C$30, A16, 'Module06'!$M$2:$M$30, "Low")</f>
        <v/>
      </c>
      <c r="F16" s="58">
        <f>SUM(C16:E16)</f>
        <v/>
      </c>
    </row>
    <row r="17" ht="24" customHeight="1">
      <c r="A17" s="59" t="inlineStr">
        <is>
          <t>Total</t>
        </is>
      </c>
      <c r="B17" s="60">
        <f>COUNTA(A9:A16)&amp;" Features"</f>
        <v/>
      </c>
      <c r="C17" s="59">
        <f>SUM(C9:C16)</f>
        <v/>
      </c>
      <c r="D17" s="59">
        <f>SUM(D9:D16)</f>
        <v/>
      </c>
      <c r="E17" s="59">
        <f>SUM(E9:E16)</f>
        <v/>
      </c>
      <c r="F17" s="59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tabSelected="1" topLeftCell="A142" workbookViewId="0">
      <selection activeCell="E21" sqref="E21"/>
    </sheetView>
  </sheetViews>
  <sheetFormatPr baseColWidth="8" defaultRowHeight="15"/>
  <cols>
    <col width="15" customWidth="1" min="1" max="1"/>
    <col width="14" customWidth="1" min="2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7.95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90" customHeight="1">
      <c r="A2" s="2" t="inlineStr">
        <is>
          <t>TC-M06-001</t>
        </is>
      </c>
      <c r="B2" s="2" t="inlineStr">
        <is>
          <t>Module 06 - Bi-Weekly Internship Reports</t>
        </is>
      </c>
      <c r="C2" s="3" t="inlineStr">
        <is>
          <t>M06-F01</t>
        </is>
      </c>
      <c r="D2" s="4" t="inlineStr">
        <is>
          <t>Report Creation</t>
        </is>
      </c>
      <c r="E2" s="4" t="inlineStr">
        <is>
          <t>Create New Report by Student in Active Internship Group</t>
        </is>
      </c>
      <c r="F2" s="4" t="inlineStr">
        <is>
          <t>Verify button visibility and interface opening for creating a new report when student belongs to an active (On-going) internship group.</t>
        </is>
      </c>
      <c r="G2" s="4" t="inlineStr">
        <is>
          <t>User is logged in as Student.
Student belongs to an internship group with status "On-going".
Currently on Student Portal interface.</t>
        </is>
      </c>
      <c r="H2" s="4" t="inlineStr">
        <is>
          <t>StudentEmail="student1@student.passerellesnumeriques.org"; GroupStatus="On-going"</t>
        </is>
      </c>
      <c r="I2" s="4" t="inlineStr">
        <is>
          <t>1. Access Student Portal;
2. Click Create Internship Report button;
3. Observe interface.</t>
        </is>
      </c>
      <c r="J2" s="4" t="inlineStr">
        <is>
          <t>Create Internship Report button is displayed and clickable.
System opens report submission interface with auto-filled student profile info.</t>
        </is>
      </c>
      <c r="K2" s="4" t="inlineStr">
        <is>
          <t>Create Internship Report button was displayed. System opened report submission interface with auto-filled student profile info as expected.</t>
        </is>
      </c>
      <c r="L2" s="5" t="inlineStr">
        <is>
          <t>Passed</t>
        </is>
      </c>
      <c r="M2" s="6" t="inlineStr">
        <is>
          <t>High</t>
        </is>
      </c>
      <c r="N2" s="4" t="inlineStr">
        <is>
          <t>Related Requirement: M06-F01, Business Rules 6.1</t>
        </is>
      </c>
    </row>
    <row r="3" ht="90" customHeight="1">
      <c r="A3" s="7" t="inlineStr">
        <is>
          <t>TC-M06-002</t>
        </is>
      </c>
      <c r="B3" s="7" t="inlineStr">
        <is>
          <t>Module 06 - Bi-Weekly Internship Reports</t>
        </is>
      </c>
      <c r="C3" s="8" t="inlineStr">
        <is>
          <t>M06-F01</t>
        </is>
      </c>
      <c r="D3" s="9" t="inlineStr">
        <is>
          <t>Report Creation</t>
        </is>
      </c>
      <c r="E3" s="9" t="inlineStr">
        <is>
          <t>Prevent Creating New Report for Student in Completed Internship Group</t>
        </is>
      </c>
      <c r="F3" s="9" t="inlineStr">
        <is>
          <t>Verify system hides Create Internship Report button if student belongs to a completed internship group.</t>
        </is>
      </c>
      <c r="G3" s="9" t="inlineStr">
        <is>
          <t>User is logged in as Student.
Student belongs to an internship group with status "Completed".
Currently on Student Portal interface.</t>
        </is>
      </c>
      <c r="H3" s="9" t="inlineStr">
        <is>
          <t>StudentEmail="student2@student.passerellesnumeriques.org"; GroupStatus="Completed"</t>
        </is>
      </c>
      <c r="I3" s="9" t="inlineStr">
        <is>
          <t>1. Access Student Portal;
2. Observe interface.</t>
        </is>
      </c>
      <c r="J3" s="9" t="inlineStr">
        <is>
          <t>Create Internship Report button is hidden or disabled.
Student cannot open report creation interface.</t>
        </is>
      </c>
      <c r="K3" s="9" t="inlineStr">
        <is>
          <t>Create Internship Report button was hidden for student in completed group. Student could not open creation interface.</t>
        </is>
      </c>
      <c r="L3" s="5" t="inlineStr">
        <is>
          <t>Passed</t>
        </is>
      </c>
      <c r="M3" s="6" t="inlineStr">
        <is>
          <t>High</t>
        </is>
      </c>
      <c r="N3" s="9" t="inlineStr">
        <is>
          <t>Related Requirement: M06-F01, Business Rules 6.1</t>
        </is>
      </c>
    </row>
    <row r="4" ht="90" customHeight="1">
      <c r="A4" s="2" t="inlineStr">
        <is>
          <t>TC-M06-003</t>
        </is>
      </c>
      <c r="B4" s="2" t="inlineStr">
        <is>
          <t>Module 06 - Bi-Weekly Internship Reports</t>
        </is>
      </c>
      <c r="C4" s="3" t="inlineStr">
        <is>
          <t>M06-F01</t>
        </is>
      </c>
      <c r="D4" s="4" t="inlineStr">
        <is>
          <t>Report Creation</t>
        </is>
      </c>
      <c r="E4" s="4" t="inlineStr">
        <is>
          <t>Prevent Creating New Report for Student in Archived Internship Group</t>
        </is>
      </c>
      <c r="F4" s="4" t="inlineStr">
        <is>
          <t>Verify system hides Create Internship Report button if student belongs to an archived internship group.</t>
        </is>
      </c>
      <c r="G4" s="4" t="inlineStr">
        <is>
          <t>User is logged in as Student.
Student belongs to an internship group with status "Archived".
Currently on Student Portal interface.</t>
        </is>
      </c>
      <c r="H4" s="4" t="inlineStr">
        <is>
          <t>StudentEmail="student3@student.passerellesnumeriques.org"; GroupStatus="Archived"</t>
        </is>
      </c>
      <c r="I4" s="4" t="inlineStr">
        <is>
          <t>1. Access Student Portal;
2. Observe interface.</t>
        </is>
      </c>
      <c r="J4" s="4" t="inlineStr">
        <is>
          <t>Create Internship Report button is hidden or disabled.
Student cannot open report creation interface.</t>
        </is>
      </c>
      <c r="K4" s="4" t="inlineStr">
        <is>
          <t>Create Internship Report button was hidden for student in archived group. Student could not open creation interface.</t>
        </is>
      </c>
      <c r="L4" s="5" t="inlineStr">
        <is>
          <t>Passed</t>
        </is>
      </c>
      <c r="M4" s="6" t="inlineStr">
        <is>
          <t>High</t>
        </is>
      </c>
      <c r="N4" s="4" t="inlineStr">
        <is>
          <t>Related Requirement: M06-F01, Business Rules 6.1</t>
        </is>
      </c>
    </row>
    <row r="5" ht="60" customHeight="1">
      <c r="A5" s="7" t="inlineStr">
        <is>
          <t>TC-M06-004</t>
        </is>
      </c>
      <c r="B5" s="7" t="inlineStr">
        <is>
          <t>Module 06 - Bi-Weekly Internship Reports</t>
        </is>
      </c>
      <c r="C5" s="8" t="inlineStr">
        <is>
          <t>M06-F01</t>
        </is>
      </c>
      <c r="D5" s="9" t="inlineStr">
        <is>
          <t>Report Creation</t>
        </is>
      </c>
      <c r="E5" s="9" t="inlineStr">
        <is>
          <t>Prevent Creating New Report from Staff Account</t>
        </is>
      </c>
      <c r="F5" s="9" t="inlineStr">
        <is>
          <t>Verify system hides report creation feature from Staff role.</t>
        </is>
      </c>
      <c r="G5" s="9" t="inlineStr">
        <is>
          <t>User is logged in as Staff.
Currently on Internship Management interface.</t>
        </is>
      </c>
      <c r="H5" s="9" t="inlineStr">
        <is>
          <t>StaffEmail="staff@passerellesnumeriques.org"</t>
        </is>
      </c>
      <c r="I5" s="9" t="inlineStr">
        <is>
          <t>1. Access Internship Management interface;
2. Check for report submission options.</t>
        </is>
      </c>
      <c r="J5" s="9" t="inlineStr">
        <is>
          <t>Create Internship Report button is not present for Staff account.</t>
        </is>
      </c>
      <c r="K5" s="9" t="inlineStr">
        <is>
          <t>Create Internship Report button was not present when logged in with Staff account.</t>
        </is>
      </c>
      <c r="L5" s="5" t="inlineStr">
        <is>
          <t>Passed</t>
        </is>
      </c>
      <c r="M5" s="6" t="inlineStr">
        <is>
          <t>High</t>
        </is>
      </c>
      <c r="N5" s="9" t="inlineStr">
        <is>
          <t>Related Requirement: M06-F01, Business Rules 6.1</t>
        </is>
      </c>
    </row>
    <row r="6" ht="90" customHeight="1">
      <c r="A6" s="2" t="inlineStr">
        <is>
          <t>TC-M06-005</t>
        </is>
      </c>
      <c r="B6" s="2" t="inlineStr">
        <is>
          <t>Module 06 - Bi-Weekly Internship Reports</t>
        </is>
      </c>
      <c r="C6" s="3" t="inlineStr">
        <is>
          <t>M06-F02</t>
        </is>
      </c>
      <c r="D6" s="4" t="inlineStr">
        <is>
          <t>Draft Saving &amp; Editing</t>
        </is>
      </c>
      <c r="E6" s="4" t="inlineStr">
        <is>
          <t>Save Temporary Report as Draft</t>
        </is>
      </c>
      <c r="F6" s="4" t="inlineStr">
        <is>
          <t>Verify functionality for saving unfinished report as a draft.</t>
        </is>
      </c>
      <c r="G6" s="4" t="inlineStr">
        <is>
          <t>User is logged in as Student.
Currently on report creation interface.</t>
        </is>
      </c>
      <c r="H6" s="4" t="inlineStr">
        <is>
          <t>StartDate="2026-08-03"; Task1="Research documentation"</t>
        </is>
      </c>
      <c r="I6" s="4" t="inlineStr">
        <is>
          <t>1. Enter Start Date as "2026-08-03";
2. Enter task details;
3. Click Save Draft button.</t>
        </is>
      </c>
      <c r="J6" s="4" t="inlineStr">
        <is>
          <t>Report is saved with status Draft.
Success message "Draft saved successfully" appears.
Data is saved to database without triggering submit validation.</t>
        </is>
      </c>
      <c r="K6" s="4" t="inlineStr">
        <is>
          <t>Report was saved with status Draft. Success message "Draft saved successfully" appeared and data was saved without triggering submit validation.</t>
        </is>
      </c>
      <c r="L6" s="5" t="inlineStr">
        <is>
          <t>Passed</t>
        </is>
      </c>
      <c r="M6" s="6" t="inlineStr">
        <is>
          <t>High</t>
        </is>
      </c>
      <c r="N6" s="4" t="inlineStr">
        <is>
          <t>Related Requirement: M06-F02, Business Rules 6.2</t>
        </is>
      </c>
    </row>
    <row r="7" ht="90" customHeight="1">
      <c r="A7" s="7" t="inlineStr">
        <is>
          <t>TC-M06-006</t>
        </is>
      </c>
      <c r="B7" s="7" t="inlineStr">
        <is>
          <t>Module 06 - Bi-Weekly Internship Reports</t>
        </is>
      </c>
      <c r="C7" s="8" t="inlineStr">
        <is>
          <t>M06-F02</t>
        </is>
      </c>
      <c r="D7" s="9" t="inlineStr">
        <is>
          <t>Draft Saving &amp; Editing</t>
        </is>
      </c>
      <c r="E7" s="9" t="inlineStr">
        <is>
          <t>Edit Draft Report Unlimited Number of Times</t>
        </is>
      </c>
      <c r="F7" s="9" t="inlineStr">
        <is>
          <t>Verify student can reopen and edit draft report multiple times before submitting.</t>
        </is>
      </c>
      <c r="G7" s="9" t="inlineStr">
        <is>
          <t>User is logged in as Student.
Existing report with status Draft.</t>
        </is>
      </c>
      <c r="H7" s="9" t="inlineStr">
        <is>
          <t>UpdatedTask="Updated task documentation"</t>
        </is>
      </c>
      <c r="I7" s="9" t="inlineStr">
        <is>
          <t>1. Open draft report;
2. Update task details;
3. Click Save Draft button;
4. Repeat process multiple times.</t>
        </is>
      </c>
      <c r="J7" s="9" t="inlineStr">
        <is>
          <t>Draft report updates successfully every time without restriction.
Report status remains Draft.</t>
        </is>
      </c>
      <c r="K7" s="9" t="inlineStr">
        <is>
          <t>Draft report updated successfully upon multiple edits without restriction. Report status remained Draft.</t>
        </is>
      </c>
      <c r="L7" s="5" t="inlineStr">
        <is>
          <t>Passed</t>
        </is>
      </c>
      <c r="M7" s="6" t="inlineStr">
        <is>
          <t>High</t>
        </is>
      </c>
      <c r="N7" s="9" t="inlineStr">
        <is>
          <t>Related Requirement: M06-F02, Business Rules 6.2</t>
        </is>
      </c>
    </row>
    <row r="8" ht="90" customHeight="1">
      <c r="A8" s="2" t="inlineStr">
        <is>
          <t>TC-M06-007</t>
        </is>
      </c>
      <c r="B8" s="2" t="inlineStr">
        <is>
          <t>Module 06 - Bi-Weekly Internship Reports</t>
        </is>
      </c>
      <c r="C8" s="3" t="inlineStr">
        <is>
          <t>M06-F02</t>
        </is>
      </c>
      <c r="D8" s="4" t="inlineStr">
        <is>
          <t>Draft Saving &amp; Editing</t>
        </is>
      </c>
      <c r="E8" s="4" t="inlineStr">
        <is>
          <t>Draft Report Does Not Send Emails and Is Hidden from Staff</t>
        </is>
      </c>
      <c r="F8" s="4" t="inlineStr">
        <is>
          <t>Verify saving a draft does not send email notifications and draft is not visible to Staff.</t>
        </is>
      </c>
      <c r="G8" s="4" t="inlineStr">
        <is>
          <t>User is logged in as Student.
Draft report saved.</t>
        </is>
      </c>
      <c r="H8" s="4" t="inlineStr">
        <is>
          <t>ReportStatus="Draft"</t>
        </is>
      </c>
      <c r="I8" s="4" t="inlineStr">
        <is>
          <t>1. Save report as Draft;
2. Log in as Staff and check student report list;
3. Check email inbox of PNV and Company supervisors.</t>
        </is>
      </c>
      <c r="J8" s="4" t="inlineStr">
        <is>
          <t>No email notification is sent.
Draft report is hidden from Staff view.</t>
        </is>
      </c>
      <c r="K8" s="4" t="inlineStr">
        <is>
          <t>No email notifications were sent upon saving draft, and draft report remained hidden from Staff view.</t>
        </is>
      </c>
      <c r="L8" s="5" t="inlineStr">
        <is>
          <t>Passed</t>
        </is>
      </c>
      <c r="M8" s="6" t="inlineStr">
        <is>
          <t>High</t>
        </is>
      </c>
      <c r="N8" s="4" t="inlineStr">
        <is>
          <t>Related Requirement: M06-F02, Business Rules 6.2</t>
        </is>
      </c>
    </row>
    <row r="9" ht="60" customHeight="1">
      <c r="A9" s="7" t="inlineStr">
        <is>
          <t>TC-M06-008</t>
        </is>
      </c>
      <c r="B9" s="7" t="inlineStr">
        <is>
          <t>Module 06 - Bi-Weekly Internship Reports</t>
        </is>
      </c>
      <c r="C9" s="8" t="inlineStr">
        <is>
          <t>M06-F03</t>
        </is>
      </c>
      <c r="D9" s="9" t="inlineStr">
        <is>
          <t>Automatic Date Calculation</t>
        </is>
      </c>
      <c r="E9" s="9" t="inlineStr">
        <is>
          <t>Auto-calculate End Date When Valid Start Date Is Entered</t>
        </is>
      </c>
      <c r="F9" s="9" t="inlineStr">
        <is>
          <t>Verify system automatically calculates End Date as Sunday 13 days after Start Date (Monday).</t>
        </is>
      </c>
      <c r="G9" s="9" t="inlineStr">
        <is>
          <t>User is logged in as Student.
Currently on report creation interface.</t>
        </is>
      </c>
      <c r="H9" s="9" t="inlineStr">
        <is>
          <t>StartDate="2026-08-03" (Monday)</t>
        </is>
      </c>
      <c r="I9" s="9" t="inlineStr">
        <is>
          <t>1. Select Start Date as "2026-08-03";
2. Observe End Date field.</t>
        </is>
      </c>
      <c r="J9" s="9" t="inlineStr">
        <is>
          <t>End Date field automatically fills with "2026-08-16" (Sunday, +13 days).
End Date field is read-only.</t>
        </is>
      </c>
      <c r="K9" s="9" t="inlineStr">
        <is>
          <t>End Date field automatically filled with "2026-08-16" (Sunday, +13 days) and remained read-only.</t>
        </is>
      </c>
      <c r="L9" s="5" t="inlineStr">
        <is>
          <t>Passed</t>
        </is>
      </c>
      <c r="M9" s="6" t="inlineStr">
        <is>
          <t>High</t>
        </is>
      </c>
      <c r="N9" s="9" t="inlineStr">
        <is>
          <t>Related Requirement: M06-F03, Business Rules 6.3</t>
        </is>
      </c>
    </row>
    <row r="10" ht="45" customHeight="1">
      <c r="A10" s="2" t="inlineStr">
        <is>
          <t>TC-M06-009</t>
        </is>
      </c>
      <c r="B10" s="2" t="inlineStr">
        <is>
          <t>Module 06 - Bi-Weekly Internship Reports</t>
        </is>
      </c>
      <c r="C10" s="3" t="inlineStr">
        <is>
          <t>M06-F03</t>
        </is>
      </c>
      <c r="D10" s="4" t="inlineStr">
        <is>
          <t>Automatic Date Calculation</t>
        </is>
      </c>
      <c r="E10" s="4" t="inlineStr">
        <is>
          <t>Prevent Submitting Report if Start Date Is Not a Monday</t>
        </is>
      </c>
      <c r="F10" s="4" t="inlineStr">
        <is>
          <t>Verify system displays error if selected Start Date is not a Monday.</t>
        </is>
      </c>
      <c r="G10" s="4" t="inlineStr">
        <is>
          <t>User is logged in as Student.
Currently on report creation interface.</t>
        </is>
      </c>
      <c r="H10" s="4" t="inlineStr">
        <is>
          <t>StartDate="2026-08-04" (Tuesday)</t>
        </is>
      </c>
      <c r="I10" s="4" t="inlineStr">
        <is>
          <t>1. Select Start Date as "2026-08-04";
2. Attempt to save or submit report.</t>
        </is>
      </c>
      <c r="J10" s="4" t="inlineStr">
        <is>
          <t>System displays error: "Start Date must be a Monday."
Action is blocked.</t>
        </is>
      </c>
      <c r="K10" s="4" t="inlineStr">
        <is>
          <t>System displayed validation error "Start Date must be a Monday." and blocked action.</t>
        </is>
      </c>
      <c r="L10" s="5" t="inlineStr">
        <is>
          <t>Passed</t>
        </is>
      </c>
      <c r="M10" s="6" t="inlineStr">
        <is>
          <t>High</t>
        </is>
      </c>
      <c r="N10" s="4" t="inlineStr">
        <is>
          <t>Related Requirement: M06-F03, Business Rules 6.3, Validation Rules (Section 8)</t>
        </is>
      </c>
    </row>
    <row r="11" ht="60" customHeight="1">
      <c r="A11" s="7" t="inlineStr">
        <is>
          <t>TC-M06-010</t>
        </is>
      </c>
      <c r="B11" s="7" t="inlineStr">
        <is>
          <t>Module 06 - Bi-Weekly Internship Reports</t>
        </is>
      </c>
      <c r="C11" s="8" t="inlineStr">
        <is>
          <t>M06-F03</t>
        </is>
      </c>
      <c r="D11" s="9" t="inlineStr">
        <is>
          <t>Automatic Date Calculation</t>
        </is>
      </c>
      <c r="E11" s="9" t="inlineStr">
        <is>
          <t>Prevent Submitting Report if Start Date Is Outside Internship Period</t>
        </is>
      </c>
      <c r="F11" s="9" t="inlineStr">
        <is>
          <t>Verify system displays error if Start Date is outside group start/end dates.</t>
        </is>
      </c>
      <c r="G11" s="9" t="inlineStr">
        <is>
          <t>User is logged in as Student.
Group internship period is 2026-06-01 to 2026-08-31.</t>
        </is>
      </c>
      <c r="H11" s="9" t="inlineStr">
        <is>
          <t>StartDate="2026-05-25" (Monday before group start)</t>
        </is>
      </c>
      <c r="I11" s="9" t="inlineStr">
        <is>
          <t>1. Select Start Date as "2026-05-25";
2. Attempt to save or submit report.</t>
        </is>
      </c>
      <c r="J11" s="9" t="inlineStr">
        <is>
          <t>System displays error: "Start Date must fall within the internship group period."
Action is blocked.</t>
        </is>
      </c>
      <c r="K11" s="9" t="inlineStr">
        <is>
          <t>System displayed validation error "Start Date must fall within the internship group period." and blocked action.</t>
        </is>
      </c>
      <c r="L11" s="5" t="inlineStr">
        <is>
          <t>Passed</t>
        </is>
      </c>
      <c r="M11" s="6" t="inlineStr">
        <is>
          <t>High</t>
        </is>
      </c>
      <c r="N11" s="9" t="inlineStr">
        <is>
          <t>Related Requirement: M06-F03, Business Rules 6.3, Validation Rules (Section 8)</t>
        </is>
      </c>
    </row>
    <row r="12" ht="75" customHeight="1">
      <c r="A12" s="2" t="inlineStr">
        <is>
          <t>TC-M06-011</t>
        </is>
      </c>
      <c r="B12" s="2" t="inlineStr">
        <is>
          <t>Module 06 - Bi-Weekly Internship Reports</t>
        </is>
      </c>
      <c r="C12" s="3" t="inlineStr">
        <is>
          <t>M06-F04</t>
        </is>
      </c>
      <c r="D12" s="4" t="inlineStr">
        <is>
          <t>Dynamic Task Table Management</t>
        </is>
      </c>
      <c r="E12" s="4" t="inlineStr">
        <is>
          <t>Add and Remove Task Rows in Dynamic Task Table</t>
        </is>
      </c>
      <c r="F12" s="4" t="inlineStr">
        <is>
          <t>Verify functionality for adding new task rows and removing task rows in the report form.</t>
        </is>
      </c>
      <c r="G12" s="4" t="inlineStr">
        <is>
          <t>User is logged in as Student.
Currently on report creation interface.</t>
        </is>
      </c>
      <c r="H12" s="4" t="inlineStr">
        <is>
          <t>Task1="Frontend UI"; Task2="Backend API"</t>
        </is>
      </c>
      <c r="I12" s="4" t="inlineStr">
        <is>
          <t>1. Click Add Task Row button;
2. Enter task details in row 2;
3. Click Remove icon on row 2.</t>
        </is>
      </c>
      <c r="J12" s="4" t="inlineStr">
        <is>
          <t>Clicking Add Task Row appends a new empty task row.
Clicking Remove deletes row 2 cleanly.</t>
        </is>
      </c>
      <c r="K12" s="4" t="inlineStr">
        <is>
          <t>Clicking Add Task Row appended a new empty task row. Clicking Remove deleted row cleanly.</t>
        </is>
      </c>
      <c r="L12" s="5" t="inlineStr">
        <is>
          <t>Passed</t>
        </is>
      </c>
      <c r="M12" s="6" t="inlineStr">
        <is>
          <t>High</t>
        </is>
      </c>
      <c r="N12" s="4" t="inlineStr">
        <is>
          <t>Related Requirement: M06-F04, UI Standards</t>
        </is>
      </c>
    </row>
    <row r="13" ht="60" customHeight="1">
      <c r="A13" s="7" t="inlineStr">
        <is>
          <t>TC-M06-012</t>
        </is>
      </c>
      <c r="B13" s="7" t="inlineStr">
        <is>
          <t>Module 06 - Bi-Weekly Internship Reports</t>
        </is>
      </c>
      <c r="C13" s="8" t="inlineStr">
        <is>
          <t>M06-F04</t>
        </is>
      </c>
      <c r="D13" s="9" t="inlineStr">
        <is>
          <t>Dynamic Task Table Management</t>
        </is>
      </c>
      <c r="E13" s="9" t="inlineStr">
        <is>
          <t>Prevent Submitting Report when Task List Is Empty</t>
        </is>
      </c>
      <c r="F13" s="9" t="inlineStr">
        <is>
          <t>Verify system blocks submission when report has 0 task rows.</t>
        </is>
      </c>
      <c r="G13" s="9" t="inlineStr">
        <is>
          <t>User is logged in as Student.
Report has all task rows removed.</t>
        </is>
      </c>
      <c r="H13" s="9" t="inlineStr">
        <is>
          <t>Tasks=[]</t>
        </is>
      </c>
      <c r="I13" s="9" t="inlineStr">
        <is>
          <t>1. Remove all task rows;
2. Click Submit Report button.</t>
        </is>
      </c>
      <c r="J13" s="9" t="inlineStr">
        <is>
          <t>System blocks submission.
Validation error message appears: "At least one task is required."</t>
        </is>
      </c>
      <c r="K13" s="9" t="inlineStr">
        <is>
          <t>System blocked submission and displayed validation error "At least one task is required."</t>
        </is>
      </c>
      <c r="L13" s="5" t="inlineStr">
        <is>
          <t>Passed</t>
        </is>
      </c>
      <c r="M13" s="6" t="inlineStr">
        <is>
          <t>High</t>
        </is>
      </c>
      <c r="N13" s="9" t="inlineStr">
        <is>
          <t>Related Requirement: M06-F04, Validation Rules (Section 8)</t>
        </is>
      </c>
    </row>
    <row r="14" ht="75" customHeight="1">
      <c r="A14" s="2" t="inlineStr">
        <is>
          <t>TC-M06-013</t>
        </is>
      </c>
      <c r="B14" s="2" t="inlineStr">
        <is>
          <t>Module 06 - Bi-Weekly Internship Reports</t>
        </is>
      </c>
      <c r="C14" s="3" t="inlineStr">
        <is>
          <t>M06-F04</t>
        </is>
      </c>
      <c r="D14" s="4" t="inlineStr">
        <is>
          <t>Dynamic Task Table Management</t>
        </is>
      </c>
      <c r="E14" s="4" t="inlineStr">
        <is>
          <t>Prevent Submitting Report when Task Row Has Incomplete Details</t>
        </is>
      </c>
      <c r="F14" s="4" t="inlineStr">
        <is>
          <t>Verify system blocks submission if any task row has empty mandatory fields (Task Description, Hours, etc.).</t>
        </is>
      </c>
      <c r="G14" s="4" t="inlineStr">
        <is>
          <t>User is logged in as Student.
Task row added with blank Task Description.</t>
        </is>
      </c>
      <c r="H14" s="4" t="inlineStr">
        <is>
          <t>TaskDescription=""; Hours=8</t>
        </is>
      </c>
      <c r="I14" s="4" t="inlineStr">
        <is>
          <t>1. Add task row;
2. Enter hours but leave description empty;
3. Click Submit Report button.</t>
        </is>
      </c>
      <c r="J14" s="4" t="inlineStr">
        <is>
          <t>System blocks submission.
Validation error message appears highlighting required fields in task table.</t>
        </is>
      </c>
      <c r="K14" s="4" t="inlineStr">
        <is>
          <t>System blocked submission and highlighted incomplete task fields in task table.</t>
        </is>
      </c>
      <c r="L14" s="5" t="inlineStr">
        <is>
          <t>Passed</t>
        </is>
      </c>
      <c r="M14" s="6" t="inlineStr">
        <is>
          <t>High</t>
        </is>
      </c>
      <c r="N14" s="4" t="inlineStr">
        <is>
          <t>Related Requirement: M06-F04, Validation Rules (Section 8)</t>
        </is>
      </c>
    </row>
    <row r="15" ht="60" customHeight="1">
      <c r="A15" s="7" t="inlineStr">
        <is>
          <t>TC-M06-014</t>
        </is>
      </c>
      <c r="B15" s="7" t="inlineStr">
        <is>
          <t>Module 06 - Bi-Weekly Internship Reports</t>
        </is>
      </c>
      <c r="C15" s="8" t="inlineStr">
        <is>
          <t>M06-F05</t>
        </is>
      </c>
      <c r="D15" s="9" t="inlineStr">
        <is>
          <t>Working Hours Calculation</t>
        </is>
      </c>
      <c r="E15" s="9" t="inlineStr">
        <is>
          <t>Auto-calculate Daily Working Hours and Total Working Hours</t>
        </is>
      </c>
      <c r="F15" s="9" t="inlineStr">
        <is>
          <t>Verify system automatically calculates daily working hours and total bi-weekly hours.</t>
        </is>
      </c>
      <c r="G15" s="9" t="inlineStr">
        <is>
          <t>User is logged in as Student.
Currently on report task table.</t>
        </is>
      </c>
      <c r="H15" s="9" t="inlineStr">
        <is>
          <t>Week1Hours=[8,8,8,8,8,0,0]; Week2Hours=[8,8,8,8,8,0,0]</t>
        </is>
      </c>
      <c r="I15" s="9" t="inlineStr">
        <is>
          <t>1. Enter 8 hours per day for Monday to Friday in both weeks;
2. Observe Total Hours summary.</t>
        </is>
      </c>
      <c r="J15" s="9" t="inlineStr">
        <is>
          <t>Daily totals sum correctly.
Total Bi-Weekly Hours automatically calculates to 80 hours.</t>
        </is>
      </c>
      <c r="K15" s="9" t="inlineStr">
        <is>
          <t>Daily totals summed correctly and Total Bi-Weekly Hours automatically calculated to 80 hours.</t>
        </is>
      </c>
      <c r="L15" s="5" t="inlineStr">
        <is>
          <t>Passed</t>
        </is>
      </c>
      <c r="M15" s="6" t="inlineStr">
        <is>
          <t>High</t>
        </is>
      </c>
      <c r="N15" s="9" t="inlineStr">
        <is>
          <t>Related Requirement: M06-F05, Business Rules 6.4</t>
        </is>
      </c>
    </row>
    <row r="16" ht="60" customHeight="1">
      <c r="A16" s="2" t="inlineStr">
        <is>
          <t>TC-M06-015</t>
        </is>
      </c>
      <c r="B16" s="2" t="inlineStr">
        <is>
          <t>Module 06 - Bi-Weekly Internship Reports</t>
        </is>
      </c>
      <c r="C16" s="3" t="inlineStr">
        <is>
          <t>M06-F05</t>
        </is>
      </c>
      <c r="D16" s="4" t="inlineStr">
        <is>
          <t>Working Hours Calculation</t>
        </is>
      </c>
      <c r="E16" s="4" t="inlineStr">
        <is>
          <t>Prevent Entering Negative Working Hours</t>
        </is>
      </c>
      <c r="F16" s="4" t="inlineStr">
        <is>
          <t>Verify system blocks negative numbers in working hours inputs.</t>
        </is>
      </c>
      <c r="G16" s="4" t="inlineStr">
        <is>
          <t>User is logged in as Student.</t>
        </is>
      </c>
      <c r="H16" s="4" t="inlineStr">
        <is>
          <t>Hours=-5</t>
        </is>
      </c>
      <c r="I16" s="4" t="inlineStr">
        <is>
          <t>1. Enter -5 into working hours field;
2. Click Submit or blur field.</t>
        </is>
      </c>
      <c r="J16" s="4" t="inlineStr">
        <is>
          <t>System blocks negative value.
Error appears: "Working hours cannot be negative."</t>
        </is>
      </c>
      <c r="K16" s="4" t="inlineStr">
        <is>
          <t>System allowed entering negative working hours (&lt; 0), allowed submitting the report, and sent email notifications without triggering validation errors.</t>
        </is>
      </c>
      <c r="L16" s="6" t="inlineStr">
        <is>
          <t>Failed</t>
        </is>
      </c>
      <c r="M16" s="6" t="inlineStr">
        <is>
          <t>High</t>
        </is>
      </c>
      <c r="N16" s="4" t="inlineStr">
        <is>
          <t>Related Requirement: M06-F05, Validation Rules (Section 8)</t>
        </is>
      </c>
    </row>
    <row r="17" ht="75" customHeight="1">
      <c r="A17" s="7" t="inlineStr">
        <is>
          <t>TC-M06-016</t>
        </is>
      </c>
      <c r="B17" s="7" t="inlineStr">
        <is>
          <t>Module 06 - Bi-Weekly Internship Reports</t>
        </is>
      </c>
      <c r="C17" s="8" t="inlineStr">
        <is>
          <t>M06-F05</t>
        </is>
      </c>
      <c r="D17" s="9" t="inlineStr">
        <is>
          <t>Working Hours Calculation</t>
        </is>
      </c>
      <c r="E17" s="9" t="inlineStr">
        <is>
          <t>Prevent Entering Working Hours Exceeding 24 Hours a Day</t>
        </is>
      </c>
      <c r="F17" s="9" t="inlineStr">
        <is>
          <t>Verify system blocks daily working hours greater than 24.</t>
        </is>
      </c>
      <c r="G17" s="9" t="inlineStr">
        <is>
          <t>User is logged in as Student.</t>
        </is>
      </c>
      <c r="H17" s="9" t="inlineStr">
        <is>
          <t>Hours=25</t>
        </is>
      </c>
      <c r="I17" s="9" t="inlineStr">
        <is>
          <t>1. Enter 25 into working hours field for a single day;
2. Click Submit or blur field.</t>
        </is>
      </c>
      <c r="J17" s="9" t="inlineStr">
        <is>
          <t>System blocks input.
Error appears: "Daily working hours cannot exceed 24 hours."</t>
        </is>
      </c>
      <c r="K17" s="9" t="inlineStr">
        <is>
          <t>System allowed entering working hours exceeding 24 hours a day (&gt; 24), allowed submitting the report, and sent email notifications without triggering validation errors.</t>
        </is>
      </c>
      <c r="L17" s="6" t="inlineStr">
        <is>
          <t>Failed</t>
        </is>
      </c>
      <c r="M17" s="6" t="inlineStr">
        <is>
          <t>High</t>
        </is>
      </c>
      <c r="N17" s="9" t="inlineStr">
        <is>
          <t>Related Requirement: M06-F05, Validation Rules (Section 8)</t>
        </is>
      </c>
    </row>
    <row r="18" ht="45" customHeight="1">
      <c r="A18" s="2" t="inlineStr">
        <is>
          <t>TC-M06-017</t>
        </is>
      </c>
      <c r="B18" s="2" t="inlineStr">
        <is>
          <t>Module 06 - Bi-Weekly Internship Reports</t>
        </is>
      </c>
      <c r="C18" s="3" t="inlineStr">
        <is>
          <t>M06-F05</t>
        </is>
      </c>
      <c r="D18" s="4" t="inlineStr">
        <is>
          <t>Working Hours Calculation</t>
        </is>
      </c>
      <c r="E18" s="4" t="inlineStr">
        <is>
          <t>Prevent Entering Non-numeric Characters into Working Hours Field</t>
        </is>
      </c>
      <c r="F18" s="4" t="inlineStr">
        <is>
          <t>Verify system restricts working hours inputs to valid numeric values.</t>
        </is>
      </c>
      <c r="G18" s="4" t="inlineStr">
        <is>
          <t>User is logged in as Student.</t>
        </is>
      </c>
      <c r="H18" s="4" t="inlineStr">
        <is>
          <t>Hours="abc"</t>
        </is>
      </c>
      <c r="I18" s="4" t="inlineStr">
        <is>
          <t>1. Attempt to type non-numeric text "abc" into working hours field.</t>
        </is>
      </c>
      <c r="J18" s="4" t="inlineStr">
        <is>
          <t>Non-numeric input is prevented or validation error appears: "Please enter a valid number."</t>
        </is>
      </c>
      <c r="K18" s="4" t="inlineStr">
        <is>
          <t>Non-numeric characters were blocked from being typed into working hours field.</t>
        </is>
      </c>
      <c r="L18" s="5" t="inlineStr">
        <is>
          <t>Passed</t>
        </is>
      </c>
      <c r="M18" s="10" t="inlineStr">
        <is>
          <t>Medium</t>
        </is>
      </c>
      <c r="N18" s="4" t="inlineStr">
        <is>
          <t>Related Requirement: M06-F05, Validation Rules (Section 8)</t>
        </is>
      </c>
    </row>
    <row r="19" ht="180" customHeight="1">
      <c r="A19" s="7" t="inlineStr">
        <is>
          <t>TC-M06-018</t>
        </is>
      </c>
      <c r="B19" s="7" t="inlineStr">
        <is>
          <t>Module 06 - Bi-Weekly Internship Reports</t>
        </is>
      </c>
      <c r="C19" s="8" t="inlineStr">
        <is>
          <t>M06-F06</t>
        </is>
      </c>
      <c r="D19" s="9" t="inlineStr">
        <is>
          <t>Report Submission</t>
        </is>
      </c>
      <c r="E19" s="9" t="inlineStr">
        <is>
          <t>Submit Report Successfully with Complete Valid Data</t>
        </is>
      </c>
      <c r="F19" s="9" t="inlineStr">
        <is>
          <t>Verify functionality for submitting a bi-weekly internship report with complete valid information.</t>
        </is>
      </c>
      <c r="G19" s="9" t="inlineStr">
        <is>
          <t>User is logged in as Student.
Currently on report creation form.</t>
        </is>
      </c>
      <c r="H19" s="9" t="inlineStr">
        <is>
          <t>StartDate="2026-08-03"; CompanySupervisorName="John Doe"; CompanySupervisorEmail="john@company.com"; PnvSupervisorEmail="mentor@passerellesnumeriques.org"; Challenges="None"; SupportNeeded="None"</t>
        </is>
      </c>
      <c r="I19" s="9" t="inlineStr">
        <is>
      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      </is>
      </c>
      <c r="J19" s="9" t="inlineStr">
        <is>
          <t>Report is submitted successfully.
Report status changes to Submitted.
Success notification appears and page transitions to View mode.</t>
        </is>
      </c>
      <c r="K19" s="9" t="inlineStr">
        <is>
          <t>Report was submitted successfully, status updated to Submitted, success message appeared, and form switched to View mode.</t>
        </is>
      </c>
      <c r="L19" s="5" t="inlineStr">
        <is>
          <t>Passed</t>
        </is>
      </c>
      <c r="M19" s="6" t="inlineStr">
        <is>
          <t>High</t>
        </is>
      </c>
      <c r="N19" s="9" t="inlineStr">
        <is>
          <t>Related Requirement: M06-F06, Business Rules 6.5</t>
        </is>
      </c>
    </row>
    <row r="20" ht="60" customHeight="1">
      <c r="A20" s="2" t="inlineStr">
        <is>
          <t>TC-M06-019</t>
        </is>
      </c>
      <c r="B20" s="2" t="inlineStr">
        <is>
          <t>Module 06 - Bi-Weekly Internship Reports</t>
        </is>
      </c>
      <c r="C20" s="3" t="inlineStr">
        <is>
          <t>M06-F06</t>
        </is>
      </c>
      <c r="D20" s="4" t="inlineStr">
        <is>
          <t>Report Submission</t>
        </is>
      </c>
      <c r="E20" s="4" t="inlineStr">
        <is>
          <t>Submit Report Fails Due to Empty Company Supervisor Name</t>
        </is>
      </c>
      <c r="F20" s="4" t="inlineStr">
        <is>
          <t>Verify system blocks report submission when Company Supervisor Name is empty.</t>
        </is>
      </c>
      <c r="G20" s="4" t="inlineStr">
        <is>
          <t>User is logged in as Student.</t>
        </is>
      </c>
      <c r="H20" s="4" t="inlineStr">
        <is>
          <t>CompanySupervisorName=""</t>
        </is>
      </c>
      <c r="I20" s="4" t="inlineStr">
        <is>
          <t>1. Fill report details but leave Company Supervisor Name blank;
2. Click Submit Report button.</t>
        </is>
      </c>
      <c r="J20" s="4" t="inlineStr">
        <is>
          <t>System blocks submission.
Validation error message appears: "Company Supervisor Name is required."</t>
        </is>
      </c>
      <c r="K20" s="4" t="inlineStr">
        <is>
          <t>System blocked submission and displayed validation error "Company Supervisor Name is required."</t>
        </is>
      </c>
      <c r="L20" s="5" t="inlineStr">
        <is>
          <t>Passed</t>
        </is>
      </c>
      <c r="M20" s="6" t="inlineStr">
        <is>
          <t>High</t>
        </is>
      </c>
      <c r="N20" s="4" t="inlineStr">
        <is>
          <t>Related Requirement: M06-F06, Validation Rules (Section 8)</t>
        </is>
      </c>
    </row>
    <row r="21" ht="60" customHeight="1">
      <c r="A21" s="7" t="inlineStr">
        <is>
          <t>TC-M06-020</t>
        </is>
      </c>
      <c r="B21" s="7" t="inlineStr">
        <is>
          <t>Module 06 - Bi-Weekly Internship Reports</t>
        </is>
      </c>
      <c r="C21" s="8" t="inlineStr">
        <is>
          <t>M06-F06</t>
        </is>
      </c>
      <c r="D21" s="9" t="inlineStr">
        <is>
          <t>Report Submission</t>
        </is>
      </c>
      <c r="E21" s="9" t="inlineStr">
        <is>
          <t>Submit Report Fails Due to Blank PNV Supervisor Email</t>
        </is>
      </c>
      <c r="F21" s="9" t="inlineStr">
        <is>
          <t>Verify system blocks report submission when PNV Supervisor Email is empty.</t>
        </is>
      </c>
      <c r="G21" s="9" t="inlineStr">
        <is>
          <t>User is logged in as Student.</t>
        </is>
      </c>
      <c r="H21" s="9" t="inlineStr">
        <is>
          <t>PnvSupervisorEmail=""</t>
        </is>
      </c>
      <c r="I21" s="9" t="inlineStr">
        <is>
          <t>1. Fill report details but leave PNV Supervisor Email blank;
2. Click Submit Report button.</t>
        </is>
      </c>
      <c r="J21" s="9" t="inlineStr">
        <is>
          <t>System blocks submission.
Validation error message appears: "PNV Supervisor Email is required."</t>
        </is>
      </c>
      <c r="K21" s="9" t="inlineStr">
        <is>
          <t>System blocked submission and displayed validation error "PNV Supervisor Email is required."</t>
        </is>
      </c>
      <c r="L21" s="5" t="inlineStr">
        <is>
          <t>Passed</t>
        </is>
      </c>
      <c r="M21" s="6" t="inlineStr">
        <is>
          <t>High</t>
        </is>
      </c>
      <c r="N21" s="9" t="inlineStr">
        <is>
          <t>Related Requirement: M06-F06, Validation Rules (Section 8)</t>
        </is>
      </c>
    </row>
    <row r="22" ht="60" customHeight="1">
      <c r="A22" s="2" t="inlineStr">
        <is>
          <t>TC-M06-021</t>
        </is>
      </c>
      <c r="B22" s="2" t="inlineStr">
        <is>
          <t>Module 06 - Bi-Weekly Internship Reports</t>
        </is>
      </c>
      <c r="C22" s="3" t="inlineStr">
        <is>
          <t>M06-F06</t>
        </is>
      </c>
      <c r="D22" s="4" t="inlineStr">
        <is>
          <t>Report Submission</t>
        </is>
      </c>
      <c r="E22" s="4" t="inlineStr">
        <is>
          <t>Submit Report Fails Due to Invalid PNV Supervisor Email Format</t>
        </is>
      </c>
      <c r="F22" s="4" t="inlineStr">
        <is>
          <t>Verify system blocks submission when PNV Supervisor Email has invalid format.</t>
        </is>
      </c>
      <c r="G22" s="4" t="inlineStr">
        <is>
          <t>User is logged in as Student.</t>
        </is>
      </c>
      <c r="H22" s="4" t="inlineStr">
        <is>
          <t>PnvSupervisorEmail="invalid-email"</t>
        </is>
      </c>
      <c r="I22" s="4" t="inlineStr">
        <is>
          <t>1. Enter invalid email format "invalid-email" for PNV Supervisor Email;
2. Click Submit Report button.</t>
        </is>
      </c>
      <c r="J22" s="4" t="inlineStr">
        <is>
          <t>System blocks submission.
Validation error message appears: "Invalid email address format."</t>
        </is>
      </c>
      <c r="K22" s="4" t="inlineStr">
        <is>
          <t>System blocked submission and displayed validation error "Invalid email address format."</t>
        </is>
      </c>
      <c r="L22" s="5" t="inlineStr">
        <is>
          <t>Passed</t>
        </is>
      </c>
      <c r="M22" s="6" t="inlineStr">
        <is>
          <t>High</t>
        </is>
      </c>
      <c r="N22" s="4" t="inlineStr">
        <is>
          <t>Related Requirement: M06-F06, Validation Rules (Section 8)</t>
        </is>
      </c>
    </row>
    <row r="23" ht="60" customHeight="1">
      <c r="A23" s="7" t="inlineStr">
        <is>
          <t>TC-M06-022</t>
        </is>
      </c>
      <c r="B23" s="7" t="inlineStr">
        <is>
          <t>Module 06 - Bi-Weekly Internship Reports</t>
        </is>
      </c>
      <c r="C23" s="8" t="inlineStr">
        <is>
          <t>M06-F06</t>
        </is>
      </c>
      <c r="D23" s="9" t="inlineStr">
        <is>
          <t>Report Submission</t>
        </is>
      </c>
      <c r="E23" s="9" t="inlineStr">
        <is>
          <t>Submit Report Fails Due to Blank Company Supervisor Email</t>
        </is>
      </c>
      <c r="F23" s="9" t="inlineStr">
        <is>
          <t>Verify system blocks report submission when Company Supervisor Email is empty.</t>
        </is>
      </c>
      <c r="G23" s="9" t="inlineStr">
        <is>
          <t>User is logged in as Student.</t>
        </is>
      </c>
      <c r="H23" s="9" t="inlineStr">
        <is>
          <t>CompanySupervisorEmail=""</t>
        </is>
      </c>
      <c r="I23" s="9" t="inlineStr">
        <is>
          <t>1. Fill report details but leave Company Supervisor Email blank;
2. Click Submit Report button.</t>
        </is>
      </c>
      <c r="J23" s="9" t="inlineStr">
        <is>
          <t>System blocks submission.
Validation error message appears: "Company Supervisor Email is required."</t>
        </is>
      </c>
      <c r="K23" s="9" t="inlineStr">
        <is>
          <t>System blocked submission and displayed validation error "Company Supervisor Email is required."</t>
        </is>
      </c>
      <c r="L23" s="5" t="inlineStr">
        <is>
          <t>Passed</t>
        </is>
      </c>
      <c r="M23" s="6" t="inlineStr">
        <is>
          <t>High</t>
        </is>
      </c>
      <c r="N23" s="9" t="inlineStr">
        <is>
          <t>Related Requirement: M06-F06, Validation Rules (Section 8)</t>
        </is>
      </c>
    </row>
    <row r="24" ht="60" customHeight="1">
      <c r="A24" s="2" t="inlineStr">
        <is>
          <t>TC-M06-023</t>
        </is>
      </c>
      <c r="B24" s="2" t="inlineStr">
        <is>
          <t>Module 06 - Bi-Weekly Internship Reports</t>
        </is>
      </c>
      <c r="C24" s="3" t="inlineStr">
        <is>
          <t>M06-F06</t>
        </is>
      </c>
      <c r="D24" s="4" t="inlineStr">
        <is>
          <t>Report Submission</t>
        </is>
      </c>
      <c r="E24" s="4" t="inlineStr">
        <is>
          <t>Submit Report Fails Due to Invalid Company Supervisor Email Format</t>
        </is>
      </c>
      <c r="F24" s="4" t="inlineStr">
        <is>
          <t>Verify system blocks submission when Company Supervisor Email has invalid format.</t>
        </is>
      </c>
      <c r="G24" s="4" t="inlineStr">
        <is>
          <t>User is logged in as Student.</t>
        </is>
      </c>
      <c r="H24" s="4" t="inlineStr">
        <is>
          <t>CompanySupervisorEmail="invalid-email"</t>
        </is>
      </c>
      <c r="I24" s="4" t="inlineStr">
        <is>
          <t>1. Enter invalid email format "invalid-email" for Company Supervisor Email;
2. Click Submit Report button.</t>
        </is>
      </c>
      <c r="J24" s="4" t="inlineStr">
        <is>
          <t>System blocks submission.
Validation error message appears: "Invalid email address format."</t>
        </is>
      </c>
      <c r="K24" s="4" t="inlineStr">
        <is>
          <t>System blocked submission and displayed validation error "Invalid email address format."</t>
        </is>
      </c>
      <c r="L24" s="5" t="inlineStr">
        <is>
          <t>Passed</t>
        </is>
      </c>
      <c r="M24" s="6" t="inlineStr">
        <is>
          <t>High</t>
        </is>
      </c>
      <c r="N24" s="4" t="inlineStr">
        <is>
          <t>Related Requirement: M06-F06, Validation Rules (Section 8)</t>
        </is>
      </c>
    </row>
    <row r="25" ht="60" customHeight="1">
      <c r="A25" s="7" t="inlineStr">
        <is>
          <t>TC-M06-024</t>
        </is>
      </c>
      <c r="B25" s="7" t="inlineStr">
        <is>
          <t>Module 06 - Bi-Weekly Internship Reports</t>
        </is>
      </c>
      <c r="C25" s="8" t="inlineStr">
        <is>
          <t>M06-F06</t>
        </is>
      </c>
      <c r="D25" s="9" t="inlineStr">
        <is>
          <t>Report Submission</t>
        </is>
      </c>
      <c r="E25" s="9" t="inlineStr">
        <is>
          <t>Submit Report Fails Due to Blank Challenges Section</t>
        </is>
      </c>
      <c r="F25" s="9" t="inlineStr">
        <is>
          <t>Verify system blocks report submission when Challenges field is empty.</t>
        </is>
      </c>
      <c r="G25" s="9" t="inlineStr">
        <is>
          <t>User is logged in as Student.</t>
        </is>
      </c>
      <c r="H25" s="9" t="inlineStr">
        <is>
          <t>Challenges=""</t>
        </is>
      </c>
      <c r="I25" s="9" t="inlineStr">
        <is>
          <t>1. Leave Challenges field blank;
2. Click Submit Report button.</t>
        </is>
      </c>
      <c r="J25" s="9" t="inlineStr">
        <is>
          <t>System blocks submission.
Validation error message appears: "Challenges field is required."</t>
        </is>
      </c>
      <c r="K25" s="9" t="inlineStr">
        <is>
          <t>System blocked submission and displayed validation error "Challenges field is required."</t>
        </is>
      </c>
      <c r="L25" s="5" t="inlineStr">
        <is>
          <t>Passed</t>
        </is>
      </c>
      <c r="M25" s="6" t="inlineStr">
        <is>
          <t>High</t>
        </is>
      </c>
      <c r="N25" s="9" t="inlineStr">
        <is>
          <t>Related Requirement: M06-F06, Validation Rules (Section 8)</t>
        </is>
      </c>
    </row>
    <row r="26" ht="60" customHeight="1">
      <c r="A26" s="2" t="inlineStr">
        <is>
          <t>TC-M06-025</t>
        </is>
      </c>
      <c r="B26" s="2" t="inlineStr">
        <is>
          <t>Module 06 - Bi-Weekly Internship Reports</t>
        </is>
      </c>
      <c r="C26" s="3" t="inlineStr">
        <is>
          <t>M06-F06</t>
        </is>
      </c>
      <c r="D26" s="4" t="inlineStr">
        <is>
          <t>Report Submission</t>
        </is>
      </c>
      <c r="E26" s="4" t="inlineStr">
        <is>
          <t>Submit Report Fails Due to Blank Support Needed Section</t>
        </is>
      </c>
      <c r="F26" s="4" t="inlineStr">
        <is>
          <t>Verify system blocks report submission when Support Needed field is empty.</t>
        </is>
      </c>
      <c r="G26" s="4" t="inlineStr">
        <is>
          <t>User is logged in as Student.</t>
        </is>
      </c>
      <c r="H26" s="4" t="inlineStr">
        <is>
          <t>SupportNeeded=""</t>
        </is>
      </c>
      <c r="I26" s="4" t="inlineStr">
        <is>
          <t>1. Leave Support Needed field blank;
2. Click Submit Report button.</t>
        </is>
      </c>
      <c r="J26" s="4" t="inlineStr">
        <is>
          <t>System blocks submission.
Validation error message appears: "Support Needed field is required."</t>
        </is>
      </c>
      <c r="K26" s="4" t="inlineStr">
        <is>
          <t>System blocked submission and displayed validation error "Support Needed field is required."</t>
        </is>
      </c>
      <c r="L26" s="5" t="inlineStr">
        <is>
          <t>Passed</t>
        </is>
      </c>
      <c r="M26" s="6" t="inlineStr">
        <is>
          <t>High</t>
        </is>
      </c>
      <c r="N26" s="4" t="inlineStr">
        <is>
          <t>Related Requirement: M06-F06, Validation Rules (Section 8)</t>
        </is>
      </c>
    </row>
    <row r="27" ht="60" customHeight="1">
      <c r="A27" s="7" t="inlineStr">
        <is>
          <t>TC-M06-026</t>
        </is>
      </c>
      <c r="B27" s="7" t="inlineStr">
        <is>
          <t>Module 06 - Bi-Weekly Internship Reports</t>
        </is>
      </c>
      <c r="C27" s="8" t="inlineStr">
        <is>
          <t>M06-F06</t>
        </is>
      </c>
      <c r="D27" s="9" t="inlineStr">
        <is>
          <t>Report Submission</t>
        </is>
      </c>
      <c r="E27" s="9" t="inlineStr">
        <is>
          <t>Cancel Report Submission Confirmation</t>
        </is>
      </c>
      <c r="F27" s="9" t="inlineStr">
        <is>
          <t>Verify clicking Cancel in submission confirmation popup returns to edit form without submitting.</t>
        </is>
      </c>
      <c r="G27" s="9" t="inlineStr">
        <is>
          <t>User is logged in as Student.
Form filled with complete valid data.</t>
        </is>
      </c>
      <c r="H27" s="9" t="inlineStr">
        <is>
          <t>Action="Cancel Confirmation"</t>
        </is>
      </c>
      <c r="I27" s="9" t="inlineStr">
        <is>
          <t>1. Click Submit Report button;
2. When confirmation popup appears, click Cancel button.</t>
        </is>
      </c>
      <c r="J27" s="9" t="inlineStr">
        <is>
          <t>Confirmation popup closes.
Report is not submitted and remains in edit form.</t>
        </is>
      </c>
      <c r="K27" s="9" t="inlineStr">
        <is>
          <t>Confirmation popup closed upon clicking Cancel, report was not submitted, and form remained in edit mode.</t>
        </is>
      </c>
      <c r="L27" s="5" t="inlineStr">
        <is>
          <t>Passed</t>
        </is>
      </c>
      <c r="M27" s="10" t="inlineStr">
        <is>
          <t>Medium</t>
        </is>
      </c>
      <c r="N27" s="9" t="inlineStr">
        <is>
          <t>Related Requirement: M06-F06, UI Standards</t>
        </is>
      </c>
    </row>
    <row r="28" ht="75" customHeight="1">
      <c r="A28" s="2" t="inlineStr">
        <is>
          <t>TC-M06-027</t>
        </is>
      </c>
      <c r="B28" s="2" t="inlineStr">
        <is>
          <t>Module 06 - Bi-Weekly Internship Reports</t>
        </is>
      </c>
      <c r="C28" s="3" t="inlineStr">
        <is>
          <t>M06-F07</t>
        </is>
      </c>
      <c r="D28" s="4" t="inlineStr">
        <is>
          <t>Read-only Submitted Reports</t>
        </is>
      </c>
      <c r="E28" s="4" t="inlineStr">
        <is>
          <t>Submitted Report Permanently Switches to Read-Only Status</t>
        </is>
      </c>
      <c r="F28" s="4" t="inlineStr">
        <is>
          <t>Verify student cannot edit or resubmit a report once it has been submitted.</t>
        </is>
      </c>
      <c r="G28" s="4" t="inlineStr">
        <is>
          <t>User is logged in as Student.
Report status is Submitted.</t>
        </is>
      </c>
      <c r="H28" s="4" t="inlineStr">
        <is>
          <t>ReportStatus="Submitted"</t>
        </is>
      </c>
      <c r="I28" s="4" t="inlineStr">
        <is>
          <t>1. Open submitted report;
2. Observe UI for edit/save buttons.</t>
        </is>
      </c>
      <c r="J28" s="4" t="inlineStr">
        <is>
          <t>Report displays in Read-Only mode.
Edit and Save buttons are hidden or disabled.
Student cannot modify content.</t>
        </is>
      </c>
      <c r="K28" s="4" t="inlineStr">
        <is>
          <t>Submitted report displayed in Read-Only mode with edit and save controls disabled.</t>
        </is>
      </c>
      <c r="L28" s="5" t="inlineStr">
        <is>
          <t>Passed</t>
        </is>
      </c>
      <c r="M28" s="6" t="inlineStr">
        <is>
          <t>High</t>
        </is>
      </c>
      <c r="N28" s="4" t="inlineStr">
        <is>
          <t>Related Requirement: M06-F07, Business Rules 6.6</t>
        </is>
      </c>
    </row>
    <row r="29" ht="60" customHeight="1">
      <c r="A29" s="7" t="inlineStr">
        <is>
          <t>TC-M06-028</t>
        </is>
      </c>
      <c r="B29" s="7" t="inlineStr">
        <is>
          <t>Module 06 - Bi-Weekly Internship Reports</t>
        </is>
      </c>
      <c r="C29" s="8" t="inlineStr">
        <is>
          <t>M06-F08</t>
        </is>
      </c>
      <c r="D29" s="9" t="inlineStr">
        <is>
          <t>Automated Email Notifications</t>
        </is>
      </c>
      <c r="E29" s="9" t="inlineStr">
        <is>
          <t>Send Automatic Email Notification Upon Successful Report Submission</t>
        </is>
      </c>
      <c r="F29" s="9" t="inlineStr">
        <is>
          <t>Verify system triggers email notifications to PNV supervisor and Company supervisor after successful submission.</t>
        </is>
      </c>
      <c r="G29" s="9" t="inlineStr">
        <is>
          <t>User is logged in as Student.
Email notification service enabled.</t>
        </is>
      </c>
      <c r="H29" s="9" t="inlineStr">
        <is>
          <t>PnvSupervisorEmail="mentor@passerellesnumeriques.org"; CompanySupervisorEmail="john@company.com"</t>
        </is>
      </c>
      <c r="I29" s="9" t="inlineStr">
        <is>
          <t>1. Submit bi-weekly internship report successfully;
2. Check email inbox of PNV supervisor and Company supervisor.</t>
        </is>
      </c>
      <c r="J29" s="9" t="inlineStr">
        <is>
          <t>Automated email notification is delivered to both supervisor email addresses containing report summary.</t>
        </is>
      </c>
      <c r="K29" s="9" t="inlineStr">
        <is>
          <t>Automated email notifications containing report summary were delivered to both PNV and Company supervisors upon submission.</t>
        </is>
      </c>
      <c r="L29" s="5" t="inlineStr">
        <is>
          <t>Passed</t>
        </is>
      </c>
      <c r="M29" s="6" t="inlineStr">
        <is>
          <t>High</t>
        </is>
      </c>
      <c r="N29" s="9" t="inlineStr">
        <is>
          <t>Related Requirement: M06-F08, Business Rules 6.7</t>
        </is>
      </c>
    </row>
    <row r="30" ht="75" customHeight="1">
      <c r="A30" s="2" t="inlineStr">
        <is>
          <t>TC-M06-029</t>
        </is>
      </c>
      <c r="B30" s="2" t="inlineStr">
        <is>
          <t>Module 06 - Bi-Weekly Internship Reports</t>
        </is>
      </c>
      <c r="C30" s="3" t="inlineStr">
        <is>
          <t>M06-F08</t>
        </is>
      </c>
      <c r="D30" s="4" t="inlineStr">
        <is>
          <t>Automated Email Notifications</t>
        </is>
      </c>
      <c r="E30" s="4" t="inlineStr">
        <is>
          <t>Handle Error When Email Notification Sending Fails</t>
        </is>
      </c>
      <c r="F30" s="4" t="inlineStr">
        <is>
          <t>Verify report submission still succeeds and logs error gracefully if email service fails.</t>
        </is>
      </c>
      <c r="G30" s="4" t="inlineStr">
        <is>
          <t>User is logged in as Student.
Email notification service is temporarily unavailable.</t>
        </is>
      </c>
      <c r="H30" s="4" t="inlineStr">
        <is>
          <t>EmailServiceStatus="Offline"</t>
        </is>
      </c>
      <c r="I30" s="4" t="inlineStr">
        <is>
          <t>1. Submit report when email service is offline;
2. Observe system response.</t>
        </is>
      </c>
      <c r="J30" s="4" t="inlineStr">
        <is>
          <t>Report submission succeeds and saves to database.
Warning message appears notifying student that email delivery failed, and error is logged.</t>
        </is>
      </c>
      <c r="K30" s="4" t="inlineStr">
        <is>
          <t>Report saved successfully to database, warning notification displayed regarding email failure, and error was logged.</t>
        </is>
      </c>
      <c r="L30" s="5" t="inlineStr">
        <is>
          <t>Passed</t>
        </is>
      </c>
      <c r="M30" s="10" t="inlineStr">
        <is>
          <t>Medium</t>
        </is>
      </c>
      <c r="N30" s="4" t="inlineStr">
        <is>
          <t>Related Requirement: M06-F08, Error Handling (Section 8)</t>
        </is>
      </c>
    </row>
  </sheetData>
  <autoFilter ref="A1:N30"/>
  <dataValidations count="2">
    <dataValidation sqref="L2:L130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0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2026-07-23T02:12:16Z</dcterms:created>
  <dcterms:modified xsi:type="dcterms:W3CDTF">2026-07-23T03:42:40Z</dcterms:modified>
  <cp:lastModifiedBy>Hoang Doan</cp:lastModifiedBy>
</cp:coreProperties>
</file>