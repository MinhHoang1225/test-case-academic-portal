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Module01" sheetId="2" state="visible" r:id="rId2"/>
  </sheets>
  <definedNames>
    <definedName name="_xlnm._FilterDatabase" localSheetId="1" hidden="1">'Module01'!$A$1:$N$40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0"/>
    </font>
    <font>
      <name val="Segoe UI"/>
      <b val="1"/>
      <color rgb="0064748B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  <font>
      <name val="Segoe UI"/>
      <b val="1"/>
      <color rgb="001F4E78"/>
      <sz val="16"/>
    </font>
    <font>
      <name val="Segoe UI"/>
      <i val="1"/>
      <color rgb="00555555"/>
      <sz val="10"/>
    </font>
    <font>
      <name val="Segoe UI"/>
      <b val="1"/>
      <color rgb="00137333"/>
      <sz val="10"/>
    </font>
    <font>
      <name val="Segoe UI"/>
      <b val="1"/>
      <color rgb="00000000"/>
      <sz val="10"/>
    </font>
    <font>
      <name val="Segoe UI"/>
      <b val="1"/>
      <color rgb="0064748B"/>
      <sz val="9"/>
    </font>
    <font>
      <name val="Segoe UI"/>
      <b val="1"/>
      <color rgb="001E293B"/>
      <sz val="18"/>
    </font>
    <font>
      <name val="Segoe UI"/>
      <b val="1"/>
      <color rgb="001F4E78"/>
      <sz val="18"/>
    </font>
    <font>
      <name val="Segoe UI"/>
      <b val="1"/>
      <color rgb="00A50E0E"/>
      <sz val="18"/>
    </font>
    <font>
      <name val="Segoe UI"/>
      <b val="1"/>
      <color rgb="00B06000"/>
      <sz val="18"/>
    </font>
    <font>
      <name val="Segoe UI"/>
      <b val="1"/>
      <color rgb="00137333"/>
      <sz val="18"/>
    </font>
    <font>
      <name val="Segoe UI"/>
      <b val="1"/>
      <color rgb="001F4E78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F5F9"/>
        <bgColor rgb="00F1F5F9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  <fill>
      <patternFill patternType="solid">
        <fgColor rgb="00E2E8F0"/>
        <bgColor rgb="00E2E8F0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by Feature (Grouped by Priority)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'Report'!C8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'Report'!$A$9:$A$19</f>
            </numRef>
          </cat>
          <val>
            <numRef>
              <f>'Report'!$C$9:$C$19</f>
            </numRef>
          </val>
        </ser>
        <ser>
          <idx val="1"/>
          <order val="1"/>
          <tx>
            <strRef>
              <f>'Report'!D8</f>
            </strRef>
          </tx>
          <spPr>
            <a:solidFill>
              <a:srgbClr val="FFFF00"/>
            </a:solidFill>
            <a:ln>
              <a:prstDash val="solid"/>
            </a:ln>
          </spPr>
          <cat>
            <numRef>
              <f>'Report'!$A$9:$A$19</f>
            </numRef>
          </cat>
          <val>
            <numRef>
              <f>'Report'!$D$9:$D$19</f>
            </numRef>
          </val>
        </ser>
        <ser>
          <idx val="2"/>
          <order val="2"/>
          <tx>
            <strRef>
              <f>'Report'!E8</f>
            </strRef>
          </tx>
          <spPr>
            <a:solidFill>
              <a:srgbClr val="00FF00"/>
            </a:solidFill>
            <a:ln>
              <a:prstDash val="solid"/>
            </a:ln>
          </spPr>
          <cat>
            <numRef>
              <f>'Report'!$A$9:$A$19</f>
            </numRef>
          </cat>
          <val>
            <numRef>
              <f>'Report'!$E$9:$E$19</f>
            </numRef>
          </val>
        </ser>
        <gapWidth val="150"/>
        <overlap val="-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Feature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Module 01 - Feature &amp; Priority Summary Report</t>
        </is>
      </c>
    </row>
    <row r="2">
      <c r="A2" s="12" t="inlineStr">
        <is>
          <t>Summary of test cases per feature, calculated via Excel formulas</t>
        </is>
      </c>
    </row>
    <row r="4" ht="18" customHeight="1">
      <c r="A4" s="13" t="inlineStr">
        <is>
          <t>Total Features</t>
        </is>
      </c>
      <c r="B4" s="13" t="inlineStr">
        <is>
          <t>Total Test Cases</t>
        </is>
      </c>
      <c r="C4" s="13" t="inlineStr">
        <is>
          <t>High Priority Features</t>
        </is>
      </c>
      <c r="D4" s="13" t="inlineStr">
        <is>
          <t>Medium Priority Features</t>
        </is>
      </c>
      <c r="E4" s="13" t="inlineStr">
        <is>
          <t>Low Priority Features</t>
        </is>
      </c>
    </row>
    <row r="5" ht="32" customHeight="1">
      <c r="A5" s="14">
        <f>COUNTA(A9:A19)</f>
        <v/>
      </c>
      <c r="B5" s="15">
        <f>F20</f>
        <v/>
      </c>
      <c r="C5" s="16">
        <f>COUNTIF(C9:C19, "&gt;0")</f>
        <v/>
      </c>
      <c r="D5" s="17">
        <f>COUNTIFS(C9:C19, 0, D9:D19, "&gt;0")</f>
        <v/>
      </c>
      <c r="E5" s="18">
        <f>COUNTIFS(C9:C19, 0, D9:D19, 0, E9:E19, "&gt;0")</f>
        <v/>
      </c>
    </row>
    <row r="7">
      <c r="A7" s="19" t="inlineStr">
        <is>
          <t>Feature Categorization &amp; Priority Breakdown</t>
        </is>
      </c>
    </row>
    <row r="8" ht="26" customHeight="1">
      <c r="A8" s="20" t="inlineStr">
        <is>
          <t>Feature ID</t>
        </is>
      </c>
      <c r="B8" s="21" t="inlineStr">
        <is>
          <t>Feature Name</t>
        </is>
      </c>
      <c r="C8" s="20" t="inlineStr">
        <is>
          <t>High Priority</t>
        </is>
      </c>
      <c r="D8" s="20" t="inlineStr">
        <is>
          <t>Medium Priority</t>
        </is>
      </c>
      <c r="E8" s="20" t="inlineStr">
        <is>
          <t>Low Priority</t>
        </is>
      </c>
      <c r="F8" s="20" t="inlineStr">
        <is>
          <t>Total TCs</t>
        </is>
      </c>
    </row>
    <row r="9" ht="22" customHeight="1">
      <c r="A9" s="22" t="inlineStr">
        <is>
          <t>M01-F01</t>
        </is>
      </c>
      <c r="B9" s="23" t="inlineStr">
        <is>
          <t>Batch Creation</t>
        </is>
      </c>
      <c r="C9" s="24">
        <f>COUNTIFS('Module01'!$C$2:$C$40, A9, 'Module01'!$M$2:$M$40, "High")</f>
        <v/>
      </c>
      <c r="D9" s="25">
        <f>COUNTIFS('Module01'!$C$2:$C$40, A9, 'Module01'!$M$2:$M$40, "Medium")</f>
        <v/>
      </c>
      <c r="E9" s="26">
        <f>COUNTIFS('Module01'!$C$2:$C$40, A9, 'Module01'!$M$2:$M$40, "Low")</f>
        <v/>
      </c>
      <c r="F9" s="27">
        <f>SUM(C9:E9)</f>
        <v/>
      </c>
    </row>
    <row r="10" ht="22" customHeight="1">
      <c r="A10" s="28" t="inlineStr">
        <is>
          <t>M01-F02</t>
        </is>
      </c>
      <c r="B10" s="29" t="inlineStr">
        <is>
          <t>Batch Editing</t>
        </is>
      </c>
      <c r="C10" s="30">
        <f>COUNTIFS('Module01'!$C$2:$C$40, A10, 'Module01'!$M$2:$M$40, "High")</f>
        <v/>
      </c>
      <c r="D10" s="31">
        <f>COUNTIFS('Module01'!$C$2:$C$40, A10, 'Module01'!$M$2:$M$40, "Medium")</f>
        <v/>
      </c>
      <c r="E10" s="32">
        <f>COUNTIFS('Module01'!$C$2:$C$40, A10, 'Module01'!$M$2:$M$40, "Low")</f>
        <v/>
      </c>
      <c r="F10" s="33">
        <f>SUM(C10:E10)</f>
        <v/>
      </c>
    </row>
    <row r="11" ht="22" customHeight="1">
      <c r="A11" s="22" t="inlineStr">
        <is>
          <t>M01-F03</t>
        </is>
      </c>
      <c r="B11" s="23" t="inlineStr">
        <is>
          <t>Batch Archiving</t>
        </is>
      </c>
      <c r="C11" s="24">
        <f>COUNTIFS('Module01'!$C$2:$C$40, A11, 'Module01'!$M$2:$M$40, "High")</f>
        <v/>
      </c>
      <c r="D11" s="25">
        <f>COUNTIFS('Module01'!$C$2:$C$40, A11, 'Module01'!$M$2:$M$40, "Medium")</f>
        <v/>
      </c>
      <c r="E11" s="26">
        <f>COUNTIFS('Module01'!$C$2:$C$40, A11, 'Module01'!$M$2:$M$40, "Low")</f>
        <v/>
      </c>
      <c r="F11" s="27">
        <f>SUM(C11:E11)</f>
        <v/>
      </c>
    </row>
    <row r="12" ht="22" customHeight="1">
      <c r="A12" s="28" t="inlineStr">
        <is>
          <t>M01-F04</t>
        </is>
      </c>
      <c r="B12" s="29" t="inlineStr">
        <is>
          <t>Single Student Creation</t>
        </is>
      </c>
      <c r="C12" s="30">
        <f>COUNTIFS('Module01'!$C$2:$C$40, A12, 'Module01'!$M$2:$M$40, "High")</f>
        <v/>
      </c>
      <c r="D12" s="31">
        <f>COUNTIFS('Module01'!$C$2:$C$40, A12, 'Module01'!$M$2:$M$40, "Medium")</f>
        <v/>
      </c>
      <c r="E12" s="32">
        <f>COUNTIFS('Module01'!$C$2:$C$40, A12, 'Module01'!$M$2:$M$40, "Low")</f>
        <v/>
      </c>
      <c r="F12" s="33">
        <f>SUM(C12:E12)</f>
        <v/>
      </c>
    </row>
    <row r="13" ht="22" customHeight="1">
      <c r="A13" s="22" t="inlineStr">
        <is>
          <t>M01-F05</t>
        </is>
      </c>
      <c r="B13" s="23" t="inlineStr">
        <is>
          <t>Bulk Student Import</t>
        </is>
      </c>
      <c r="C13" s="24">
        <f>COUNTIFS('Module01'!$C$2:$C$40, A13, 'Module01'!$M$2:$M$40, "High")</f>
        <v/>
      </c>
      <c r="D13" s="25">
        <f>COUNTIFS('Module01'!$C$2:$C$40, A13, 'Module01'!$M$2:$M$40, "Medium")</f>
        <v/>
      </c>
      <c r="E13" s="26">
        <f>COUNTIFS('Module01'!$C$2:$C$40, A13, 'Module01'!$M$2:$M$40, "Low")</f>
        <v/>
      </c>
      <c r="F13" s="27">
        <f>SUM(C13:E13)</f>
        <v/>
      </c>
    </row>
    <row r="14" ht="22" customHeight="1">
      <c r="A14" s="28" t="inlineStr">
        <is>
          <t>M01-F06</t>
        </is>
      </c>
      <c r="B14" s="29" t="inlineStr">
        <is>
          <t>Student Editing</t>
        </is>
      </c>
      <c r="C14" s="30">
        <f>COUNTIFS('Module01'!$C$2:$C$40, A14, 'Module01'!$M$2:$M$40, "High")</f>
        <v/>
      </c>
      <c r="D14" s="31">
        <f>COUNTIFS('Module01'!$C$2:$C$40, A14, 'Module01'!$M$2:$M$40, "Medium")</f>
        <v/>
      </c>
      <c r="E14" s="32">
        <f>COUNTIFS('Module01'!$C$2:$C$40, A14, 'Module01'!$M$2:$M$40, "Low")</f>
        <v/>
      </c>
      <c r="F14" s="33">
        <f>SUM(C14:E14)</f>
        <v/>
      </c>
    </row>
    <row r="15" ht="22" customHeight="1">
      <c r="A15" s="22" t="inlineStr">
        <is>
          <t>M01-F07</t>
        </is>
      </c>
      <c r="B15" s="23" t="inlineStr">
        <is>
          <t>Follow-up Flag</t>
        </is>
      </c>
      <c r="C15" s="24">
        <f>COUNTIFS('Module01'!$C$2:$C$40, A15, 'Module01'!$M$2:$M$40, "High")</f>
        <v/>
      </c>
      <c r="D15" s="25">
        <f>COUNTIFS('Module01'!$C$2:$C$40, A15, 'Module01'!$M$2:$M$40, "Medium")</f>
        <v/>
      </c>
      <c r="E15" s="26">
        <f>COUNTIFS('Module01'!$C$2:$C$40, A15, 'Module01'!$M$2:$M$40, "Low")</f>
        <v/>
      </c>
      <c r="F15" s="27">
        <f>SUM(C15:E15)</f>
        <v/>
      </c>
    </row>
    <row r="16" ht="22" customHeight="1">
      <c r="A16" s="28" t="inlineStr">
        <is>
          <t>M01-F08</t>
        </is>
      </c>
      <c r="B16" s="29" t="inlineStr">
        <is>
          <t>Student Status Management</t>
        </is>
      </c>
      <c r="C16" s="30">
        <f>COUNTIFS('Module01'!$C$2:$C$40, A16, 'Module01'!$M$2:$M$40, "High")</f>
        <v/>
      </c>
      <c r="D16" s="31">
        <f>COUNTIFS('Module01'!$C$2:$C$40, A16, 'Module01'!$M$2:$M$40, "Medium")</f>
        <v/>
      </c>
      <c r="E16" s="32">
        <f>COUNTIFS('Module01'!$C$2:$C$40, A16, 'Module01'!$M$2:$M$40, "Low")</f>
        <v/>
      </c>
      <c r="F16" s="33">
        <f>SUM(C16:E16)</f>
        <v/>
      </c>
    </row>
    <row r="17" ht="22" customHeight="1">
      <c r="A17" s="22" t="inlineStr">
        <is>
          <t>M01-F09</t>
        </is>
      </c>
      <c r="B17" s="23" t="inlineStr">
        <is>
          <t>Search &amp; Filter</t>
        </is>
      </c>
      <c r="C17" s="24">
        <f>COUNTIFS('Module01'!$C$2:$C$40, A17, 'Module01'!$M$2:$M$40, "High")</f>
        <v/>
      </c>
      <c r="D17" s="25">
        <f>COUNTIFS('Module01'!$C$2:$C$40, A17, 'Module01'!$M$2:$M$40, "Medium")</f>
        <v/>
      </c>
      <c r="E17" s="26">
        <f>COUNTIFS('Module01'!$C$2:$C$40, A17, 'Module01'!$M$2:$M$40, "Low")</f>
        <v/>
      </c>
      <c r="F17" s="27">
        <f>SUM(C17:E17)</f>
        <v/>
      </c>
    </row>
    <row r="18" ht="22" customHeight="1">
      <c r="A18" s="28" t="inlineStr">
        <is>
          <t>M01-F10</t>
        </is>
      </c>
      <c r="B18" s="29" t="inlineStr">
        <is>
          <t>Dashboard Overview</t>
        </is>
      </c>
      <c r="C18" s="30">
        <f>COUNTIFS('Module01'!$C$2:$C$40, A18, 'Module01'!$M$2:$M$40, "High")</f>
        <v/>
      </c>
      <c r="D18" s="31">
        <f>COUNTIFS('Module01'!$C$2:$C$40, A18, 'Module01'!$M$2:$M$40, "Medium")</f>
        <v/>
      </c>
      <c r="E18" s="32">
        <f>COUNTIFS('Module01'!$C$2:$C$40, A18, 'Module01'!$M$2:$M$40, "Low")</f>
        <v/>
      </c>
      <c r="F18" s="33">
        <f>SUM(C18:E18)</f>
        <v/>
      </c>
    </row>
    <row r="19" ht="22" customHeight="1">
      <c r="A19" s="22" t="inlineStr">
        <is>
          <t>M01-SEC</t>
        </is>
      </c>
      <c r="B19" s="23" t="inlineStr">
        <is>
          <t>Access Control &amp; Security</t>
        </is>
      </c>
      <c r="C19" s="24">
        <f>COUNTIFS('Module01'!$C$2:$C$40, A19, 'Module01'!$M$2:$M$40, "High")</f>
        <v/>
      </c>
      <c r="D19" s="25">
        <f>COUNTIFS('Module01'!$C$2:$C$40, A19, 'Module01'!$M$2:$M$40, "Medium")</f>
        <v/>
      </c>
      <c r="E19" s="26">
        <f>COUNTIFS('Module01'!$C$2:$C$40, A19, 'Module01'!$M$2:$M$40, "Low")</f>
        <v/>
      </c>
      <c r="F19" s="27">
        <f>SUM(C19:E19)</f>
        <v/>
      </c>
    </row>
    <row r="20" ht="24" customHeight="1">
      <c r="A20" s="34" t="inlineStr">
        <is>
          <t>Total</t>
        </is>
      </c>
      <c r="B20" s="35">
        <f>COUNTA(A9:A19)&amp;" Features"</f>
        <v/>
      </c>
      <c r="C20" s="34">
        <f>SUM(C9:C19)</f>
        <v/>
      </c>
      <c r="D20" s="34">
        <f>SUM(D9:D19)</f>
        <v/>
      </c>
      <c r="E20" s="34">
        <f>SUM(E9:E19)</f>
        <v/>
      </c>
      <c r="F20" s="34">
        <f>SUM(F9:F19)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8" customWidth="1" min="4" max="4"/>
    <col width="32" customWidth="1" min="5" max="5"/>
    <col width="36" customWidth="1" min="6" max="6"/>
    <col width="30" customWidth="1" min="7" max="7"/>
    <col width="28" customWidth="1" min="8" max="8"/>
    <col width="48" customWidth="1" min="9" max="9"/>
    <col width="48" customWidth="1" min="10" max="10"/>
    <col width="36" customWidth="1" min="11" max="11"/>
    <col width="16" customWidth="1" min="12" max="12"/>
    <col width="14" customWidth="1" min="13" max="13"/>
    <col width="32" customWidth="1" min="14" max="14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Feature ID</t>
        </is>
      </c>
      <c r="D1" s="1" t="inlineStr">
        <is>
          <t>Feature Name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Preconditions</t>
        </is>
      </c>
      <c r="H1" s="1" t="inlineStr">
        <is>
          <t>TestData</t>
        </is>
      </c>
      <c r="I1" s="1" t="inlineStr">
        <is>
          <t>Steps</t>
        </is>
      </c>
      <c r="J1" s="1" t="inlineStr">
        <is>
          <t>ExpectedResult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Notes</t>
        </is>
      </c>
    </row>
    <row r="2" ht="105" customHeight="1">
      <c r="A2" s="2" t="inlineStr">
        <is>
          <t>TC-M01-001</t>
        </is>
      </c>
      <c r="B2" s="2" t="inlineStr">
        <is>
          <t>Module 01</t>
        </is>
      </c>
      <c r="C2" s="3" t="inlineStr">
        <is>
          <t>M01-F01</t>
        </is>
      </c>
      <c r="D2" s="4" t="inlineStr">
        <is>
          <t>Batch Creation</t>
        </is>
      </c>
      <c r="E2" s="4" t="inlineStr">
        <is>
          <t>Create Batch with Valid Name</t>
        </is>
      </c>
      <c r="F2" s="4" t="inlineStr">
        <is>
          <t>Verify that a batch can be created using a valid batch name matching the format PNVyyX (e.g. PNV26A).</t>
        </is>
      </c>
      <c r="G2" s="4" t="inlineStr">
        <is>
          <t>Staff user is logged in.</t>
        </is>
      </c>
      <c r="H2" s="4" t="inlineStr">
        <is>
          <t>BatchName=PNV26A; Status=Active</t>
        </is>
      </c>
      <c r="I2" s="4" t="inlineStr">
        <is>
          <t>1. Open Batch Management;
2. Click Create Batch;
3. Enter PNV26A as Batch Name;
4. Select Active status;
5. Click Save</t>
        </is>
      </c>
      <c r="J2" s="4" t="inlineStr">
        <is>
          <t>Batch is created successfully. Success notification appears. PNV26A is displayed in the batch list.</t>
        </is>
      </c>
      <c r="K2" s="4" t="inlineStr"/>
      <c r="L2" s="5" t="inlineStr">
        <is>
          <t>Not Run</t>
        </is>
      </c>
      <c r="M2" s="6" t="inlineStr">
        <is>
          <t>High</t>
        </is>
      </c>
      <c r="N2" s="4" t="inlineStr">
        <is>
          <t>Related Requirement: M01-F01, Scenario: BS-01</t>
        </is>
      </c>
    </row>
    <row r="3" ht="90" customHeight="1">
      <c r="A3" s="7" t="inlineStr">
        <is>
          <t>TC-M01-002</t>
        </is>
      </c>
      <c r="B3" s="7" t="inlineStr">
        <is>
          <t>Module 01</t>
        </is>
      </c>
      <c r="C3" s="8" t="inlineStr">
        <is>
          <t>M01-F01</t>
        </is>
      </c>
      <c r="D3" s="9" t="inlineStr">
        <is>
          <t>Batch Creation</t>
        </is>
      </c>
      <c r="E3" s="9" t="inlineStr">
        <is>
          <t>Create Batch with Invalid Name Format - Lowercase Letter</t>
        </is>
      </c>
      <c r="F3" s="9" t="inlineStr">
        <is>
          <t>Verify that the system rejects batch creation if the alphabet code is in lowercase (e.g. PNV26a).</t>
        </is>
      </c>
      <c r="G3" s="9" t="inlineStr">
        <is>
          <t>Staff user is logged in.</t>
        </is>
      </c>
      <c r="H3" s="9" t="inlineStr">
        <is>
          <t>BatchName=PNV26a; Status=Active</t>
        </is>
      </c>
      <c r="I3" s="9" t="inlineStr">
        <is>
          <t>1. Open Batch Management;
2. Click Create Batch;
3. Enter PNV26a as Batch Name;
4. Click Save</t>
        </is>
      </c>
      <c r="J3" s="9" t="inlineStr">
        <is>
          <t>System rejects creation. Error message appears: "Invalid batch name. Use format PNVyyX (e.g., PNV26A)."</t>
        </is>
      </c>
      <c r="K3" s="9" t="inlineStr"/>
      <c r="L3" s="5" t="inlineStr">
        <is>
          <t>Not Run</t>
        </is>
      </c>
      <c r="M3" s="6" t="inlineStr">
        <is>
          <t>High</t>
        </is>
      </c>
      <c r="N3" s="9" t="inlineStr">
        <is>
          <t>Related Requirement: M01-F01, Scenario: BS-01</t>
        </is>
      </c>
    </row>
    <row r="4" ht="90" customHeight="1">
      <c r="A4" s="2" t="inlineStr">
        <is>
          <t>TC-M01-003</t>
        </is>
      </c>
      <c r="B4" s="2" t="inlineStr">
        <is>
          <t>Module 01</t>
        </is>
      </c>
      <c r="C4" s="3" t="inlineStr">
        <is>
          <t>M01-F01</t>
        </is>
      </c>
      <c r="D4" s="4" t="inlineStr">
        <is>
          <t>Batch Creation</t>
        </is>
      </c>
      <c r="E4" s="4" t="inlineStr">
        <is>
          <t>Create Batch with Invalid Name Format - Wrong Prefix</t>
        </is>
      </c>
      <c r="F4" s="4" t="inlineStr">
        <is>
          <t>Verify that the system rejects batch creation if the prefix is not PNV (e.g. ABC26A).</t>
        </is>
      </c>
      <c r="G4" s="4" t="inlineStr">
        <is>
          <t>Staff user is logged in.</t>
        </is>
      </c>
      <c r="H4" s="4" t="inlineStr">
        <is>
          <t>BatchName=ABC26A; Status=Active</t>
        </is>
      </c>
      <c r="I4" s="4" t="inlineStr">
        <is>
          <t>1. Open Batch Management;
2. Click Create Batch;
3. Enter ABC26A as Batch Name;
4. Click Save</t>
        </is>
      </c>
      <c r="J4" s="4" t="inlineStr">
        <is>
          <t>System rejects creation. Error message appears: "Invalid batch name. Use format PNVyyX (e.g., PNV26A)."</t>
        </is>
      </c>
      <c r="K4" s="4" t="inlineStr"/>
      <c r="L4" s="5" t="inlineStr">
        <is>
          <t>Not Run</t>
        </is>
      </c>
      <c r="M4" s="6" t="inlineStr">
        <is>
          <t>High</t>
        </is>
      </c>
      <c r="N4" s="4" t="inlineStr">
        <is>
          <t>Related Requirement: M01-F01, Scenario: BS-01</t>
        </is>
      </c>
    </row>
    <row r="5" ht="90" customHeight="1">
      <c r="A5" s="7" t="inlineStr">
        <is>
          <t>TC-M01-004</t>
        </is>
      </c>
      <c r="B5" s="7" t="inlineStr">
        <is>
          <t>Module 01</t>
        </is>
      </c>
      <c r="C5" s="8" t="inlineStr">
        <is>
          <t>M01-F01</t>
        </is>
      </c>
      <c r="D5" s="9" t="inlineStr">
        <is>
          <t>Batch Creation</t>
        </is>
      </c>
      <c r="E5" s="9" t="inlineStr">
        <is>
          <t>Create Batch with Invalid Name Format - 4-digit Year</t>
        </is>
      </c>
      <c r="F5" s="9" t="inlineStr">
        <is>
          <t>Verify that the system rejects batch creation if the year is written in 4 digits (e.g. PNV2026A).</t>
        </is>
      </c>
      <c r="G5" s="9" t="inlineStr">
        <is>
          <t>Staff user is logged in.</t>
        </is>
      </c>
      <c r="H5" s="9" t="inlineStr">
        <is>
          <t>BatchName=PNV2026A; Status=Active</t>
        </is>
      </c>
      <c r="I5" s="9" t="inlineStr">
        <is>
          <t>1. Open Batch Management;
2. Click Create Batch;
3. Enter PNV2026A as Batch Name;
4. Click Save</t>
        </is>
      </c>
      <c r="J5" s="9" t="inlineStr">
        <is>
          <t>System rejects creation. Error message appears: "Invalid batch name. Use format PNVyyX (e.g., PNV26A)."</t>
        </is>
      </c>
      <c r="K5" s="9" t="inlineStr"/>
      <c r="L5" s="5" t="inlineStr">
        <is>
          <t>Not Run</t>
        </is>
      </c>
      <c r="M5" s="6" t="inlineStr">
        <is>
          <t>High</t>
        </is>
      </c>
      <c r="N5" s="9" t="inlineStr">
        <is>
          <t>Related Requirement: M01-F01, Scenario: BS-01</t>
        </is>
      </c>
    </row>
    <row r="6" ht="90" customHeight="1">
      <c r="A6" s="2" t="inlineStr">
        <is>
          <t>TC-M01-005</t>
        </is>
      </c>
      <c r="B6" s="2" t="inlineStr">
        <is>
          <t>Module 01</t>
        </is>
      </c>
      <c r="C6" s="3" t="inlineStr">
        <is>
          <t>M01-F01</t>
        </is>
      </c>
      <c r="D6" s="4" t="inlineStr">
        <is>
          <t>Batch Creation</t>
        </is>
      </c>
      <c r="E6" s="4" t="inlineStr">
        <is>
          <t>Create Batch with Invalid Name Format - Multiple Letters</t>
        </is>
      </c>
      <c r="F6" s="4" t="inlineStr">
        <is>
          <t>Verify that the system rejects batch creation if there are multiple suffix letters (e.g. PNV26AA).</t>
        </is>
      </c>
      <c r="G6" s="4" t="inlineStr">
        <is>
          <t>Staff user is logged in.</t>
        </is>
      </c>
      <c r="H6" s="4" t="inlineStr">
        <is>
          <t>BatchName=PNV26AA; Status=Active</t>
        </is>
      </c>
      <c r="I6" s="4" t="inlineStr">
        <is>
          <t>1. Open Batch Management;
2. Click Create Batch;
3. Enter PNV26AA as Batch Name;
4. Click Save</t>
        </is>
      </c>
      <c r="J6" s="4" t="inlineStr">
        <is>
          <t>System rejects creation. Error message appears: "Invalid batch name. Use format PNVyyX (e.g., PNV26A)."</t>
        </is>
      </c>
      <c r="K6" s="4" t="inlineStr"/>
      <c r="L6" s="5" t="inlineStr">
        <is>
          <t>Not Run</t>
        </is>
      </c>
      <c r="M6" s="6" t="inlineStr">
        <is>
          <t>High</t>
        </is>
      </c>
      <c r="N6" s="4" t="inlineStr">
        <is>
          <t>Related Requirement: M01-F01, Scenario: BS-01</t>
        </is>
      </c>
    </row>
    <row r="7" ht="90" customHeight="1">
      <c r="A7" s="7" t="inlineStr">
        <is>
          <t>TC-M01-006</t>
        </is>
      </c>
      <c r="B7" s="7" t="inlineStr">
        <is>
          <t>Module 01</t>
        </is>
      </c>
      <c r="C7" s="8" t="inlineStr">
        <is>
          <t>M01-F01</t>
        </is>
      </c>
      <c r="D7" s="9" t="inlineStr">
        <is>
          <t>Batch Creation</t>
        </is>
      </c>
      <c r="E7" s="9" t="inlineStr">
        <is>
          <t>Create Batch with Empty Name</t>
        </is>
      </c>
      <c r="F7" s="9" t="inlineStr">
        <is>
          <t>Verify that a batch cannot be saved with an empty name.</t>
        </is>
      </c>
      <c r="G7" s="9" t="inlineStr">
        <is>
          <t>Staff user is logged in.</t>
        </is>
      </c>
      <c r="H7" s="9" t="inlineStr">
        <is>
          <t>BatchName=; Status=Active</t>
        </is>
      </c>
      <c r="I7" s="9" t="inlineStr">
        <is>
          <t>1. Open Batch Management;
2. Click Create Batch;
3. Leave Batch Name empty;
4. Click Save</t>
        </is>
      </c>
      <c r="J7" s="9" t="inlineStr">
        <is>
          <t>System rejects save. Error message appears indicating batch name is required. Saving is blocked.</t>
        </is>
      </c>
      <c r="K7" s="9" t="inlineStr"/>
      <c r="L7" s="5" t="inlineStr">
        <is>
          <t>Not Run</t>
        </is>
      </c>
      <c r="M7" s="6" t="inlineStr">
        <is>
          <t>High</t>
        </is>
      </c>
      <c r="N7" s="9" t="inlineStr">
        <is>
          <t>Related Requirement: M01-F01, Scenario: BS-01</t>
        </is>
      </c>
    </row>
    <row r="8" ht="90" customHeight="1">
      <c r="A8" s="2" t="inlineStr">
        <is>
          <t>TC-M01-007</t>
        </is>
      </c>
      <c r="B8" s="2" t="inlineStr">
        <is>
          <t>Module 01</t>
        </is>
      </c>
      <c r="C8" s="3" t="inlineStr">
        <is>
          <t>M01-F01</t>
        </is>
      </c>
      <c r="D8" s="4" t="inlineStr">
        <is>
          <t>Batch Creation</t>
        </is>
      </c>
      <c r="E8" s="4" t="inlineStr">
        <is>
          <t>Create Batch with Duplicate Name</t>
        </is>
      </c>
      <c r="F8" s="4" t="inlineStr">
        <is>
          <t>Verify that the system rejects batch creation if the name already exists (case-insensitive).</t>
        </is>
      </c>
      <c r="G8" s="4" t="inlineStr">
        <is>
          <t>Staff user is logged in. Batch PNV26A already exists.</t>
        </is>
      </c>
      <c r="H8" s="4" t="inlineStr">
        <is>
          <t>BatchName=pnv26a; Status=Active</t>
        </is>
      </c>
      <c r="I8" s="4" t="inlineStr">
        <is>
          <t>1. Open Batch Management;
2. Click Create Batch;
3. Enter pnv26a (lowercase) as Batch Name;
4. Click Save</t>
        </is>
      </c>
      <c r="J8" s="4" t="inlineStr">
        <is>
          <t>System rejects creation. Error message appears: "A batch named "PNV26A" already exists."</t>
        </is>
      </c>
      <c r="K8" s="4" t="inlineStr"/>
      <c r="L8" s="5" t="inlineStr">
        <is>
          <t>Not Run</t>
        </is>
      </c>
      <c r="M8" s="6" t="inlineStr">
        <is>
          <t>High</t>
        </is>
      </c>
      <c r="N8" s="4" t="inlineStr">
        <is>
          <t>Related Requirement: M01-F01, Scenario: BS-01</t>
        </is>
      </c>
    </row>
    <row r="9" ht="90" customHeight="1">
      <c r="A9" s="7" t="inlineStr">
        <is>
          <t>TC-M01-008</t>
        </is>
      </c>
      <c r="B9" s="7" t="inlineStr">
        <is>
          <t>Module 01</t>
        </is>
      </c>
      <c r="C9" s="8" t="inlineStr">
        <is>
          <t>M01-F02</t>
        </is>
      </c>
      <c r="D9" s="9" t="inlineStr">
        <is>
          <t>Batch Editing</t>
        </is>
      </c>
      <c r="E9" s="9" t="inlineStr">
        <is>
          <t>Rename Batch with Valid Unique Name</t>
        </is>
      </c>
      <c r="F9" s="9" t="inlineStr">
        <is>
          <t>Verify that an existing batch can be successfully renamed to a new valid unique name.</t>
        </is>
      </c>
      <c r="G9" s="9" t="inlineStr">
        <is>
          <t>Staff user is logged in. Batch PNV26A exists.</t>
        </is>
      </c>
      <c r="H9" s="9" t="inlineStr">
        <is>
          <t>OldBatchName=PNV26A; NewBatchName=PNV26C</t>
        </is>
      </c>
      <c r="I9" s="9" t="inlineStr">
        <is>
          <t>1. Open Batch Management;
2. Select batch PNV26A and click Edit;
3. Change name to PNV26C;
4. Click Save</t>
        </is>
      </c>
      <c r="J9" s="9" t="inlineStr">
        <is>
          <t>Batch is renamed successfully. Success notification appears. PNV26C is displayed in the batch list.</t>
        </is>
      </c>
      <c r="K9" s="9" t="inlineStr"/>
      <c r="L9" s="5" t="inlineStr">
        <is>
          <t>Not Run</t>
        </is>
      </c>
      <c r="M9" s="6" t="inlineStr">
        <is>
          <t>High</t>
        </is>
      </c>
      <c r="N9" s="9" t="inlineStr">
        <is>
          <t>Related Requirement: M01-F02, Scenario: BS-02</t>
        </is>
      </c>
    </row>
    <row r="10" ht="90" customHeight="1">
      <c r="A10" s="2" t="inlineStr">
        <is>
          <t>TC-M01-009</t>
        </is>
      </c>
      <c r="B10" s="2" t="inlineStr">
        <is>
          <t>Module 01</t>
        </is>
      </c>
      <c r="C10" s="3" t="inlineStr">
        <is>
          <t>M01-F02</t>
        </is>
      </c>
      <c r="D10" s="4" t="inlineStr">
        <is>
          <t>Batch Editing</t>
        </is>
      </c>
      <c r="E10" s="4" t="inlineStr">
        <is>
          <t>Rename Batch to Existing Name Blocked</t>
        </is>
      </c>
      <c r="F10" s="4" t="inlineStr">
        <is>
          <t>Verify that renaming a batch to a name that already exists is blocked by the system.</t>
        </is>
      </c>
      <c r="G10" s="4" t="inlineStr">
        <is>
          <t>Staff user is logged in. Batches PNV26A and PNV26B exist.</t>
        </is>
      </c>
      <c r="H10" s="4" t="inlineStr">
        <is>
          <t>TargetBatch=PNV26B; NewBatchName=PNV26A</t>
        </is>
      </c>
      <c r="I10" s="4" t="inlineStr">
        <is>
          <t>1. Open Batch Management;
2. Select batch PNV26B and click Edit;
3. Change name to PNV26A;
4. Click Save</t>
        </is>
      </c>
      <c r="J10" s="4" t="inlineStr">
        <is>
          <t>System rejects update. Error message appears: "A batch named "PNV26A" already exists."</t>
        </is>
      </c>
      <c r="K10" s="4" t="inlineStr"/>
      <c r="L10" s="5" t="inlineStr">
        <is>
          <t>Not Run</t>
        </is>
      </c>
      <c r="M10" s="6" t="inlineStr">
        <is>
          <t>High</t>
        </is>
      </c>
      <c r="N10" s="4" t="inlineStr">
        <is>
          <t>Related Requirement: M01-F02, Scenario: BS-02</t>
        </is>
      </c>
    </row>
    <row r="11" ht="90" customHeight="1">
      <c r="A11" s="7" t="inlineStr">
        <is>
          <t>TC-M01-010</t>
        </is>
      </c>
      <c r="B11" s="7" t="inlineStr">
        <is>
          <t>Module 01</t>
        </is>
      </c>
      <c r="C11" s="8" t="inlineStr">
        <is>
          <t>M01-F02</t>
        </is>
      </c>
      <c r="D11" s="9" t="inlineStr">
        <is>
          <t>Batch Editing</t>
        </is>
      </c>
      <c r="E11" s="9" t="inlineStr">
        <is>
          <t>Rename Batch to Invalid Format Blocked</t>
        </is>
      </c>
      <c r="F11" s="9" t="inlineStr">
        <is>
          <t>Verify that renaming a batch to an invalid format is blocked by the system.</t>
        </is>
      </c>
      <c r="G11" s="9" t="inlineStr">
        <is>
          <t>Staff user is logged in. Batch PNV26A exists.</t>
        </is>
      </c>
      <c r="H11" s="9" t="inlineStr">
        <is>
          <t>TargetBatch=PNV26A; NewBatchName=PNV26AA</t>
        </is>
      </c>
      <c r="I11" s="9" t="inlineStr">
        <is>
          <t>1. Open Batch Management;
2. Select batch PNV26A and click Edit;
3. Change name to PNV26AA;
4. Click Save</t>
        </is>
      </c>
      <c r="J11" s="9" t="inlineStr">
        <is>
          <t>System rejects update. Error message appears: "Invalid batch name. Use format PNVyyX (e.g., PNV26A)."</t>
        </is>
      </c>
      <c r="K11" s="9" t="inlineStr"/>
      <c r="L11" s="5" t="inlineStr">
        <is>
          <t>Not Run</t>
        </is>
      </c>
      <c r="M11" s="6" t="inlineStr">
        <is>
          <t>High</t>
        </is>
      </c>
      <c r="N11" s="9" t="inlineStr">
        <is>
          <t>Related Requirement: M01-F02, Scenario: BS-02</t>
        </is>
      </c>
    </row>
    <row r="12" ht="90" customHeight="1">
      <c r="A12" s="2" t="inlineStr">
        <is>
          <t>TC-M01-011</t>
        </is>
      </c>
      <c r="B12" s="2" t="inlineStr">
        <is>
          <t>Module 01</t>
        </is>
      </c>
      <c r="C12" s="3" t="inlineStr">
        <is>
          <t>M01-F03</t>
        </is>
      </c>
      <c r="D12" s="4" t="inlineStr">
        <is>
          <t>Batch Archiving</t>
        </is>
      </c>
      <c r="E12" s="4" t="inlineStr">
        <is>
          <t>Archive Active Batch</t>
        </is>
      </c>
      <c r="F12" s="4" t="inlineStr">
        <is>
          <t>Verify that an active batch can be archived by setting its Active status to false.</t>
        </is>
      </c>
      <c r="G12" s="4" t="inlineStr">
        <is>
          <t>Staff user is logged in. Batch PNV26A is active.</t>
        </is>
      </c>
      <c r="H12" s="4" t="inlineStr">
        <is>
          <t>BatchName=PNV26A; ActiveStatus=false</t>
        </is>
      </c>
      <c r="I12" s="4" t="inlineStr">
        <is>
          <t>1. Open Batch Management;
2. Select batch PNV26A and click Archive (or edit and uncheck Active);
3. Confirm archive action</t>
        </is>
      </c>
      <c r="J12" s="4" t="inlineStr">
        <is>
          <t>Batch is archived successfully. Active status becomes false in database. The batch is hidden from active lists.</t>
        </is>
      </c>
      <c r="K12" s="4" t="inlineStr"/>
      <c r="L12" s="5" t="inlineStr">
        <is>
          <t>Not Run</t>
        </is>
      </c>
      <c r="M12" s="6" t="inlineStr">
        <is>
          <t>High</t>
        </is>
      </c>
      <c r="N12" s="4" t="inlineStr">
        <is>
          <t>Related Requirement: M01-F03, Scenario: BS-03</t>
        </is>
      </c>
    </row>
    <row r="13" ht="105" customHeight="1">
      <c r="A13" s="7" t="inlineStr">
        <is>
          <t>TC-M01-012</t>
        </is>
      </c>
      <c r="B13" s="7" t="inlineStr">
        <is>
          <t>Module 01</t>
        </is>
      </c>
      <c r="C13" s="8" t="inlineStr">
        <is>
          <t>M01-F03</t>
        </is>
      </c>
      <c r="D13" s="9" t="inlineStr">
        <is>
          <t>Batch Archiving</t>
        </is>
      </c>
      <c r="E13" s="9" t="inlineStr">
        <is>
          <t>Reactivate Archived Batch</t>
        </is>
      </c>
      <c r="F13" s="9" t="inlineStr">
        <is>
          <t>Verify that an archived batch can be reactivated by setting its Active status to true.</t>
        </is>
      </c>
      <c r="G13" s="9" t="inlineStr">
        <is>
          <t>Staff user is logged in. Batch PNV26A is archived (Active = false).</t>
        </is>
      </c>
      <c r="H13" s="9" t="inlineStr">
        <is>
          <t>BatchName=PNV26A; ActiveStatus=true</t>
        </is>
      </c>
      <c r="I13" s="9" t="inlineStr">
        <is>
          <t>1. Open Batch Management;
2. Filter by Archived batches;
3. Select batch PNV26A and click Reactivate;
4. Confirm reactivate action</t>
        </is>
      </c>
      <c r="J13" s="9" t="inlineStr">
        <is>
          <t>Batch is reactivated successfully. Active status becomes true in database. The batch appears in active lists.</t>
        </is>
      </c>
      <c r="K13" s="9" t="inlineStr"/>
      <c r="L13" s="5" t="inlineStr">
        <is>
          <t>Not Run</t>
        </is>
      </c>
      <c r="M13" s="6" t="inlineStr">
        <is>
          <t>High</t>
        </is>
      </c>
      <c r="N13" s="9" t="inlineStr">
        <is>
          <t>Related Requirement: M01-F03, Scenario: BS-03</t>
        </is>
      </c>
    </row>
    <row r="14" ht="75" customHeight="1">
      <c r="A14" s="2" t="inlineStr">
        <is>
          <t>TC-M01-013</t>
        </is>
      </c>
      <c r="B14" s="2" t="inlineStr">
        <is>
          <t>Module 01</t>
        </is>
      </c>
      <c r="C14" s="3" t="inlineStr">
        <is>
          <t>M01-F03</t>
        </is>
      </c>
      <c r="D14" s="4" t="inlineStr">
        <is>
          <t>Batch Archiving</t>
        </is>
      </c>
      <c r="E14" s="4" t="inlineStr">
        <is>
          <t>Verify No Permanent Batch Deletion Feature</t>
        </is>
      </c>
      <c r="F14" s="4" t="inlineStr">
        <is>
          <t>Verify that the system does not support permanent deletion of batches to preserve historical records.</t>
        </is>
      </c>
      <c r="G14" s="4" t="inlineStr">
        <is>
          <t>Staff user is logged in. Batch PNV26A exists.</t>
        </is>
      </c>
      <c r="H14" s="4" t="inlineStr">
        <is>
          <t>BatchName=PNV26A</t>
        </is>
      </c>
      <c r="I14" s="4" t="inlineStr">
        <is>
          <t>1. Open Batch Management;
2. View batch PNV26A details or edit form;
3. Check UI for Delete button</t>
        </is>
      </c>
      <c r="J14" s="4" t="inlineStr">
        <is>
          <t>No permanent delete button is available on the interface. Archiving/status toggles are the only status-changing options.</t>
        </is>
      </c>
      <c r="K14" s="4" t="inlineStr"/>
      <c r="L14" s="5" t="inlineStr">
        <is>
          <t>Not Run</t>
        </is>
      </c>
      <c r="M14" s="10" t="inlineStr">
        <is>
          <t>Medium</t>
        </is>
      </c>
      <c r="N14" s="4" t="inlineStr">
        <is>
          <t>Related Requirement: M01-F03, Scenario: BS-03</t>
        </is>
      </c>
    </row>
    <row r="15" ht="180" customHeight="1">
      <c r="A15" s="7" t="inlineStr">
        <is>
          <t>TC-M01-014</t>
        </is>
      </c>
      <c r="B15" s="7" t="inlineStr">
        <is>
          <t>Module 01</t>
        </is>
      </c>
      <c r="C15" s="8" t="inlineStr">
        <is>
          <t>M01-F04</t>
        </is>
      </c>
      <c r="D15" s="9" t="inlineStr">
        <is>
          <t>Single Student Creation</t>
        </is>
      </c>
      <c r="E15" s="9" t="inlineStr">
        <is>
          <t>Create Student Manually with Valid Fields</t>
        </is>
      </c>
      <c r="F15" s="9" t="inlineStr">
        <is>
          <t>Verify that a new student profile can be successfully created manually with all valid fields.</t>
        </is>
      </c>
      <c r="G15" s="9" t="inlineStr">
        <is>
          <t>Staff user is logged in. Batch PNV26A exists.</t>
        </is>
      </c>
      <c r="H15" s="9" t="inlineStr">
        <is>
          <t>StudentCode=ST001; StudentName=Nguyen Van A; DateOfBirth=2006-05-15; Gender=Male; Email=nguyenvana.st26@student.passerellesnumeriques.org; ProfilePhoto=avatar.png; AssociatedBatch=PNV26A</t>
        </is>
      </c>
      <c r="I15" s="9" t="inlineStr">
        <is>
          <t>1. Open Batch Management and select batch PNV26A;
2. Click Add Student;
3. Enter Student Code ST001, Name 'Nguyen Van A';
4. Select Date of Birth 15/05/2006 and Gender Male;
5. Enter Email nguyenvana.st26@student.passerellesnumeriques.org;
6. Upload profile photo;
7. Click Save</t>
        </is>
      </c>
      <c r="J15" s="9" t="inlineStr">
        <is>
          <t>Student profile is created successfully. Success notification appears. The student is active by default and displayed in the batch list.</t>
        </is>
      </c>
      <c r="K15" s="9" t="inlineStr"/>
      <c r="L15" s="5" t="inlineStr">
        <is>
          <t>Not Run</t>
        </is>
      </c>
      <c r="M15" s="6" t="inlineStr">
        <is>
          <t>High</t>
        </is>
      </c>
      <c r="N15" s="9" t="inlineStr">
        <is>
          <t>Related Requirement: M01-F04, Scenario: BS-04</t>
        </is>
      </c>
    </row>
    <row r="16" ht="135" customHeight="1">
      <c r="A16" s="2" t="inlineStr">
        <is>
          <t>TC-M01-015</t>
        </is>
      </c>
      <c r="B16" s="2" t="inlineStr">
        <is>
          <t>Module 01</t>
        </is>
      </c>
      <c r="C16" s="3" t="inlineStr">
        <is>
          <t>M01-F04</t>
        </is>
      </c>
      <c r="D16" s="4" t="inlineStr">
        <is>
          <t>Single Student Creation</t>
        </is>
      </c>
      <c r="E16" s="4" t="inlineStr">
        <is>
          <t>Create Student with Duplicate Student Code</t>
        </is>
      </c>
      <c r="F16" s="4" t="inlineStr">
        <is>
          <t>Verify that manually creating a student with a student code that already exists is blocked.</t>
        </is>
      </c>
      <c r="G16" s="4" t="inlineStr">
        <is>
          <t>Staff user is logged in. Student ST001 exists.</t>
        </is>
      </c>
      <c r="H16" s="4" t="inlineStr">
        <is>
          <t>StudentCode=st001; StudentName=Tran Thi B; Email=tranthib.st26@student.passerellesnumeriques.org; AssociatedBatch=PNV26A</t>
        </is>
      </c>
      <c r="I16" s="4" t="inlineStr">
        <is>
          <t>1. Open Batch Management and select batch PNV26A;
2. Click Add Student;
3. Enter duplicate Student Code st001 (lowercase);
4. Enter Name and Email;
5. Click Save</t>
        </is>
      </c>
      <c r="J16" s="4" t="inlineStr">
        <is>
          <t>System rejects creation. Error message appears: "Duplicate student code: st001."</t>
        </is>
      </c>
      <c r="K16" s="4" t="inlineStr"/>
      <c r="L16" s="5" t="inlineStr">
        <is>
          <t>Not Run</t>
        </is>
      </c>
      <c r="M16" s="6" t="inlineStr">
        <is>
          <t>High</t>
        </is>
      </c>
      <c r="N16" s="4" t="inlineStr">
        <is>
          <t>Related Requirement: M01-F04, Scenario: BS-04</t>
        </is>
      </c>
    </row>
    <row r="17" ht="120" customHeight="1">
      <c r="A17" s="7" t="inlineStr">
        <is>
          <t>TC-M01-016</t>
        </is>
      </c>
      <c r="B17" s="7" t="inlineStr">
        <is>
          <t>Module 01</t>
        </is>
      </c>
      <c r="C17" s="8" t="inlineStr">
        <is>
          <t>M01-F04</t>
        </is>
      </c>
      <c r="D17" s="9" t="inlineStr">
        <is>
          <t>Single Student Creation</t>
        </is>
      </c>
      <c r="E17" s="9" t="inlineStr">
        <is>
          <t>Create Student with Invalid Email Format</t>
        </is>
      </c>
      <c r="F17" s="9" t="inlineStr">
        <is>
          <t>Verify that manually creating a student with an invalid email format is blocked by validation.</t>
        </is>
      </c>
      <c r="G17" s="9" t="inlineStr">
        <is>
          <t>Staff user is logged in.</t>
        </is>
      </c>
      <c r="H17" s="9" t="inlineStr">
        <is>
          <t>StudentCode=ST002; StudentName=Tran Thi B; Email=tranthib.st26@invalid; AssociatedBatch=PNV26A</t>
        </is>
      </c>
      <c r="I17" s="9" t="inlineStr">
        <is>
          <t>1. Open Batch Management and select batch PNV26A;
2. Click Add Student;
3. Enter ST002 and Tran Thi B;
4. Enter email tranthib.st26@invalid;
5. Click Save</t>
        </is>
      </c>
      <c r="J17" s="9" t="inlineStr">
        <is>
          <t>System rejects saving. A validation error message requires a valid email format. Saving is blocked.</t>
        </is>
      </c>
      <c r="K17" s="9" t="inlineStr"/>
      <c r="L17" s="5" t="inlineStr">
        <is>
          <t>Not Run</t>
        </is>
      </c>
      <c r="M17" s="6" t="inlineStr">
        <is>
          <t>High</t>
        </is>
      </c>
      <c r="N17" s="9" t="inlineStr">
        <is>
          <t>Related Requirement: M01-F04, Scenario: BS-04</t>
        </is>
      </c>
    </row>
    <row r="18" ht="105" customHeight="1">
      <c r="A18" s="2" t="inlineStr">
        <is>
          <t>TC-M01-017</t>
        </is>
      </c>
      <c r="B18" s="2" t="inlineStr">
        <is>
          <t>Module 01</t>
        </is>
      </c>
      <c r="C18" s="3" t="inlineStr">
        <is>
          <t>M01-F04</t>
        </is>
      </c>
      <c r="D18" s="4" t="inlineStr">
        <is>
          <t>Single Student Creation</t>
        </is>
      </c>
      <c r="E18" s="4" t="inlineStr">
        <is>
          <t>Create Student with Missing Required Fields</t>
        </is>
      </c>
      <c r="F18" s="4" t="inlineStr">
        <is>
          <t>Verify that manually creating a student fails if required fields like student code or name are missing.</t>
        </is>
      </c>
      <c r="G18" s="4" t="inlineStr">
        <is>
          <t>Staff user is logged in.</t>
        </is>
      </c>
      <c r="H18" s="4" t="inlineStr">
        <is>
          <t>StudentCode=; StudentName=; AssociatedBatch=PNV26A</t>
        </is>
      </c>
      <c r="I18" s="4" t="inlineStr">
        <is>
          <t>1. Open Batch Management and select batch PNV26A;
2. Click Add Student;
3. Leave Student Code and Name empty;
4. Click Save</t>
        </is>
      </c>
      <c r="J18" s="4" t="inlineStr">
        <is>
          <t>System rejects saving. Validation error messages for required fields are displayed. Saving is blocked.</t>
        </is>
      </c>
      <c r="K18" s="4" t="inlineStr"/>
      <c r="L18" s="5" t="inlineStr">
        <is>
          <t>Not Run</t>
        </is>
      </c>
      <c r="M18" s="6" t="inlineStr">
        <is>
          <t>High</t>
        </is>
      </c>
      <c r="N18" s="4" t="inlineStr">
        <is>
          <t>Related Requirement: M01-F04, Scenario: BS-04</t>
        </is>
      </c>
    </row>
    <row r="19" ht="75" customHeight="1">
      <c r="A19" s="7" t="inlineStr">
        <is>
          <t>TC-M01-020</t>
        </is>
      </c>
      <c r="B19" s="7" t="inlineStr">
        <is>
          <t>Module 01</t>
        </is>
      </c>
      <c r="C19" s="8" t="inlineStr">
        <is>
          <t>M01-F05</t>
        </is>
      </c>
      <c r="D19" s="9" t="inlineStr">
        <is>
          <t>Bulk Student Import</t>
        </is>
      </c>
      <c r="E19" s="9" t="inlineStr">
        <is>
          <t>CSV Student Import Fails due to Missing Required Column</t>
        </is>
      </c>
      <c r="F19" s="9" t="inlineStr">
        <is>
          <t>Verify that student bulk import via CSV rejects files missing required columns (e.g. Student Code).</t>
        </is>
      </c>
      <c r="G19" s="9" t="inlineStr">
        <is>
          <t>Staff user is logged in.</t>
        </is>
      </c>
      <c r="H19" s="9" t="inlineStr">
        <is>
          <t>CSV file missing 'Student Code' header column</t>
        </is>
      </c>
      <c r="I19" s="9" t="inlineStr">
        <is>
          <t>1. Open Student CSV Import page;
2. Upload the CSV file missing Student Code;
3. Click Import</t>
        </is>
      </c>
      <c r="J19" s="9" t="inlineStr">
        <is>
          <t>The system rejects the entire CSV file. Error message appears: "Required columns must exist.". No records are imported.</t>
        </is>
      </c>
      <c r="K19" s="9" t="inlineStr"/>
      <c r="L19" s="5" t="inlineStr">
        <is>
          <t>Not Run</t>
        </is>
      </c>
      <c r="M19" s="6" t="inlineStr">
        <is>
          <t>High</t>
        </is>
      </c>
      <c r="N19" s="9" t="inlineStr">
        <is>
          <t>Related Requirement: M01-F05, Scenario: BS-05</t>
        </is>
      </c>
    </row>
    <row r="20" ht="75" customHeight="1">
      <c r="A20" s="2" t="inlineStr">
        <is>
          <t>TC-M01-021</t>
        </is>
      </c>
      <c r="B20" s="2" t="inlineStr">
        <is>
          <t>Module 01</t>
        </is>
      </c>
      <c r="C20" s="3" t="inlineStr">
        <is>
          <t>M01-F05</t>
        </is>
      </c>
      <c r="D20" s="4" t="inlineStr">
        <is>
          <t>Bulk Student Import</t>
        </is>
      </c>
      <c r="E20" s="4" t="inlineStr">
        <is>
          <t>CSV Student Import Fails due to Invalid Email Format</t>
        </is>
      </c>
      <c r="F20" s="4" t="inlineStr">
        <is>
          <t>Verify that bulk import via CSV rejects the file if a student email format is invalid.</t>
        </is>
      </c>
      <c r="G20" s="4" t="inlineStr">
        <is>
          <t>Staff user is logged in.</t>
        </is>
      </c>
      <c r="H20" s="4" t="inlineStr">
        <is>
          <t>CSV file containing a row with email 'hoangvane.st26@invalid_email_domain'</t>
        </is>
      </c>
      <c r="I20" s="4" t="inlineStr">
        <is>
          <t>1. Open Student CSV Import page;
2. Upload the CSV file containing the invalid email;
3. Click Import</t>
        </is>
      </c>
      <c r="J20" s="4" t="inlineStr">
        <is>
          <t>The system rejects the import. Error message appears: "Valid email format" required. No records are updated or created.</t>
        </is>
      </c>
      <c r="K20" s="4" t="inlineStr"/>
      <c r="L20" s="5" t="inlineStr">
        <is>
          <t>Not Run</t>
        </is>
      </c>
      <c r="M20" s="6" t="inlineStr">
        <is>
          <t>High</t>
        </is>
      </c>
      <c r="N20" s="4" t="inlineStr">
        <is>
          <t>Related Requirement: M01-F05, Scenario: BS-05</t>
        </is>
      </c>
    </row>
    <row r="21" ht="120" customHeight="1">
      <c r="A21" s="7" t="inlineStr">
        <is>
          <t>TC-M01-022</t>
        </is>
      </c>
      <c r="B21" s="7" t="inlineStr">
        <is>
          <t>Module 01</t>
        </is>
      </c>
      <c r="C21" s="8" t="inlineStr">
        <is>
          <t>M01-F06</t>
        </is>
      </c>
      <c r="D21" s="9" t="inlineStr">
        <is>
          <t>Student Editing</t>
        </is>
      </c>
      <c r="E21" s="9" t="inlineStr">
        <is>
          <t>Edit Student Profile with Valid Fields</t>
        </is>
      </c>
      <c r="F21" s="9" t="inlineStr">
        <is>
          <t>Verify that staff can successfully edit an existing student profile with valid values.</t>
        </is>
      </c>
      <c r="G21" s="9" t="inlineStr">
        <is>
          <t>Staff user is logged in. Student ST001 exists.</t>
        </is>
      </c>
      <c r="H21" s="9" t="inlineStr">
        <is>
          <t>StudentCode=ST001; NewName=Nguyen Van A Updated; NewEmail=nguyenvana.new@student.passerellesnumeriques.org</t>
        </is>
      </c>
      <c r="I21" s="9" t="inlineStr">
        <is>
          <t>1. Open Batch Management and select student ST001;
2. Click Edit;
3. Change Name to 'Nguyen Van A Updated' and Email to 'nguyenvana.new@student.passerellesnumeriques.org';
4. Click Save</t>
        </is>
      </c>
      <c r="J21" s="9" t="inlineStr">
        <is>
          <t>Student profile is updated successfully. Success notification appears. The new info is displayed immediately in lists.</t>
        </is>
      </c>
      <c r="K21" s="9" t="inlineStr"/>
      <c r="L21" s="5" t="inlineStr">
        <is>
          <t>Not Run</t>
        </is>
      </c>
      <c r="M21" s="6" t="inlineStr">
        <is>
          <t>High</t>
        </is>
      </c>
      <c r="N21" s="9" t="inlineStr">
        <is>
          <t>Related Requirement: M01-F06, Scenario: BS-06</t>
        </is>
      </c>
    </row>
    <row r="22" ht="90" customHeight="1">
      <c r="A22" s="2" t="inlineStr">
        <is>
          <t>TC-M01-023</t>
        </is>
      </c>
      <c r="B22" s="2" t="inlineStr">
        <is>
          <t>Module 01</t>
        </is>
      </c>
      <c r="C22" s="3" t="inlineStr">
        <is>
          <t>M01-F06</t>
        </is>
      </c>
      <c r="D22" s="4" t="inlineStr">
        <is>
          <t>Student Editing</t>
        </is>
      </c>
      <c r="E22" s="4" t="inlineStr">
        <is>
          <t>Edit Student Code to Existing Code Blocked</t>
        </is>
      </c>
      <c r="F22" s="4" t="inlineStr">
        <is>
          <t>Verify that renaming a student code to one that already exists in the system is blocked.</t>
        </is>
      </c>
      <c r="G22" s="4" t="inlineStr">
        <is>
          <t>Staff user is logged in. Students ST001 and ST002 exist.</t>
        </is>
      </c>
      <c r="H22" s="4" t="inlineStr">
        <is>
          <t>TargetStudent=ST002; NewStudentCode=ST001</t>
        </is>
      </c>
      <c r="I22" s="4" t="inlineStr">
        <is>
          <t>1. Open Batch Management and select student ST002;
2. Click Edit;
3. Change Student Code to ST001;
4. Click Save</t>
        </is>
      </c>
      <c r="J22" s="4" t="inlineStr">
        <is>
          <t>System rejects update. Error message appears: "Duplicate student code: ST001."</t>
        </is>
      </c>
      <c r="K22" s="4" t="inlineStr"/>
      <c r="L22" s="5" t="inlineStr">
        <is>
          <t>Not Run</t>
        </is>
      </c>
      <c r="M22" s="6" t="inlineStr">
        <is>
          <t>High</t>
        </is>
      </c>
      <c r="N22" s="4" t="inlineStr">
        <is>
          <t>Related Requirement: M01-F06, Scenario: BS-06</t>
        </is>
      </c>
    </row>
    <row r="23" ht="105" customHeight="1">
      <c r="A23" s="7" t="inlineStr">
        <is>
          <t>TC-M01-024</t>
        </is>
      </c>
      <c r="B23" s="7" t="inlineStr">
        <is>
          <t>Module 01</t>
        </is>
      </c>
      <c r="C23" s="8" t="inlineStr">
        <is>
          <t>M01-F07</t>
        </is>
      </c>
      <c r="D23" s="9" t="inlineStr">
        <is>
          <t>Follow-up Flag</t>
        </is>
      </c>
      <c r="E23" s="9" t="inlineStr">
        <is>
          <t>Toggle Follow-up Flag Instantly</t>
        </is>
      </c>
      <c r="F23" s="9" t="inlineStr">
        <is>
          <t>Verify that the follow-up flag updates immediately on the SPA interface without a page reload.</t>
        </is>
      </c>
      <c r="G23" s="9" t="inlineStr">
        <is>
          <t>Staff user is logged in. Student ST001 is displayed in the student list.</t>
        </is>
      </c>
      <c r="H23" s="9" t="inlineStr">
        <is>
          <t>StudentCode=ST001</t>
        </is>
      </c>
      <c r="I23" s="9" t="inlineStr">
        <is>
          <t>1. Navigate to student list;
2. Locate student ST001;
3. Click the Follow-up flag icon (star or checkbox);
4. Observe the page</t>
        </is>
      </c>
      <c r="J23" s="9" t="inlineStr">
        <is>
          <t>The flag status toggles instantly in the UI with no page reload. Google Sheets database updates the follow-up status immediately.</t>
        </is>
      </c>
      <c r="K23" s="9" t="inlineStr"/>
      <c r="L23" s="5" t="inlineStr">
        <is>
          <t>Not Run</t>
        </is>
      </c>
      <c r="M23" s="6" t="inlineStr">
        <is>
          <t>High</t>
        </is>
      </c>
      <c r="N23" s="9" t="inlineStr">
        <is>
          <t>Related Requirement: M01-F07, Scenario: BS-07</t>
        </is>
      </c>
    </row>
    <row r="24" ht="90" customHeight="1">
      <c r="A24" s="2" t="inlineStr">
        <is>
          <t>TC-M01-025</t>
        </is>
      </c>
      <c r="B24" s="2" t="inlineStr">
        <is>
          <t>Module 01</t>
        </is>
      </c>
      <c r="C24" s="3" t="inlineStr">
        <is>
          <t>M01-F08</t>
        </is>
      </c>
      <c r="D24" s="4" t="inlineStr">
        <is>
          <t>Student Status Management</t>
        </is>
      </c>
      <c r="E24" s="4" t="inlineStr">
        <is>
          <t>Toggle Student Status Active to Inactive</t>
        </is>
      </c>
      <c r="F24" s="4" t="inlineStr">
        <is>
          <t>Verify that toggling student status to Inactive automatically sets Dropout Date to today.</t>
        </is>
      </c>
      <c r="G24" s="4" t="inlineStr">
        <is>
          <t>Staff user is logged in. Student ST001 is Active with no Dropout Date.</t>
        </is>
      </c>
      <c r="H24" s="4" t="inlineStr">
        <is>
          <t>StudentCode=ST001; NewStatus=Inactive</t>
        </is>
      </c>
      <c r="I24" s="4" t="inlineStr">
        <is>
          <t>1. Open ST001 profile and click Edit;
2. Change status to Inactive;
3. Click Save;
4. Open ST001 profile details</t>
        </is>
      </c>
      <c r="J24" s="4" t="inlineStr">
        <is>
          <t>Student status is saved as Inactive. The Dropout Date is automatically set to today's date (e.g. 2026-07-17) without manual input.</t>
        </is>
      </c>
      <c r="K24" s="4" t="inlineStr"/>
      <c r="L24" s="5" t="inlineStr">
        <is>
          <t>Not Run</t>
        </is>
      </c>
      <c r="M24" s="6" t="inlineStr">
        <is>
          <t>High</t>
        </is>
      </c>
      <c r="N24" s="4" t="inlineStr">
        <is>
          <t>Related Requirement: M01-F08, Scenario: BS-08</t>
        </is>
      </c>
    </row>
    <row r="25" ht="90" customHeight="1">
      <c r="A25" s="7" t="inlineStr">
        <is>
          <t>TC-M01-026</t>
        </is>
      </c>
      <c r="B25" s="7" t="inlineStr">
        <is>
          <t>Module 01</t>
        </is>
      </c>
      <c r="C25" s="8" t="inlineStr">
        <is>
          <t>M01-F08</t>
        </is>
      </c>
      <c r="D25" s="9" t="inlineStr">
        <is>
          <t>Student Status Management</t>
        </is>
      </c>
      <c r="E25" s="9" t="inlineStr">
        <is>
          <t>Toggle Student Status Inactive to Active</t>
        </is>
      </c>
      <c r="F25" s="9" t="inlineStr">
        <is>
          <t>Verify that toggling student status to Active automatically clears Dropout Date.</t>
        </is>
      </c>
      <c r="G25" s="9" t="inlineStr">
        <is>
          <t>Staff user is logged in. Student ST001 is Inactive with Dropout Date '2026-07-17'.</t>
        </is>
      </c>
      <c r="H25" s="9" t="inlineStr">
        <is>
          <t>StudentCode=ST001; NewStatus=Active</t>
        </is>
      </c>
      <c r="I25" s="9" t="inlineStr">
        <is>
          <t>1. Open ST001 profile and click Edit;
2. Change status to Active;
3. Click Save;
4. Open ST001 profile details</t>
        </is>
      </c>
      <c r="J25" s="9" t="inlineStr">
        <is>
          <t>Student status is saved as Active. The Dropout Date field is automatically cleared and is now blank.</t>
        </is>
      </c>
      <c r="K25" s="9" t="inlineStr"/>
      <c r="L25" s="5" t="inlineStr">
        <is>
          <t>Not Run</t>
        </is>
      </c>
      <c r="M25" s="6" t="inlineStr">
        <is>
          <t>High</t>
        </is>
      </c>
      <c r="N25" s="9" t="inlineStr">
        <is>
          <t>Related Requirement: M01-F08, Scenario: BS-08</t>
        </is>
      </c>
    </row>
    <row r="26" ht="75" customHeight="1">
      <c r="A26" s="2" t="inlineStr">
        <is>
          <t>TC-M01-027</t>
        </is>
      </c>
      <c r="B26" s="2" t="inlineStr">
        <is>
          <t>Module 01</t>
        </is>
      </c>
      <c r="C26" s="3" t="inlineStr">
        <is>
          <t>M01-F09</t>
        </is>
      </c>
      <c r="D26" s="4" t="inlineStr">
        <is>
          <t>Search &amp; Filter</t>
        </is>
      </c>
      <c r="E26" s="4" t="inlineStr">
        <is>
          <t>Search Student by Name Real-time</t>
        </is>
      </c>
      <c r="F26" s="4" t="inlineStr">
        <is>
          <t>Verify that searching student list by name filters records dynamically in real-time as the user types.</t>
        </is>
      </c>
      <c r="G26" s="4" t="inlineStr">
        <is>
          <t>Staff user is logged in. Student list contains 'Nguyen Van A' and 'Tran Thi B'.</t>
        </is>
      </c>
      <c r="H26" s="4" t="inlineStr">
        <is>
          <t>SearchQuery=Nguyen</t>
        </is>
      </c>
      <c r="I26" s="4" t="inlineStr">
        <is>
          <t>1. Navigate to student list;
2. Place cursor in Search box and type 'Nguyen';
3. Observe student list</t>
        </is>
      </c>
      <c r="J26" s="4" t="inlineStr">
        <is>
          <t>The student list filters dynamically while typing. Tran Thi B is hidden, and Nguyen Van A remains visible. No page reload occurs.</t>
        </is>
      </c>
      <c r="K26" s="4" t="inlineStr"/>
      <c r="L26" s="5" t="inlineStr">
        <is>
          <t>Not Run</t>
        </is>
      </c>
      <c r="M26" s="10" t="inlineStr">
        <is>
          <t>Medium</t>
        </is>
      </c>
      <c r="N26" s="4" t="inlineStr">
        <is>
          <t>Related Requirement: M01-F09, Scenario: BS-09</t>
        </is>
      </c>
    </row>
    <row r="27" ht="90" customHeight="1">
      <c r="A27" s="7" t="inlineStr">
        <is>
          <t>TC-M01-028</t>
        </is>
      </c>
      <c r="B27" s="7" t="inlineStr">
        <is>
          <t>Module 01</t>
        </is>
      </c>
      <c r="C27" s="8" t="inlineStr">
        <is>
          <t>M01-F09</t>
        </is>
      </c>
      <c r="D27" s="9" t="inlineStr">
        <is>
          <t>Search &amp; Filter</t>
        </is>
      </c>
      <c r="E27" s="9" t="inlineStr">
        <is>
          <t>Filter Students by Observation Rating</t>
        </is>
      </c>
      <c r="F27" s="9" t="inlineStr">
        <is>
          <t>Verify that staff can filter students by their observation rating.</t>
        </is>
      </c>
      <c r="G27" s="9" t="inlineStr">
        <is>
          <t>Staff user is logged in. Students exist with different observation ratings.</t>
        </is>
      </c>
      <c r="H27" s="9" t="inlineStr">
        <is>
          <t>RatingFilter=Good</t>
        </is>
      </c>
      <c r="I27" s="9" t="inlineStr">
        <is>
          <t>1. Open student list;
2. Click the Observation Rating filter dropdown;
3. Choose Good;
4. Observe the filtered list</t>
        </is>
      </c>
      <c r="J27" s="9" t="inlineStr">
        <is>
          <t>The student list is filtered to display only students with a "Good" rating. Other students are hidden.</t>
        </is>
      </c>
      <c r="K27" s="9" t="inlineStr"/>
      <c r="L27" s="5" t="inlineStr">
        <is>
          <t>Not Run</t>
        </is>
      </c>
      <c r="M27" s="10" t="inlineStr">
        <is>
          <t>Medium</t>
        </is>
      </c>
      <c r="N27" s="9" t="inlineStr">
        <is>
          <t>Related Requirement: M01-F09, Scenario: BS-09</t>
        </is>
      </c>
    </row>
    <row r="28" ht="105" customHeight="1">
      <c r="A28" s="2" t="inlineStr">
        <is>
          <t>TC-M01-029</t>
        </is>
      </c>
      <c r="B28" s="2" t="inlineStr">
        <is>
          <t>Module 01</t>
        </is>
      </c>
      <c r="C28" s="3" t="inlineStr">
        <is>
          <t>M01-F09</t>
        </is>
      </c>
      <c r="D28" s="4" t="inlineStr">
        <is>
          <t>Search &amp; Filter</t>
        </is>
      </c>
      <c r="E28" s="4" t="inlineStr">
        <is>
          <t>Verify Student List Default Pagination</t>
        </is>
      </c>
      <c r="F28" s="4" t="inlineStr">
        <is>
          <t>Verify that the student list displays exactly 10 students per page by default.</t>
        </is>
      </c>
      <c r="G28" s="4" t="inlineStr">
        <is>
          <t>Staff user is logged in. There are 12 students in the selected batch.</t>
        </is>
      </c>
      <c r="H28" s="4" t="inlineStr">
        <is>
          <t>Batch PNV26A has 12 students.</t>
        </is>
      </c>
      <c r="I28" s="4" t="inlineStr">
        <is>
          <t>1. Navigate to the student list of batch PNV26A;
2. Count the number of students displayed on the first page;
3. Check pagination controls;
4. Click Next Page</t>
        </is>
      </c>
      <c r="J28" s="4" t="inlineStr">
        <is>
          <t>Page 1 displays exactly 10 students. Pagination controls are visible. Clicking Next Page shows the remaining 2 students on page 2.</t>
        </is>
      </c>
      <c r="K28" s="4" t="inlineStr"/>
      <c r="L28" s="5" t="inlineStr">
        <is>
          <t>Not Run</t>
        </is>
      </c>
      <c r="M28" s="10" t="inlineStr">
        <is>
          <t>Medium</t>
        </is>
      </c>
      <c r="N28" s="4" t="inlineStr">
        <is>
          <t>Related Requirement: M01-F09, Scenario: BS-10</t>
        </is>
      </c>
    </row>
    <row r="29" ht="75" customHeight="1">
      <c r="A29" s="7" t="inlineStr">
        <is>
          <t>TC-M01-030</t>
        </is>
      </c>
      <c r="B29" s="7" t="inlineStr">
        <is>
          <t>Module 01</t>
        </is>
      </c>
      <c r="C29" s="8" t="inlineStr">
        <is>
          <t>M01-F10</t>
        </is>
      </c>
      <c r="D29" s="9" t="inlineStr">
        <is>
          <t>Dashboard Overview</t>
        </is>
      </c>
      <c r="E29" s="9" t="inlineStr">
        <is>
          <t>Verify Dashboard Displays Correct Initial Stats and Charts</t>
        </is>
      </c>
      <c r="F29" s="9" t="inlineStr">
        <is>
          <t>Verify that the dashboard screen accurately loads and displays all student and batch metrics.</t>
        </is>
      </c>
      <c r="G29" s="9" t="inlineStr">
        <is>
          <t>Staff user is logged in. System has 2 batches (1 Active, 1 Archived) and 5 students (4 Active, 1 Inactive).</t>
        </is>
      </c>
      <c r="H29" s="9" t="inlineStr">
        <is>
          <t>None</t>
        </is>
      </c>
      <c r="I29" s="9" t="inlineStr">
        <is>
          <t>1. Navigate to the Dashboard Overview page;
2. Observe the statistics cards and charts</t>
        </is>
      </c>
      <c r="J29" s="9" t="inlineStr">
        <is>
          <t>The dashboard displays: Total Batches = 2, Active Batches = 1, Total Students = 5, Active Students = 4, Inactive Students = 1. Charts (Gender, Ethnicity, Status) load successfully.</t>
        </is>
      </c>
      <c r="K29" s="9" t="inlineStr"/>
      <c r="L29" s="5" t="inlineStr">
        <is>
          <t>Not Run</t>
        </is>
      </c>
      <c r="M29" s="10" t="inlineStr">
        <is>
          <t>Medium</t>
        </is>
      </c>
      <c r="N29" s="9" t="inlineStr">
        <is>
          <t>Related Requirement: M01-F10, Scenario: BS-11</t>
        </is>
      </c>
    </row>
    <row r="30" ht="90" customHeight="1">
      <c r="A30" s="2" t="inlineStr">
        <is>
          <t>TC-M01-031</t>
        </is>
      </c>
      <c r="B30" s="2" t="inlineStr">
        <is>
          <t>Module 01</t>
        </is>
      </c>
      <c r="C30" s="3" t="inlineStr">
        <is>
          <t>M01-F10</t>
        </is>
      </c>
      <c r="D30" s="4" t="inlineStr">
        <is>
          <t>Dashboard Overview</t>
        </is>
      </c>
      <c r="E30" s="4" t="inlineStr">
        <is>
          <t>Verify Dashboard Stats Auto-refresh after Data Changes</t>
        </is>
      </c>
      <c r="F30" s="4" t="inlineStr">
        <is>
          <t>Verify that dashboard statistics and charts refresh automatically when data changes.</t>
        </is>
      </c>
      <c r="G30" s="4" t="inlineStr">
        <is>
          <t>Staff user is logged in. Dashboard shows Active Students = 4.</t>
        </is>
      </c>
      <c r="H30" s="4" t="inlineStr">
        <is>
          <t>StudentCode=ST001; NewStatus=Inactive</t>
        </is>
      </c>
      <c r="I30" s="4" t="inlineStr">
        <is>
          <t>1. Navigate to student list and edit ST001 to change status from Active to Inactive;
2. Click Save;
3. Immediately return to the Dashboard</t>
        </is>
      </c>
      <c r="J30" s="4" t="inlineStr">
        <is>
          <t>The dashboard values update without manual page reload: Active Students displays 3, Inactive Students displays 2, and charts adjust accordingly.</t>
        </is>
      </c>
      <c r="K30" s="4" t="inlineStr"/>
      <c r="L30" s="5" t="inlineStr">
        <is>
          <t>Not Run</t>
        </is>
      </c>
      <c r="M30" s="10" t="inlineStr">
        <is>
          <t>Medium</t>
        </is>
      </c>
      <c r="N30" s="4" t="inlineStr">
        <is>
          <t>Related Requirement: M01-F10, Scenario: BS-11</t>
        </is>
      </c>
    </row>
    <row r="31" ht="60" customHeight="1">
      <c r="A31" s="7" t="inlineStr">
        <is>
          <t>TC-M01-032</t>
        </is>
      </c>
      <c r="B31" s="7" t="inlineStr">
        <is>
          <t>Module 01</t>
        </is>
      </c>
      <c r="C31" s="8" t="inlineStr">
        <is>
          <t>M01-SEC</t>
        </is>
      </c>
      <c r="D31" s="9" t="inlineStr">
        <is>
          <t>Access Control &amp; Security</t>
        </is>
      </c>
      <c r="E31" s="9" t="inlineStr">
        <is>
          <t>Staff User Access to Student Management</t>
        </is>
      </c>
      <c r="F31" s="9" t="inlineStr">
        <is>
          <t>Verify that staff users with a valid @passerellesnumeriques.org email domain are granted access to Batch &amp; Student Management.</t>
        </is>
      </c>
      <c r="G31" s="9" t="inlineStr">
        <is>
          <t>User is authenticated with email staff@passerellesnumeriques.org.</t>
        </is>
      </c>
      <c r="H31" s="9" t="inlineStr">
        <is>
          <t>Email=staff@passerellesnumeriques.org</t>
        </is>
      </c>
      <c r="I31" s="9" t="inlineStr">
        <is>
          <t>1. Enter the application URL;
2. Sign in via Google OAuth with account staff@passerellesnumeriques.org</t>
        </is>
      </c>
      <c r="J31" s="9" t="inlineStr">
        <is>
          <t>The user is redirected to the Staff Portal. Full management options (Create Batch, Add Student, Edit, CSV Import) are visible and accessible.</t>
        </is>
      </c>
      <c r="K31" s="9" t="inlineStr"/>
      <c r="L31" s="5" t="inlineStr">
        <is>
          <t>Not Run</t>
        </is>
      </c>
      <c r="M31" s="6" t="inlineStr">
        <is>
          <t>High</t>
        </is>
      </c>
      <c r="N31" s="9" t="inlineStr">
        <is>
          <t>Related Requirement: General Business Rules, Scenario: BS-12</t>
        </is>
      </c>
    </row>
    <row r="32" ht="60" customHeight="1">
      <c r="A32" s="2" t="inlineStr">
        <is>
          <t>TC-M01-033</t>
        </is>
      </c>
      <c r="B32" s="2" t="inlineStr">
        <is>
          <t>Module 01</t>
        </is>
      </c>
      <c r="C32" s="3" t="inlineStr">
        <is>
          <t>M01-SEC</t>
        </is>
      </c>
      <c r="D32" s="4" t="inlineStr">
        <is>
          <t>Access Control &amp; Security</t>
        </is>
      </c>
      <c r="E32" s="4" t="inlineStr">
        <is>
          <t>Student User Access to Student Management Denied</t>
        </is>
      </c>
      <c r="F32" s="4" t="inlineStr">
        <is>
          <t>Verify that students with a @student.passerellesnumeriques.org email are denied management access.</t>
        </is>
      </c>
      <c r="G32" s="4" t="inlineStr">
        <is>
          <t>User is authenticated with email student01@student.passerellesnumeriques.org.</t>
        </is>
      </c>
      <c r="H32" s="4" t="inlineStr">
        <is>
          <t>Email=student01@student.passerellesnumeriques.org</t>
        </is>
      </c>
      <c r="I32" s="4" t="inlineStr">
        <is>
          <t>1. Enter the application URL;
2. Sign in via Google OAuth with account student01@student.passerellesnumeriques.org</t>
        </is>
      </c>
      <c r="J32" s="4" t="inlineStr">
        <is>
          <t>The user is redirected to the Student Portal. Management buttons and options are hidden. Direct URL routing to staff pages displays "Access Denied".</t>
        </is>
      </c>
      <c r="K32" s="4" t="inlineStr"/>
      <c r="L32" s="5" t="inlineStr">
        <is>
          <t>Not Run</t>
        </is>
      </c>
      <c r="M32" s="6" t="inlineStr">
        <is>
          <t>High</t>
        </is>
      </c>
      <c r="N32" s="4" t="inlineStr">
        <is>
          <t>Related Requirement: General Business Rules, Scenario: BS-12</t>
        </is>
      </c>
    </row>
    <row r="33" ht="90" customHeight="1">
      <c r="A33" s="7" t="inlineStr">
        <is>
          <t>TC-M01-018</t>
        </is>
      </c>
      <c r="B33" s="7" t="inlineStr">
        <is>
          <t>Module 01</t>
        </is>
      </c>
      <c r="C33" s="8" t="inlineStr">
        <is>
          <t>M01-F05</t>
        </is>
      </c>
      <c r="D33" s="9" t="inlineStr">
        <is>
          <t>Bulk Student Import</t>
        </is>
      </c>
      <c r="E33" s="9" t="inlineStr">
        <is>
          <t>CSV Student Import Upsert</t>
        </is>
      </c>
      <c r="F33" s="9" t="inlineStr">
        <is>
          <t>Verify that bulk student import via CSV updates existing profiles and creates new profiles (Upsert behavior).</t>
        </is>
      </c>
      <c r="G33" s="9" t="inlineStr">
        <is>
          <t>Staff user is logged in. Student ST001 already exists; batch PNV26A exists.</t>
        </is>
      </c>
      <c r="H33" s="9" t="inlineStr">
        <is>
          <t>CSV row: ST001,Nguyen Van A Updated,2006-05-15,Male,nguyenvana.new@student.passerellesnumeriques.org,AssociatedBatch=PNV26A and ST003,Le Van C,2006-08-20,Male,levanc.st26@student.passerellesnumeriques.org,AssociatedBatch=PNV26A</t>
        </is>
      </c>
      <c r="I33" s="9" t="inlineStr">
        <is>
          <t>1. Go to CSV Import page;
2. Upload CSV containing update row for ST001 and new row for ST003;
3. Click Import</t>
        </is>
      </c>
      <c r="J33" s="9" t="inlineStr">
        <is>
          <t>Import completes successfully. Message displays "Import successful. 1 student updated, 1 student created.". ST001 displays new name and ST003 appears in list.</t>
        </is>
      </c>
      <c r="K33" s="9" t="inlineStr"/>
      <c r="L33" s="5" t="inlineStr">
        <is>
          <t>Not Run</t>
        </is>
      </c>
      <c r="M33" s="6" t="inlineStr">
        <is>
          <t>High</t>
        </is>
      </c>
      <c r="N33" s="9" t="inlineStr">
        <is>
          <t>Related Requirement: M01-F05, Scenario: BS-05</t>
        </is>
      </c>
    </row>
    <row r="34" ht="60" customHeight="1">
      <c r="A34" s="2" t="inlineStr">
        <is>
          <t>TC-M01-019</t>
        </is>
      </c>
      <c r="B34" s="2" t="inlineStr">
        <is>
          <t>Module 01</t>
        </is>
      </c>
      <c r="C34" s="3" t="inlineStr">
        <is>
          <t>M01-F05</t>
        </is>
      </c>
      <c r="D34" s="4" t="inlineStr">
        <is>
          <t>Bulk Student Import</t>
        </is>
      </c>
      <c r="E34" s="4" t="inlineStr">
        <is>
          <t>CSV Student Import Rejects Duplicate Student Codes</t>
        </is>
      </c>
      <c r="F34" s="4" t="inlineStr">
        <is>
          <t>Verify that student bulk import via CSV rejects imports with duplicate student codes within the file.</t>
        </is>
      </c>
      <c r="G34" s="4" t="inlineStr">
        <is>
          <t>Staff user is logged in.</t>
        </is>
      </c>
      <c r="H34" s="4" t="inlineStr">
        <is>
          <t>CSV containing two rows with student code ST004</t>
        </is>
      </c>
      <c r="I34" s="4" t="inlineStr">
        <is>
          <t>1. Go to CSV Import page;
2. Upload CSV with duplicate ST004;
3. Click Import</t>
        </is>
      </c>
      <c r="J34" s="4" t="inlineStr">
        <is>
          <t>The system rejects the entire CSV file. Error message appears: "Duplicate student code: ST004.". No records are imported.</t>
        </is>
      </c>
      <c r="K34" s="4" t="inlineStr"/>
      <c r="L34" s="5" t="inlineStr">
        <is>
          <t>Not Run</t>
        </is>
      </c>
      <c r="M34" s="6" t="inlineStr">
        <is>
          <t>High</t>
        </is>
      </c>
      <c r="N34" s="4" t="inlineStr">
        <is>
          <t>Related Requirement: M01-F05, Scenario: BS-05</t>
        </is>
      </c>
    </row>
    <row r="35" ht="90" customHeight="1">
      <c r="A35" s="7" t="inlineStr">
        <is>
          <t>TC-M01-034</t>
        </is>
      </c>
      <c r="B35" s="7" t="inlineStr">
        <is>
          <t>Module 01</t>
        </is>
      </c>
      <c r="C35" s="8" t="inlineStr">
        <is>
          <t>M01-SEC</t>
        </is>
      </c>
      <c r="D35" s="9" t="inlineStr">
        <is>
          <t>Access Control &amp; Security</t>
        </is>
      </c>
      <c r="E35" s="9" t="inlineStr">
        <is>
          <t>Unknown Email Domain Access Denied</t>
        </is>
      </c>
      <c r="F35" s="9" t="inlineStr">
        <is>
          <t>Verify that users with non-permitted email domains are completely blocked from accessing the system.</t>
        </is>
      </c>
      <c r="G35" s="9" t="inlineStr">
        <is>
          <t>User is authenticated with email testuser@gmail.com.</t>
        </is>
      </c>
      <c r="H35" s="9" t="inlineStr">
        <is>
          <t>Email=testuser@gmail.com</t>
        </is>
      </c>
      <c r="I35" s="9" t="inlineStr">
        <is>
          <t>1. Enter the application URL;
2. Sign in via Google OAuth with account testuser@gmail.com;
3. Observe the system response</t>
        </is>
      </c>
      <c r="J35" s="9" t="inlineStr">
        <is>
          <t>Login fails or the screen displays an "Access Denied" message. The user is not redirected to either the Staff or Student Portal.</t>
        </is>
      </c>
      <c r="K35" s="9" t="inlineStr"/>
      <c r="L35" s="5" t="inlineStr">
        <is>
          <t>Not Run</t>
        </is>
      </c>
      <c r="M35" s="6" t="inlineStr">
        <is>
          <t>High</t>
        </is>
      </c>
      <c r="N35" s="9" t="inlineStr">
        <is>
          <t>Related Requirement: General Business Rules, Authorization</t>
        </is>
      </c>
    </row>
    <row r="36" ht="135" customHeight="1">
      <c r="A36" s="2" t="inlineStr">
        <is>
          <t>TC-M01-035</t>
        </is>
      </c>
      <c r="B36" s="2" t="inlineStr">
        <is>
          <t>Module 01</t>
        </is>
      </c>
      <c r="C36" s="3" t="inlineStr">
        <is>
          <t>M01-F04</t>
        </is>
      </c>
      <c r="D36" s="4" t="inlineStr">
        <is>
          <t>Single Student Creation</t>
        </is>
      </c>
      <c r="E36" s="4" t="inlineStr">
        <is>
          <t>Create Student Fails due to Missing Associated Batch</t>
        </is>
      </c>
      <c r="F36" s="4" t="inlineStr">
        <is>
          <t>Verify that manually creating a student requires selecting an Associated Batch.</t>
        </is>
      </c>
      <c r="G36" s="4" t="inlineStr">
        <is>
          <t>Staff user is logged in.</t>
        </is>
      </c>
      <c r="H36" s="4" t="inlineStr">
        <is>
          <t>StudentCode=ST099; StudentName=Nguyen Van Test; AssociatedBatch=Empty</t>
        </is>
      </c>
      <c r="I36" s="4" t="inlineStr">
        <is>
          <t>1. Open Batch Management;
2. Click Add Student;
3. Enter Student Code 'ST099' and Name 'Nguyen Van Test';
4. Leave Associated Batch selection empty;
5. Click Save</t>
        </is>
      </c>
      <c r="J36" s="4" t="inlineStr">
        <is>
          <t>The system blocks saving and displays a validation error "Associated Batch is required". The batch dropdown is highlighted in red.</t>
        </is>
      </c>
      <c r="K36" s="4" t="inlineStr"/>
      <c r="L36" s="5" t="inlineStr">
        <is>
          <t>Not Run</t>
        </is>
      </c>
      <c r="M36" s="6" t="inlineStr">
        <is>
          <t>High</t>
        </is>
      </c>
      <c r="N36" s="4" t="inlineStr">
        <is>
          <t>Related Requirement: M01-F04, Validation Rules</t>
        </is>
      </c>
    </row>
    <row r="37" ht="75" customHeight="1">
      <c r="A37" s="7" t="inlineStr">
        <is>
          <t>TC-M01-036</t>
        </is>
      </c>
      <c r="B37" s="7" t="inlineStr">
        <is>
          <t>Module 01</t>
        </is>
      </c>
      <c r="C37" s="8" t="inlineStr">
        <is>
          <t>M01-F05</t>
        </is>
      </c>
      <c r="D37" s="9" t="inlineStr">
        <is>
          <t>Bulk Student Import</t>
        </is>
      </c>
      <c r="E37" s="9" t="inlineStr">
        <is>
          <t>CSV Student Import Fails due to Blank Name</t>
        </is>
      </c>
      <c r="F37" s="9" t="inlineStr">
        <is>
          <t>Verify that bulk import via CSV blocks saving if student name is empty.</t>
        </is>
      </c>
      <c r="G37" s="9" t="inlineStr">
        <is>
          <t>Staff user is logged in.</t>
        </is>
      </c>
      <c r="H37" s="9" t="inlineStr">
        <is>
          <t>CSV contains row: ST006,,2006-08-20,Male,student06@student.passerellesnumeriques.org (blank name)</t>
        </is>
      </c>
      <c r="I37" s="9" t="inlineStr">
        <is>
          <t>1. Go to CSV Import page;
2. Upload the CSV file with blank name;
3. Click Import</t>
        </is>
      </c>
      <c r="J37" s="9" t="inlineStr">
        <is>
          <t>The system rejects the entire CSV file with error message "Student Name is required". No records are updated in database.</t>
        </is>
      </c>
      <c r="K37" s="9" t="inlineStr"/>
      <c r="L37" s="5" t="inlineStr">
        <is>
          <t>Not Run</t>
        </is>
      </c>
      <c r="M37" s="6" t="inlineStr">
        <is>
          <t>High</t>
        </is>
      </c>
      <c r="N37" s="9" t="inlineStr">
        <is>
          <t>Related Requirement: M01-F05, Validation Rules</t>
        </is>
      </c>
    </row>
    <row r="38" ht="75" customHeight="1">
      <c r="A38" s="2" t="inlineStr">
        <is>
          <t>TC-M01-037</t>
        </is>
      </c>
      <c r="B38" s="2" t="inlineStr">
        <is>
          <t>Module 01</t>
        </is>
      </c>
      <c r="C38" s="3" t="inlineStr">
        <is>
          <t>M01-F09</t>
        </is>
      </c>
      <c r="D38" s="4" t="inlineStr">
        <is>
          <t>Search &amp; Filter</t>
        </is>
      </c>
      <c r="E38" s="4" t="inlineStr">
        <is>
          <t>Search Student Case Insensitivity</t>
        </is>
      </c>
      <c r="F38" s="4" t="inlineStr">
        <is>
          <t>Verify that student search filters correctly regardless of character casing.</t>
        </is>
      </c>
      <c r="G38" s="4" t="inlineStr">
        <is>
          <t>Staff user is logged in. Batch PNV26A contains student 'Nguyen Van A'.</t>
        </is>
      </c>
      <c r="H38" s="4" t="inlineStr">
        <is>
          <t>SearchQuery=nguyen van a</t>
        </is>
      </c>
      <c r="I38" s="4" t="inlineStr">
        <is>
          <t>1. Open student list;
2. Enter 'nguyen van a' (all lowercase) in the search box;
3. Verify matching result</t>
        </is>
      </c>
      <c r="J38" s="4" t="inlineStr">
        <is>
          <t>The student list filters and displays 'Nguyen Van A', proving search is case-insensitive.</t>
        </is>
      </c>
      <c r="K38" s="4" t="inlineStr"/>
      <c r="L38" s="5" t="inlineStr">
        <is>
          <t>Not Run</t>
        </is>
      </c>
      <c r="M38" s="10" t="inlineStr">
        <is>
          <t>Medium</t>
        </is>
      </c>
      <c r="N38" s="4" t="inlineStr">
        <is>
          <t>Related Requirement: M01-F09, Search &amp; Filter</t>
        </is>
      </c>
    </row>
    <row r="39" ht="90" customHeight="1">
      <c r="A39" s="7" t="inlineStr">
        <is>
          <t>TC-M01-038</t>
        </is>
      </c>
      <c r="B39" s="7" t="inlineStr">
        <is>
          <t>Module 01</t>
        </is>
      </c>
      <c r="C39" s="8" t="inlineStr">
        <is>
          <t>M01-F06</t>
        </is>
      </c>
      <c r="D39" s="9" t="inlineStr">
        <is>
          <t>Student Editing</t>
        </is>
      </c>
      <c r="E39" s="9" t="inlineStr">
        <is>
          <t>Edit Student Email to Invalid Format Blocked</t>
        </is>
      </c>
      <c r="F39" s="9" t="inlineStr">
        <is>
          <t>Verify that editing a student's email to an invalid format is blocked.</t>
        </is>
      </c>
      <c r="G39" s="9" t="inlineStr">
        <is>
          <t>Staff user is logged in. Student ST001 exists.</t>
        </is>
      </c>
      <c r="H39" s="9" t="inlineStr">
        <is>
          <t>StudentCode=ST001; NewEmail=nguyenvana_invalid_email</t>
        </is>
      </c>
      <c r="I39" s="9" t="inlineStr">
        <is>
          <t>1. Open student list;
2. Select ST001 and click Edit;
3. Change email to 'nguyenvana_invalid_email';
4. Click Save</t>
        </is>
      </c>
      <c r="J39" s="9" t="inlineStr">
        <is>
          <t>The system blocks saving and displays a validation error message requiring a valid email format. The email field is highlighted in red.</t>
        </is>
      </c>
      <c r="K39" s="9" t="inlineStr"/>
      <c r="L39" s="5" t="inlineStr">
        <is>
          <t>Not Run</t>
        </is>
      </c>
      <c r="M39" s="6" t="inlineStr">
        <is>
          <t>High</t>
        </is>
      </c>
      <c r="N39" s="9" t="inlineStr">
        <is>
          <t>Related Requirement: M01-F06, Validation Rules</t>
        </is>
      </c>
    </row>
    <row r="40" ht="75" customHeight="1">
      <c r="A40" s="2" t="inlineStr">
        <is>
          <t>TC-M01-039</t>
        </is>
      </c>
      <c r="B40" s="2" t="inlineStr">
        <is>
          <t>Module 01</t>
        </is>
      </c>
      <c r="C40" s="3" t="inlineStr">
        <is>
          <t>M01-F05</t>
        </is>
      </c>
      <c r="D40" s="4" t="inlineStr">
        <is>
          <t>Bulk Student Import</t>
        </is>
      </c>
      <c r="E40" s="4" t="inlineStr">
        <is>
          <t>CSV Student Import Blocked due to Duplicate Student Code in Another Batch</t>
        </is>
      </c>
      <c r="F40" s="4" t="inlineStr">
        <is>
          <t>Verify that CSV student import rejects student codes that are already in use in other batches.</t>
        </is>
      </c>
      <c r="G40" s="4" t="inlineStr">
        <is>
          <t>Student ST001 exists in batch PNV26A. Batch PNV26B has no students.</t>
        </is>
      </c>
      <c r="H40" s="4" t="inlineStr">
        <is>
          <t>CSV file for batch PNV26B containing row: ST001,Le Van C,2006-08-20,Male,levanc.st26@student.passerellesnumeriques.org</t>
        </is>
      </c>
      <c r="I40" s="4" t="inlineStr">
        <is>
          <t>1. Go to CSV Import page for batch PNV26B;
2. Upload CSV containing student ST001;
3. Click Import</t>
        </is>
      </c>
      <c r="J40" s="4" t="inlineStr">
        <is>
          <t>The system rejects the import and displays error message "Duplicate student code: ST001.". No students are added.</t>
        </is>
      </c>
      <c r="K40" s="4" t="inlineStr"/>
      <c r="L40" s="5" t="inlineStr">
        <is>
          <t>Not Run</t>
        </is>
      </c>
      <c r="M40" s="6" t="inlineStr">
        <is>
          <t>High</t>
        </is>
      </c>
      <c r="N40" s="4" t="inlineStr">
        <is>
          <t>Related Requirement: M01-F05, Student Code Uniqueness</t>
        </is>
      </c>
    </row>
  </sheetData>
  <autoFilter ref="A1:N40"/>
  <dataValidations count="2">
    <dataValidation sqref="L2:L140" showDropDown="0" showInputMessage="0" showErrorMessage="0" allowBlank="1" errorTitle="Invalid Status" error="Please select a valid state: Passed, Failed, or Not Run" type="list">
      <formula1>"Passed,Failed,Not Run"</formula1>
    </dataValidation>
    <dataValidation sqref="M2:M140" showDropDown="0" showInputMessage="0" showErrorMessage="0" allowBlank="1" errorTitle="Invalid Priority" error="Please select a valid priority: High, Medium, or Low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2026-07-23T01:56:11Z</dcterms:created>
  <dcterms:modified xsi:type="dcterms:W3CDTF">2026-07-23T01:56:13Z</dcterms:modified>
</cp:coreProperties>
</file>