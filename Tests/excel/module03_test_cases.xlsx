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Module03" sheetId="2" state="visible" r:id="rId2"/>
  </sheets>
  <definedNames>
    <definedName name="_xlnm._FilterDatabase" localSheetId="1" hidden="1">'Module03'!$A$1:$N$23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1F4E78"/>
      <sz val="10"/>
    </font>
    <font>
      <name val="Segoe UI"/>
      <b val="1"/>
      <color rgb="0064748B"/>
      <sz val="10"/>
    </font>
    <font>
      <name val="Segoe UI"/>
      <b val="1"/>
      <color rgb="00A50E0E"/>
      <sz val="10"/>
    </font>
    <font>
      <name val="Segoe UI"/>
      <b val="1"/>
      <color rgb="00B06000"/>
      <sz val="10"/>
    </font>
    <font>
      <name val="Segoe UI"/>
      <b val="1"/>
      <color rgb="001F4E78"/>
      <sz val="16"/>
    </font>
    <font>
      <name val="Segoe UI"/>
      <i val="1"/>
      <color rgb="00555555"/>
      <sz val="10"/>
    </font>
    <font>
      <name val="Segoe UI"/>
      <b val="1"/>
      <color rgb="00137333"/>
      <sz val="10"/>
    </font>
    <font>
      <name val="Segoe UI"/>
      <b val="1"/>
      <color rgb="00000000"/>
      <sz val="10"/>
    </font>
    <font>
      <name val="Segoe UI"/>
      <b val="1"/>
      <color rgb="0064748B"/>
      <sz val="9"/>
    </font>
    <font>
      <name val="Segoe UI"/>
      <b val="1"/>
      <color rgb="001E293B"/>
      <sz val="18"/>
    </font>
    <font>
      <name val="Segoe UI"/>
      <b val="1"/>
      <color rgb="001F4E78"/>
      <sz val="18"/>
    </font>
    <font>
      <name val="Segoe UI"/>
      <b val="1"/>
      <color rgb="00A50E0E"/>
      <sz val="18"/>
    </font>
    <font>
      <name val="Segoe UI"/>
      <b val="1"/>
      <color rgb="00B06000"/>
      <sz val="18"/>
    </font>
    <font>
      <name val="Segoe UI"/>
      <b val="1"/>
      <color rgb="00137333"/>
      <sz val="18"/>
    </font>
    <font>
      <name val="Segoe UI"/>
      <b val="1"/>
      <color rgb="001F4E78"/>
      <sz val="12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1F5F9"/>
        <bgColor rgb="00F1F5F9"/>
      </patternFill>
    </fill>
    <fill>
      <patternFill patternType="solid">
        <fgColor rgb="00FCE8E6"/>
        <bgColor rgb="00FCE8E6"/>
      </patternFill>
    </fill>
    <fill>
      <patternFill patternType="solid">
        <fgColor rgb="00F8FAFC"/>
        <bgColor rgb="00F8FAFC"/>
      </patternFill>
    </fill>
    <fill>
      <patternFill patternType="solid">
        <fgColor rgb="00FEF7E0"/>
        <bgColor rgb="00FEF7E0"/>
      </patternFill>
    </fill>
    <fill>
      <patternFill patternType="solid">
        <fgColor rgb="00E2E8F0"/>
        <bgColor rgb="00E2E8F0"/>
      </patternFill>
    </fill>
    <fill>
      <patternFill patternType="solid">
        <fgColor rgb="00E6F4EA"/>
        <bgColor rgb="00E6F4E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E293B"/>
      </top>
      <bottom style="double">
        <color rgb="001E293B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8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7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Cases by Feature (Grouped by Priority)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'Report'!C8</f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cat>
            <numRef>
              <f>'Report'!$A$9:$A$16</f>
            </numRef>
          </cat>
          <val>
            <numRef>
              <f>'Report'!$C$9:$C$16</f>
            </numRef>
          </val>
        </ser>
        <ser>
          <idx val="1"/>
          <order val="1"/>
          <tx>
            <strRef>
              <f>'Report'!D8</f>
            </strRef>
          </tx>
          <spPr>
            <a:solidFill xmlns:a="http://schemas.openxmlformats.org/drawingml/2006/main">
              <a:srgbClr val="FFFF00"/>
            </a:solidFill>
            <a:ln xmlns:a="http://schemas.openxmlformats.org/drawingml/2006/main">
              <a:prstDash val="solid"/>
            </a:ln>
          </spPr>
          <cat>
            <numRef>
              <f>'Report'!$A$9:$A$16</f>
            </numRef>
          </cat>
          <val>
            <numRef>
              <f>'Report'!$D$9:$D$16</f>
            </numRef>
          </val>
        </ser>
        <ser>
          <idx val="2"/>
          <order val="2"/>
          <tx>
            <strRef>
              <f>'Report'!E8</f>
            </strRef>
          </tx>
          <spPr>
            <a:solidFill xmlns:a="http://schemas.openxmlformats.org/drawingml/2006/main">
              <a:srgbClr val="00FF00"/>
            </a:solidFill>
            <a:ln xmlns:a="http://schemas.openxmlformats.org/drawingml/2006/main">
              <a:prstDash val="solid"/>
            </a:ln>
          </spPr>
          <cat>
            <numRef>
              <f>'Report'!$A$9:$A$16</f>
            </numRef>
          </cat>
          <val>
            <numRef>
              <f>'Report'!$E$9:$E$16</f>
            </numRef>
          </val>
        </ser>
        <gapWidth val="150"/>
        <overlap val="-2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Feature 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Test 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1" t="inlineStr">
        <is>
          <t>Module 03 - Feature &amp; Priority Summary Report</t>
        </is>
      </c>
    </row>
    <row r="2">
      <c r="A2" s="12" t="inlineStr">
        <is>
          <t>Summary of test cases per feature, calculated via Excel formulas</t>
        </is>
      </c>
    </row>
    <row r="4" ht="18" customHeight="1">
      <c r="A4" s="13" t="inlineStr">
        <is>
          <t>Total Features</t>
        </is>
      </c>
      <c r="B4" s="13" t="inlineStr">
        <is>
          <t>Total Test Cases</t>
        </is>
      </c>
      <c r="C4" s="13" t="inlineStr">
        <is>
          <t>High Priority Features</t>
        </is>
      </c>
      <c r="D4" s="13" t="inlineStr">
        <is>
          <t>Medium Priority Features</t>
        </is>
      </c>
      <c r="E4" s="13" t="inlineStr">
        <is>
          <t>Low Priority Features</t>
        </is>
      </c>
    </row>
    <row r="5" ht="32" customHeight="1">
      <c r="A5" s="14">
        <f>COUNTA(A9:A16)</f>
        <v/>
      </c>
      <c r="B5" s="15">
        <f>F17</f>
        <v/>
      </c>
      <c r="C5" s="16">
        <f>COUNTIF(C9:C16, "&gt;0")</f>
        <v/>
      </c>
      <c r="D5" s="17">
        <f>COUNTIFS(C9:C16, 0, D9:D16, "&gt;0")</f>
        <v/>
      </c>
      <c r="E5" s="18">
        <f>COUNTIFS(C9:C16, 0, D9:D16, 0, E9:E16, "&gt;0")</f>
        <v/>
      </c>
    </row>
    <row r="7">
      <c r="A7" s="19" t="inlineStr">
        <is>
          <t>Feature Categorization &amp; Priority Breakdown</t>
        </is>
      </c>
    </row>
    <row r="8" ht="26" customHeight="1">
      <c r="A8" s="20" t="inlineStr">
        <is>
          <t>Feature ID</t>
        </is>
      </c>
      <c r="B8" s="21" t="inlineStr">
        <is>
          <t>Feature Name</t>
        </is>
      </c>
      <c r="C8" s="20" t="inlineStr">
        <is>
          <t>High Priority</t>
        </is>
      </c>
      <c r="D8" s="20" t="inlineStr">
        <is>
          <t>Medium Priority</t>
        </is>
      </c>
      <c r="E8" s="20" t="inlineStr">
        <is>
          <t>Low Priority</t>
        </is>
      </c>
      <c r="F8" s="20" t="inlineStr">
        <is>
          <t>Total TCs</t>
        </is>
      </c>
    </row>
    <row r="9" ht="22" customHeight="1">
      <c r="A9" s="22" t="inlineStr">
        <is>
          <t>M03-F01</t>
        </is>
      </c>
      <c r="B9" s="23" t="inlineStr">
        <is>
          <t>Course / Subject Creation</t>
        </is>
      </c>
      <c r="C9" s="24">
        <f>COUNTIFS('Module03'!$C$2:$C$23, A9, 'Module03'!$M$2:$M$23, "High")</f>
        <v/>
      </c>
      <c r="D9" s="25">
        <f>COUNTIFS('Module03'!$C$2:$C$23, A9, 'Module03'!$M$2:$M$23, "Medium")</f>
        <v/>
      </c>
      <c r="E9" s="26">
        <f>COUNTIFS('Module03'!$C$2:$C$23, A9, 'Module03'!$M$2:$M$23, "Low")</f>
        <v/>
      </c>
      <c r="F9" s="27">
        <f>SUM(C9:E9)</f>
        <v/>
      </c>
    </row>
    <row r="10" ht="22" customHeight="1">
      <c r="A10" s="28" t="inlineStr">
        <is>
          <t>M03-F02</t>
        </is>
      </c>
      <c r="B10" s="29" t="inlineStr">
        <is>
          <t>Grade Entry Structure</t>
        </is>
      </c>
      <c r="C10" s="30">
        <f>COUNTIFS('Module03'!$C$2:$C$23, A10, 'Module03'!$M$2:$M$23, "High")</f>
        <v/>
      </c>
      <c r="D10" s="31">
        <f>COUNTIFS('Module03'!$C$2:$C$23, A10, 'Module03'!$M$2:$M$23, "Medium")</f>
        <v/>
      </c>
      <c r="E10" s="32">
        <f>COUNTIFS('Module03'!$C$2:$C$23, A10, 'Module03'!$M$2:$M$23, "Low")</f>
        <v/>
      </c>
      <c r="F10" s="33">
        <f>SUM(C10:E10)</f>
        <v/>
      </c>
    </row>
    <row r="11" ht="22" customHeight="1">
      <c r="A11" s="22" t="inlineStr">
        <is>
          <t>M03-F03</t>
        </is>
      </c>
      <c r="B11" s="23" t="inlineStr">
        <is>
          <t>Automatic TBKT Calculation</t>
        </is>
      </c>
      <c r="C11" s="24">
        <f>COUNTIFS('Module03'!$C$2:$C$23, A11, 'Module03'!$M$2:$M$23, "High")</f>
        <v/>
      </c>
      <c r="D11" s="25">
        <f>COUNTIFS('Module03'!$C$2:$C$23, A11, 'Module03'!$M$2:$M$23, "Medium")</f>
        <v/>
      </c>
      <c r="E11" s="26">
        <f>COUNTIFS('Module03'!$C$2:$C$23, A11, 'Module03'!$M$2:$M$23, "Low")</f>
        <v/>
      </c>
      <c r="F11" s="27">
        <f>SUM(C11:E11)</f>
        <v/>
      </c>
    </row>
    <row r="12" ht="22" customHeight="1">
      <c r="A12" s="28" t="inlineStr">
        <is>
          <t>M03-F04</t>
        </is>
      </c>
      <c r="B12" s="29" t="inlineStr">
        <is>
          <t>Grade Upload via CSV</t>
        </is>
      </c>
      <c r="C12" s="30">
        <f>COUNTIFS('Module03'!$C$2:$C$23, A12, 'Module03'!$M$2:$M$23, "High")</f>
        <v/>
      </c>
      <c r="D12" s="31">
        <f>COUNTIFS('Module03'!$C$2:$C$23, A12, 'Module03'!$M$2:$M$23, "Medium")</f>
        <v/>
      </c>
      <c r="E12" s="32">
        <f>COUNTIFS('Module03'!$C$2:$C$23, A12, 'Module03'!$M$2:$M$23, "Low")</f>
        <v/>
      </c>
      <c r="F12" s="33">
        <f>SUM(C12:E12)</f>
        <v/>
      </c>
    </row>
    <row r="13" ht="22" customHeight="1">
      <c r="A13" s="22" t="inlineStr">
        <is>
          <t>M03-F07</t>
        </is>
      </c>
      <c r="B13" s="23" t="inlineStr">
        <is>
          <t>Manual GPA &amp; Letter Grade Entry</t>
        </is>
      </c>
      <c r="C13" s="24">
        <f>COUNTIFS('Module03'!$C$2:$C$23, A13, 'Module03'!$M$2:$M$23, "High")</f>
        <v/>
      </c>
      <c r="D13" s="25">
        <f>COUNTIFS('Module03'!$C$2:$C$23, A13, 'Module03'!$M$2:$M$23, "Medium")</f>
        <v/>
      </c>
      <c r="E13" s="26">
        <f>COUNTIFS('Module03'!$C$2:$C$23, A13, 'Module03'!$M$2:$M$23, "Low")</f>
        <v/>
      </c>
      <c r="F13" s="27">
        <f>SUM(C13:E13)</f>
        <v/>
      </c>
    </row>
    <row r="14" ht="22" customHeight="1">
      <c r="A14" s="28" t="inlineStr">
        <is>
          <t>M03-F05</t>
        </is>
      </c>
      <c r="B14" s="29" t="inlineStr">
        <is>
          <t>Subject Deletion</t>
        </is>
      </c>
      <c r="C14" s="30">
        <f>COUNTIFS('Module03'!$C$2:$C$23, A14, 'Module03'!$M$2:$M$23, "High")</f>
        <v/>
      </c>
      <c r="D14" s="31">
        <f>COUNTIFS('Module03'!$C$2:$C$23, A14, 'Module03'!$M$2:$M$23, "Medium")</f>
        <v/>
      </c>
      <c r="E14" s="32">
        <f>COUNTIFS('Module03'!$C$2:$C$23, A14, 'Module03'!$M$2:$M$23, "Low")</f>
        <v/>
      </c>
      <c r="F14" s="33">
        <f>SUM(C14:E14)</f>
        <v/>
      </c>
    </row>
    <row r="15" ht="22" customHeight="1">
      <c r="A15" s="22" t="inlineStr">
        <is>
          <t>M03-F06</t>
        </is>
      </c>
      <c r="B15" s="23" t="inlineStr">
        <is>
          <t>PDF Transcript Export</t>
        </is>
      </c>
      <c r="C15" s="24">
        <f>COUNTIFS('Module03'!$C$2:$C$23, A15, 'Module03'!$M$2:$M$23, "High")</f>
        <v/>
      </c>
      <c r="D15" s="25">
        <f>COUNTIFS('Module03'!$C$2:$C$23, A15, 'Module03'!$M$2:$M$23, "Medium")</f>
        <v/>
      </c>
      <c r="E15" s="26">
        <f>COUNTIFS('Module03'!$C$2:$C$23, A15, 'Module03'!$M$2:$M$23, "Low")</f>
        <v/>
      </c>
      <c r="F15" s="27">
        <f>SUM(C15:E15)</f>
        <v/>
      </c>
    </row>
    <row r="16" ht="22" customHeight="1">
      <c r="A16" s="28" t="inlineStr">
        <is>
          <t>M03-SEC</t>
        </is>
      </c>
      <c r="B16" s="29" t="inlineStr">
        <is>
          <t>Access Control &amp; Security</t>
        </is>
      </c>
      <c r="C16" s="30">
        <f>COUNTIFS('Module03'!$C$2:$C$23, A16, 'Module03'!$M$2:$M$23, "High")</f>
        <v/>
      </c>
      <c r="D16" s="31">
        <f>COUNTIFS('Module03'!$C$2:$C$23, A16, 'Module03'!$M$2:$M$23, "Medium")</f>
        <v/>
      </c>
      <c r="E16" s="32">
        <f>COUNTIFS('Module03'!$C$2:$C$23, A16, 'Module03'!$M$2:$M$23, "Low")</f>
        <v/>
      </c>
      <c r="F16" s="33">
        <f>SUM(C16:E16)</f>
        <v/>
      </c>
    </row>
    <row r="17" ht="24" customHeight="1">
      <c r="A17" s="34" t="inlineStr">
        <is>
          <t>Total</t>
        </is>
      </c>
      <c r="B17" s="35">
        <f>COUNTA(A9:A16)&amp;" Features"</f>
        <v/>
      </c>
      <c r="C17" s="34">
        <f>SUM(C9:C16)</f>
        <v/>
      </c>
      <c r="D17" s="34">
        <f>SUM(D9:D16)</f>
        <v/>
      </c>
      <c r="E17" s="34">
        <f>SUM(E9:E16)</f>
        <v/>
      </c>
      <c r="F17" s="34">
        <f>SUM(F9:F16)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28" customWidth="1" min="4" max="4"/>
    <col width="32" customWidth="1" min="5" max="5"/>
    <col width="36" customWidth="1" min="6" max="6"/>
    <col width="30" customWidth="1" min="7" max="7"/>
    <col width="28" customWidth="1" min="8" max="8"/>
    <col width="48" customWidth="1" min="9" max="9"/>
    <col width="48" customWidth="1" min="10" max="10"/>
    <col width="36" customWidth="1" min="11" max="11"/>
    <col width="16" customWidth="1" min="12" max="12"/>
    <col width="14" customWidth="1" min="13" max="13"/>
    <col width="32" customWidth="1" min="14" max="14"/>
  </cols>
  <sheetData>
    <row r="1" ht="28" customHeight="1">
      <c r="A1" s="1" t="inlineStr">
        <is>
          <t>ID</t>
        </is>
      </c>
      <c r="B1" s="1" t="inlineStr">
        <is>
          <t>Module</t>
        </is>
      </c>
      <c r="C1" s="1" t="inlineStr">
        <is>
          <t>Feature ID</t>
        </is>
      </c>
      <c r="D1" s="1" t="inlineStr">
        <is>
          <t>Feature Name</t>
        </is>
      </c>
      <c r="E1" s="1" t="inlineStr">
        <is>
          <t>Title</t>
        </is>
      </c>
      <c r="F1" s="1" t="inlineStr">
        <is>
          <t>Objective</t>
        </is>
      </c>
      <c r="G1" s="1" t="inlineStr">
        <is>
          <t>Preconditions</t>
        </is>
      </c>
      <c r="H1" s="1" t="inlineStr">
        <is>
          <t>TestData</t>
        </is>
      </c>
      <c r="I1" s="1" t="inlineStr">
        <is>
          <t>Steps</t>
        </is>
      </c>
      <c r="J1" s="1" t="inlineStr">
        <is>
          <t>ExpectedResult</t>
        </is>
      </c>
      <c r="K1" s="1" t="inlineStr">
        <is>
          <t>Actual Result</t>
        </is>
      </c>
      <c r="L1" s="1" t="inlineStr">
        <is>
          <t>Status</t>
        </is>
      </c>
      <c r="M1" s="1" t="inlineStr">
        <is>
          <t>Priority</t>
        </is>
      </c>
      <c r="N1" s="1" t="inlineStr">
        <is>
          <t>Notes</t>
        </is>
      </c>
    </row>
    <row r="2" ht="135" customHeight="1">
      <c r="A2" s="2" t="inlineStr">
        <is>
          <t>TC-M03-001</t>
        </is>
      </c>
      <c r="B2" s="2" t="inlineStr">
        <is>
          <t>Module 03</t>
        </is>
      </c>
      <c r="C2" s="3" t="inlineStr">
        <is>
          <t>M03-F01</t>
        </is>
      </c>
      <c r="D2" s="4" t="inlineStr">
        <is>
          <t>Course / Subject Creation</t>
        </is>
      </c>
      <c r="E2" s="4" t="inlineStr">
        <is>
          <t>Create New Subject Manually</t>
        </is>
      </c>
      <c r="F2" s="4" t="inlineStr">
        <is>
          <t>Verify that staff can create a new subject manually by choosing a batch and semester.</t>
        </is>
      </c>
      <c r="G2" s="4" t="inlineStr">
        <is>
          <t>Staff user is logged in. Batch PNV26A and Semester 1 exist.</t>
        </is>
      </c>
      <c r="H2" s="4" t="inlineStr">
        <is>
          <t>SubjectName=Programming; Batch=PNV26A; Semester=Semester 1</t>
        </is>
      </c>
      <c r="I2" s="4" t="inlineStr">
        <is>
          <t>1. Navigate to Academic Management;
2. Click Create Subject;
3. Enter subject name 'Programming';
4. Select Batch 'PNV26A' and Semester 'Semester 1';
5. Click Save</t>
        </is>
      </c>
      <c r="J2" s="4" t="inlineStr">
        <is>
          <t>Subject is created successfully. Success notification appears. 'Programming' belongs to PNV26A, Semester 1 in subject list.</t>
        </is>
      </c>
      <c r="K2" s="4" t="inlineStr"/>
      <c r="L2" s="5" t="inlineStr">
        <is>
          <t>Not Run</t>
        </is>
      </c>
      <c r="M2" s="6" t="inlineStr">
        <is>
          <t>High</t>
        </is>
      </c>
      <c r="N2" s="4" t="inlineStr">
        <is>
          <t>Related Requirement: M03-F01</t>
        </is>
      </c>
    </row>
    <row r="3" ht="90" customHeight="1">
      <c r="A3" s="7" t="inlineStr">
        <is>
          <t>TC-M03-002</t>
        </is>
      </c>
      <c r="B3" s="7" t="inlineStr">
        <is>
          <t>Module 03</t>
        </is>
      </c>
      <c r="C3" s="8" t="inlineStr">
        <is>
          <t>M03-F01</t>
        </is>
      </c>
      <c r="D3" s="9" t="inlineStr">
        <is>
          <t>Course / Subject Creation</t>
        </is>
      </c>
      <c r="E3" s="9" t="inlineStr">
        <is>
          <t>Bulk Subject Creation via Valid CSV</t>
        </is>
      </c>
      <c r="F3" s="9" t="inlineStr">
        <is>
          <t>Verify that staff can create multiple subjects simultaneously by importing a valid CSV file.</t>
        </is>
      </c>
      <c r="G3" s="9" t="inlineStr">
        <is>
          <t>Staff user is logged in. Batch PNV26A and Semester 1 exist.</t>
        </is>
      </c>
      <c r="H3" s="9" t="inlineStr">
        <is>
          <t>CSV containing: SubjectName, Batch, Semester columns with 'Programming,PNV26A,Semester 1' and 'English,PNV26A,Semester 1'</t>
        </is>
      </c>
      <c r="I3" s="9" t="inlineStr">
        <is>
          <t>1. Navigate to Academic Management;
2. Click Import Subjects via CSV;
3. Select valid CSV file;
4. Click Import</t>
        </is>
      </c>
      <c r="J3" s="9" t="inlineStr">
        <is>
          <t>Subjects are imported successfully. Message displays 'Imported 2 subjects'. Programming and English appear in subject list.</t>
        </is>
      </c>
      <c r="K3" s="9" t="inlineStr"/>
      <c r="L3" s="5" t="inlineStr">
        <is>
          <t>Not Run</t>
        </is>
      </c>
      <c r="M3" s="6" t="inlineStr">
        <is>
          <t>High</t>
        </is>
      </c>
      <c r="N3" s="9" t="inlineStr">
        <is>
          <t>Related Requirement: M03-F01</t>
        </is>
      </c>
    </row>
    <row r="4" ht="120" customHeight="1">
      <c r="A4" s="2" t="inlineStr">
        <is>
          <t>TC-M03-003</t>
        </is>
      </c>
      <c r="B4" s="2" t="inlineStr">
        <is>
          <t>Module 03</t>
        </is>
      </c>
      <c r="C4" s="3" t="inlineStr">
        <is>
          <t>M03-F01</t>
        </is>
      </c>
      <c r="D4" s="4" t="inlineStr">
        <is>
          <t>Course / Subject Creation</t>
        </is>
      </c>
      <c r="E4" s="4" t="inlineStr">
        <is>
          <t>Create Subject Fails due to Empty Subject Name</t>
        </is>
      </c>
      <c r="F4" s="4" t="inlineStr">
        <is>
          <t>Verify that the system blocks subject creation and warns if the subject name is empty.</t>
        </is>
      </c>
      <c r="G4" s="4" t="inlineStr">
        <is>
          <t>Staff user is logged in.</t>
        </is>
      </c>
      <c r="H4" s="4" t="inlineStr">
        <is>
          <t>SubjectName=Empty; Batch=PNV26A; Semester=Semester 1</t>
        </is>
      </c>
      <c r="I4" s="4" t="inlineStr">
        <is>
          <t>1. Navigate to Academic Management;
2. Click Create Subject;
3. Leave Subject Name blank;
4. Select Batch PNV26A and Semester 1;
5. Click Save</t>
        </is>
      </c>
      <c r="J4" s="4" t="inlineStr">
        <is>
          <t>Saving is blocked. Error message 'Subject Name is required' displays. Name field is highlighted in red.</t>
        </is>
      </c>
      <c r="K4" s="4" t="inlineStr"/>
      <c r="L4" s="5" t="inlineStr">
        <is>
          <t>Not Run</t>
        </is>
      </c>
      <c r="M4" s="6" t="inlineStr">
        <is>
          <t>High</t>
        </is>
      </c>
      <c r="N4" s="4" t="inlineStr">
        <is>
          <t>Related Requirement: M03-F01, Validation Rules</t>
        </is>
      </c>
    </row>
    <row r="5" ht="135" customHeight="1">
      <c r="A5" s="7" t="inlineStr">
        <is>
          <t>TC-M03-004</t>
        </is>
      </c>
      <c r="B5" s="7" t="inlineStr">
        <is>
          <t>Module 03</t>
        </is>
      </c>
      <c r="C5" s="8" t="inlineStr">
        <is>
          <t>M03-F02</t>
        </is>
      </c>
      <c r="D5" s="9" t="inlineStr">
        <is>
          <t>Grade Entry Structure</t>
        </is>
      </c>
      <c r="E5" s="9" t="inlineStr">
        <is>
          <t>Single Student Grade Entry</t>
        </is>
      </c>
      <c r="F5" s="9" t="inlineStr">
        <is>
          <t>Verify that staff can input periodic and regular test grades for a specific student in a subject.</t>
        </is>
      </c>
      <c r="G5" s="9" t="inlineStr">
        <is>
          <t>Programming subject of batch PNV26A exists. Student ST001 belongs to batch PNV26A.</t>
        </is>
      </c>
      <c r="H5" s="9" t="inlineStr">
        <is>
          <t>StudentID=ST001; Subject=Programming; KT_TX=7.5; DK1=8.0</t>
        </is>
      </c>
      <c r="I5" s="9" t="inlineStr">
        <is>
          <t>1. Open Academic Management and select subject 'Programming';
2. Find student ST001 in grade list;
3. Click KT TX cell and enter '7.5';
4. Click DK1 cell and enter '8.0';
5. Click Save</t>
        </is>
      </c>
      <c r="J5" s="9" t="inlineStr">
        <is>
          <t>Grades are saved successfully. Success message displays. '7.5' and '8.0' appear on ST001's grade row.</t>
        </is>
      </c>
      <c r="K5" s="9" t="inlineStr"/>
      <c r="L5" s="5" t="inlineStr">
        <is>
          <t>Not Run</t>
        </is>
      </c>
      <c r="M5" s="6" t="inlineStr">
        <is>
          <t>High</t>
        </is>
      </c>
      <c r="N5" s="9" t="inlineStr">
        <is>
          <t>Related Requirement: M03-F02</t>
        </is>
      </c>
    </row>
    <row r="6" ht="105" customHeight="1">
      <c r="A6" s="2" t="inlineStr">
        <is>
          <t>TC-M03-005</t>
        </is>
      </c>
      <c r="B6" s="2" t="inlineStr">
        <is>
          <t>Module 03</t>
        </is>
      </c>
      <c r="C6" s="3" t="inlineStr">
        <is>
          <t>M03-F03</t>
        </is>
      </c>
      <c r="D6" s="4" t="inlineStr">
        <is>
          <t>Automatic TBKT Calculation</t>
        </is>
      </c>
      <c r="E6" s="4" t="inlineStr">
        <is>
          <t>Auto TBKT Calculation and Exam Eligibility (TBKT &gt;= 5.0)</t>
        </is>
      </c>
      <c r="F6" s="4" t="inlineStr">
        <is>
          <t>Verify that the system automatically calculates average grade (TBKT) based on weighted formula and grants exam eligibility (Eligible = YES) if TBKT &gt;= 5.0.</t>
        </is>
      </c>
      <c r="G6" s="4" t="inlineStr">
        <is>
          <t>Programming subject has 1 periodic test weight. Student ST001 has grades.</t>
        </is>
      </c>
      <c r="H6" s="4" t="inlineStr">
        <is>
          <t>KT_TX=7.0; DK1=8.0</t>
        </is>
      </c>
      <c r="I6" s="4" t="inlineStr">
        <is>
          <t>1. Select subject 'Programming';
2. Input KT_TX=7.0 and DK1=8.0 for ST001;
3. Click Save;
4. Observe TBKT column and Eligible status for ST001</t>
        </is>
      </c>
      <c r="J6" s="4" t="inlineStr">
        <is>
          <t>TBKT is calculated as 7.67 (formula: (7.0*1 + 8.0*2)/3 = 7.67). Exam eligibility displays 'YES'.</t>
        </is>
      </c>
      <c r="K6" s="4" t="inlineStr"/>
      <c r="L6" s="5" t="inlineStr">
        <is>
          <t>Not Run</t>
        </is>
      </c>
      <c r="M6" s="6" t="inlineStr">
        <is>
          <t>High</t>
        </is>
      </c>
      <c r="N6" s="4" t="inlineStr">
        <is>
          <t>Related Requirement: M03-F03</t>
        </is>
      </c>
    </row>
    <row r="7" ht="105" customHeight="1">
      <c r="A7" s="7" t="inlineStr">
        <is>
          <t>TC-M03-006</t>
        </is>
      </c>
      <c r="B7" s="7" t="inlineStr">
        <is>
          <t>Module 03</t>
        </is>
      </c>
      <c r="C7" s="8" t="inlineStr">
        <is>
          <t>M03-F03</t>
        </is>
      </c>
      <c r="D7" s="9" t="inlineStr">
        <is>
          <t>Automatic TBKT Calculation</t>
        </is>
      </c>
      <c r="E7" s="9" t="inlineStr">
        <is>
          <t>Auto TBKT Calculation and Exam Ineligibility (TBKT &lt; 5.0)</t>
        </is>
      </c>
      <c r="F7" s="9" t="inlineStr">
        <is>
          <t>Verify that the system automatically calculates TBKT and blocks exam eligibility (Eligible = NO) if TBKT &lt; 5.0.</t>
        </is>
      </c>
      <c r="G7" s="9" t="inlineStr">
        <is>
          <t>Programming subject has 1 periodic test weight. Student ST002 has grades.</t>
        </is>
      </c>
      <c r="H7" s="9" t="inlineStr">
        <is>
          <t>KT_TX=3.0; DK1=5.0</t>
        </is>
      </c>
      <c r="I7" s="9" t="inlineStr">
        <is>
          <t>1. Select subject 'Programming';
2. Input KT_TX=3.0 and DK1=5.0 for ST002;
3. Click Save;
4. Observe TBKT column and Eligible status for ST002</t>
        </is>
      </c>
      <c r="J7" s="9" t="inlineStr">
        <is>
          <t>TBKT is calculated as 4.33 (formula: (3.0*1 + 5.0*2)/3 = 4.33). Exam eligibility displays 'NO'.</t>
        </is>
      </c>
      <c r="K7" s="9" t="inlineStr"/>
      <c r="L7" s="5" t="inlineStr">
        <is>
          <t>Not Run</t>
        </is>
      </c>
      <c r="M7" s="6" t="inlineStr">
        <is>
          <t>High</t>
        </is>
      </c>
      <c r="N7" s="9" t="inlineStr">
        <is>
          <t>Related Requirement: M03-F03</t>
        </is>
      </c>
    </row>
    <row r="8" ht="105" customHeight="1">
      <c r="A8" s="2" t="inlineStr">
        <is>
          <t>TC-M03-007</t>
        </is>
      </c>
      <c r="B8" s="2" t="inlineStr">
        <is>
          <t>Module 03</t>
        </is>
      </c>
      <c r="C8" s="3" t="inlineStr">
        <is>
          <t>M03-F03</t>
        </is>
      </c>
      <c r="D8" s="4" t="inlineStr">
        <is>
          <t>Automatic TBKT Calculation</t>
        </is>
      </c>
      <c r="E8" s="4" t="inlineStr">
        <is>
          <t>Block Final Exam Grade Entry When Ineligible (TBKT &lt; 5.0)</t>
        </is>
      </c>
      <c r="F8" s="4" t="inlineStr">
        <is>
          <t>Verify that final exam grade input is disabled and blocked for students with status Eligible = NO.</t>
        </is>
      </c>
      <c r="G8" s="4" t="inlineStr">
        <is>
          <t>Student ST002 has TBKT = 4.33 (Eligible = NO) in Programming.</t>
        </is>
      </c>
      <c r="H8" s="4" t="inlineStr">
        <is>
          <t>TCK=6.0</t>
        </is>
      </c>
      <c r="I8" s="4" t="inlineStr">
        <is>
          <t>1. Open Programming grade list;
2. Locate final exam grade (TCK) cell for ST002;
3. Try clicking or typing '6.0' in the TCK cell;
4. Observe the UI</t>
        </is>
      </c>
      <c r="J8" s="4" t="inlineStr">
        <is>
          <t>The TCK cell for ST002 is disabled (read-only). Hovering displays 'Not eligible for final exam'. Any backend save attempt returns validation error.</t>
        </is>
      </c>
      <c r="K8" s="4" t="inlineStr"/>
      <c r="L8" s="5" t="inlineStr">
        <is>
          <t>Not Run</t>
        </is>
      </c>
      <c r="M8" s="6" t="inlineStr">
        <is>
          <t>High</t>
        </is>
      </c>
      <c r="N8" s="4" t="inlineStr">
        <is>
          <t>Related Requirement: M03-F03, Business Rules 7.4</t>
        </is>
      </c>
    </row>
    <row r="9" ht="105" customHeight="1">
      <c r="A9" s="7" t="inlineStr">
        <is>
          <t>TC-M03-008</t>
        </is>
      </c>
      <c r="B9" s="7" t="inlineStr">
        <is>
          <t>Module 03</t>
        </is>
      </c>
      <c r="C9" s="8" t="inlineStr">
        <is>
          <t>M03-F03</t>
        </is>
      </c>
      <c r="D9" s="9" t="inlineStr">
        <is>
          <t>Automatic TBKT Calculation</t>
        </is>
      </c>
      <c r="E9" s="9" t="inlineStr">
        <is>
          <t>Allow Final Exam Grade Entry When Eligible (TBKT &gt;= 5.0)</t>
        </is>
      </c>
      <c r="F9" s="9" t="inlineStr">
        <is>
          <t>Verify that final exam grade input is enabled and saved successfully for students with status Eligible = YES.</t>
        </is>
      </c>
      <c r="G9" s="9" t="inlineStr">
        <is>
          <t>Student ST001 has TBKT = 7.67 (Eligible = YES) in Programming.</t>
        </is>
      </c>
      <c r="H9" s="9" t="inlineStr">
        <is>
          <t>TCK=8.5</t>
        </is>
      </c>
      <c r="I9" s="9" t="inlineStr">
        <is>
          <t>1. Open Programming grade list;
2. Locate final exam grade (TCK) cell for ST001;
3. Click the cell and enter '8.5';
4. Click Save</t>
        </is>
      </c>
      <c r="J9" s="9" t="inlineStr">
        <is>
          <t>Grade input behaves normally. Final exam grade '8.5' is saved successfully in database and displayed in UI.</t>
        </is>
      </c>
      <c r="K9" s="9" t="inlineStr"/>
      <c r="L9" s="5" t="inlineStr">
        <is>
          <t>Not Run</t>
        </is>
      </c>
      <c r="M9" s="6" t="inlineStr">
        <is>
          <t>High</t>
        </is>
      </c>
      <c r="N9" s="9" t="inlineStr">
        <is>
          <t>Related Requirement: M03-F03, Business Rules 7.4</t>
        </is>
      </c>
    </row>
    <row r="10" ht="75" customHeight="1">
      <c r="A10" s="2" t="inlineStr">
        <is>
          <t>TC-M03-009</t>
        </is>
      </c>
      <c r="B10" s="2" t="inlineStr">
        <is>
          <t>Module 03</t>
        </is>
      </c>
      <c r="C10" s="3" t="inlineStr">
        <is>
          <t>M03-F03</t>
        </is>
      </c>
      <c r="D10" s="4" t="inlineStr">
        <is>
          <t>Automatic TBKT Calculation</t>
        </is>
      </c>
      <c r="E10" s="4" t="inlineStr">
        <is>
          <t>Input Retake Exam Grade for Student</t>
        </is>
      </c>
      <c r="F10" s="4" t="inlineStr">
        <is>
          <t>Verify that staff can enter a retake exam grade (TLCK) manually and optionally for a student.</t>
        </is>
      </c>
      <c r="G10" s="4" t="inlineStr">
        <is>
          <t>Student ST001 has a final exam grade (TCK) recorded.</t>
        </is>
      </c>
      <c r="H10" s="4" t="inlineStr">
        <is>
          <t>TLCK=7.0</t>
        </is>
      </c>
      <c r="I10" s="4" t="inlineStr">
        <is>
          <t>1. Open Programming grade list;
2. Click the retake exam grade (TLCK) cell for ST001;
3. Enter '7.0' and click Save</t>
        </is>
      </c>
      <c r="J10" s="4" t="inlineStr">
        <is>
          <t>Retake grade is recorded successfully and displayed in student's grade row. Other grades remain intact.</t>
        </is>
      </c>
      <c r="K10" s="4" t="inlineStr"/>
      <c r="L10" s="5" t="inlineStr">
        <is>
          <t>Not Run</t>
        </is>
      </c>
      <c r="M10" s="6" t="inlineStr">
        <is>
          <t>High</t>
        </is>
      </c>
      <c r="N10" s="4" t="inlineStr">
        <is>
          <t>Related Requirement: M03-F03, Business Rules 7.2</t>
        </is>
      </c>
    </row>
    <row r="11" ht="105" customHeight="1">
      <c r="A11" s="7" t="inlineStr">
        <is>
          <t>TC-M03-010</t>
        </is>
      </c>
      <c r="B11" s="7" t="inlineStr">
        <is>
          <t>Module 03</t>
        </is>
      </c>
      <c r="C11" s="8" t="inlineStr">
        <is>
          <t>M03-F04</t>
        </is>
      </c>
      <c r="D11" s="9" t="inlineStr">
        <is>
          <t>Grade Upload via CSV</t>
        </is>
      </c>
      <c r="E11" s="9" t="inlineStr">
        <is>
          <t>Bulk Grade Upload via CSV (Overwrite Mode)</t>
        </is>
      </c>
      <c r="F11" s="9" t="inlineStr">
        <is>
          <t>Verify that CSV grade import overwrites all existing grades of students in the subject with the new values.</t>
        </is>
      </c>
      <c r="G11" s="9" t="inlineStr">
        <is>
          <t>Subject English has existing grades for ST001 (KT_TX=5.0) and ST002 (KT_TX=6.0).</t>
        </is>
      </c>
      <c r="H11" s="9" t="inlineStr">
        <is>
          <t>CSV containing: StudentID, KT_TX, DK1. Rows: 'ST001,8.0,9.0' and 'ST002,7.5,8.0'</t>
        </is>
      </c>
      <c r="I11" s="9" t="inlineStr">
        <is>
          <t>1. Select subject 'English';
2. Click Upload Grades via CSV;
3. Select new CSV file and confirm upload;
4. Observe grade list</t>
        </is>
      </c>
      <c r="J11" s="9" t="inlineStr">
        <is>
          <t>Upload succeeds. Grades for ST001 update to KT_TX=8.0, DK1=9.0 (TBKT=8.67), and ST002 update to KT_TX=7.5, DK1=8.0 (TBKT=7.83). Old grades are overwritten.</t>
        </is>
      </c>
      <c r="K11" s="9" t="inlineStr"/>
      <c r="L11" s="5" t="inlineStr">
        <is>
          <t>Not Run</t>
        </is>
      </c>
      <c r="M11" s="6" t="inlineStr">
        <is>
          <t>High</t>
        </is>
      </c>
      <c r="N11" s="9" t="inlineStr">
        <is>
          <t>Related Requirement: M03-F04, Business Rules 7.5</t>
        </is>
      </c>
    </row>
    <row r="12" ht="75" customHeight="1">
      <c r="A12" s="2" t="inlineStr">
        <is>
          <t>TC-M03-011</t>
        </is>
      </c>
      <c r="B12" s="2" t="inlineStr">
        <is>
          <t>Module 03</t>
        </is>
      </c>
      <c r="C12" s="3" t="inlineStr">
        <is>
          <t>M03-F04</t>
        </is>
      </c>
      <c r="D12" s="4" t="inlineStr">
        <is>
          <t>Grade Upload via CSV</t>
        </is>
      </c>
      <c r="E12" s="4" t="inlineStr">
        <is>
          <t>CSV Grade Upload with Blank Cells Clears Existing Grades</t>
        </is>
      </c>
      <c r="F12" s="4" t="inlineStr">
        <is>
          <t>Verify that blank cells in CSV file are interpreted as NULL/Empty and clear corresponding old grades.</t>
        </is>
      </c>
      <c r="G12" s="4" t="inlineStr">
        <is>
          <t>Student ST001 has grades (KT_TX=8.0, DK1=9.0).</t>
        </is>
      </c>
      <c r="H12" s="4" t="inlineStr">
        <is>
          <t>CSV row: ST001,,9.0 (empty KT_TX value between commas)</t>
        </is>
      </c>
      <c r="I12" s="4" t="inlineStr">
        <is>
          <t>1. Select subject, click Upload Grades via CSV;
2. Select CSV containing empty KT_TX for ST001;
3. Confirm import</t>
        </is>
      </c>
      <c r="J12" s="4" t="inlineStr">
        <is>
          <t>Grade list is updated. Regular test grade (KT_TX) for ST001 (previously 8.0) is cleared/empty. DK1 remains 9.0.</t>
        </is>
      </c>
      <c r="K12" s="4" t="inlineStr"/>
      <c r="L12" s="5" t="inlineStr">
        <is>
          <t>Not Run</t>
        </is>
      </c>
      <c r="M12" s="6" t="inlineStr">
        <is>
          <t>High</t>
        </is>
      </c>
      <c r="N12" s="4" t="inlineStr">
        <is>
          <t>Related Requirement: M03-F04, CSV Import Rules 8</t>
        </is>
      </c>
    </row>
    <row r="13" ht="90" customHeight="1">
      <c r="A13" s="7" t="inlineStr">
        <is>
          <t>TC-M03-012</t>
        </is>
      </c>
      <c r="B13" s="7" t="inlineStr">
        <is>
          <t>Module 03</t>
        </is>
      </c>
      <c r="C13" s="8" t="inlineStr">
        <is>
          <t>M03-F04</t>
        </is>
      </c>
      <c r="D13" s="9" t="inlineStr">
        <is>
          <t>Grade Upload via CSV</t>
        </is>
      </c>
      <c r="E13" s="9" t="inlineStr">
        <is>
          <t>CSV Grade Upload Fails due to Missing StudentID Column</t>
        </is>
      </c>
      <c r="F13" s="9" t="inlineStr">
        <is>
          <t>Verify that CSV grade import rejects files missing the StudentID column and does not modify any data.</t>
        </is>
      </c>
      <c r="G13" s="9" t="inlineStr">
        <is>
          <t>Staff user is logged in.</t>
        </is>
      </c>
      <c r="H13" s="9" t="inlineStr">
        <is>
          <t>CSV with KT_TX, DK1, TCK columns (no StudentID column)</t>
        </is>
      </c>
      <c r="I13" s="9" t="inlineStr">
        <is>
          <t>1. Select subject, click Upload Grades via CSV;
2. Select CSV missing StudentID column and upload;
3. Observe error message</t>
        </is>
      </c>
      <c r="J13" s="9" t="inlineStr">
        <is>
          <t>System rejects the CSV file and displays error: 'Missing required column StudentID'. No grades are modified.</t>
        </is>
      </c>
      <c r="K13" s="9" t="inlineStr"/>
      <c r="L13" s="5" t="inlineStr">
        <is>
          <t>Not Run</t>
        </is>
      </c>
      <c r="M13" s="6" t="inlineStr">
        <is>
          <t>High</t>
        </is>
      </c>
      <c r="N13" s="9" t="inlineStr">
        <is>
          <t>Related Requirement: M03-F04, Error Handling 10</t>
        </is>
      </c>
    </row>
    <row r="14" ht="75" customHeight="1">
      <c r="A14" s="2" t="inlineStr">
        <is>
          <t>TC-M03-013</t>
        </is>
      </c>
      <c r="B14" s="2" t="inlineStr">
        <is>
          <t>Module 03</t>
        </is>
      </c>
      <c r="C14" s="3" t="inlineStr">
        <is>
          <t>M03-F04</t>
        </is>
      </c>
      <c r="D14" s="4" t="inlineStr">
        <is>
          <t>Grade Upload via CSV</t>
        </is>
      </c>
      <c r="E14" s="4" t="inlineStr">
        <is>
          <t>CSV Grade Upload Fails due to Decimal Comma Format (8,5)</t>
        </is>
      </c>
      <c r="F14" s="4" t="inlineStr">
        <is>
          <t>Verify that decimal grades formatted with commas (e.g. 8,5) instead of dots (8.5) trigger error.</t>
        </is>
      </c>
      <c r="G14" s="4" t="inlineStr">
        <is>
          <t>Staff user is logged in.</t>
        </is>
      </c>
      <c r="H14" s="4" t="inlineStr">
        <is>
          <t>CSV row: ST001,8,5,9.0 (or double quoted ST001,\8</t>
        </is>
      </c>
      <c r="I14" s="4" t="inlineStr">
        <is>
          <t>5\"</t>
        </is>
      </c>
      <c r="J14" s="4" t="inlineStr">
        <is>
          <t>9.0)"</t>
        </is>
      </c>
      <c r="K14" s="4" t="inlineStr"/>
      <c r="L14" s="5" t="inlineStr">
        <is>
          <t>Not Run</t>
        </is>
      </c>
      <c r="M14" s="2" t="inlineStr">
        <is>
          <t>1. Click Upload Grades via CSV;
2. Select CSV containing '8,5' for ST001;
3. Observe response</t>
        </is>
      </c>
      <c r="N14" s="4" t="inlineStr">
        <is>
          <t>System blocks import or warns of invalid decimal format requiring dot '.'. Grade is not saved incorrectly.</t>
        </is>
      </c>
    </row>
    <row r="15" ht="75" customHeight="1">
      <c r="A15" s="7" t="inlineStr">
        <is>
          <t>TC-M03-014</t>
        </is>
      </c>
      <c r="B15" s="7" t="inlineStr">
        <is>
          <t>Module 03</t>
        </is>
      </c>
      <c r="C15" s="8" t="inlineStr">
        <is>
          <t>M03-F04</t>
        </is>
      </c>
      <c r="D15" s="9" t="inlineStr">
        <is>
          <t>Grade Upload via CSV</t>
        </is>
      </c>
      <c r="E15" s="9" t="inlineStr">
        <is>
          <t>CSV Grade Upload Fails due to Out of Range Grades (0-10)</t>
        </is>
      </c>
      <c r="F15" s="9" t="inlineStr">
        <is>
          <t>Verify that grades outside the 0-10 scale in CSV are rejected.</t>
        </is>
      </c>
      <c r="G15" s="9" t="inlineStr">
        <is>
          <t>Staff user is logged in.</t>
        </is>
      </c>
      <c r="H15" s="9" t="inlineStr">
        <is>
          <t>CSV row: ST001,11.0,8.0 (KT_TX = 11.0)</t>
        </is>
      </c>
      <c r="I15" s="9" t="inlineStr">
        <is>
          <t>1. Click Upload Grades via CSV;
2. Select CSV with invalid grade '11.0';
3. Observe error message</t>
        </is>
      </c>
      <c r="J15" s="9" t="inlineStr">
        <is>
          <t>System blocks import and displays validation error: 'Grade must be between 0 and 10.' at the corresponding row. No grades are saved.</t>
        </is>
      </c>
      <c r="K15" s="9" t="inlineStr"/>
      <c r="L15" s="5" t="inlineStr">
        <is>
          <t>Not Run</t>
        </is>
      </c>
      <c r="M15" s="6" t="inlineStr">
        <is>
          <t>High</t>
        </is>
      </c>
      <c r="N15" s="9" t="inlineStr">
        <is>
          <t>Related Requirement: M03-F04, Validation Rules 9</t>
        </is>
      </c>
    </row>
    <row r="16" ht="90" customHeight="1">
      <c r="A16" s="2" t="inlineStr">
        <is>
          <t>TC-M03-015</t>
        </is>
      </c>
      <c r="B16" s="2" t="inlineStr">
        <is>
          <t>Module 03</t>
        </is>
      </c>
      <c r="C16" s="3" t="inlineStr">
        <is>
          <t>M03-F07</t>
        </is>
      </c>
      <c r="D16" s="4" t="inlineStr">
        <is>
          <t>Manual GPA &amp; Letter Grade Entry</t>
        </is>
      </c>
      <c r="E16" s="4" t="inlineStr">
        <is>
          <t>Manually Upload Semester GPA and Letter Grade via CSV</t>
        </is>
      </c>
      <c r="F16" s="4" t="inlineStr">
        <is>
          <t>Verify that final score, GPA, and letter grades can be manually imported from CSV and preserved without automatic recalculation.</t>
        </is>
      </c>
      <c r="G16" s="4" t="inlineStr">
        <is>
          <t>Student ST001 has semester grade record.</t>
        </is>
      </c>
      <c r="H16" s="4" t="inlineStr">
        <is>
          <t>CSV with StudentID, FinalScore, GPA, LetterGrade. Row: ST001,8.5,3.6,A</t>
        </is>
      </c>
      <c r="I16" s="4" t="inlineStr">
        <is>
          <t>1. Navigate to GPA &amp; Letter Grade CSV import;
2. Select CSV containing GPA=3.6 and LetterGrade=A for ST001;
3. View ST001 semester transcript details</t>
        </is>
      </c>
      <c r="J16" s="4" t="inlineStr">
        <is>
          <t>GPA=3.6 and LetterGrade=A are saved and displayed exactly. No auto-recalculations are performed on these fields.</t>
        </is>
      </c>
      <c r="K16" s="4" t="inlineStr"/>
      <c r="L16" s="5" t="inlineStr">
        <is>
          <t>Not Run</t>
        </is>
      </c>
      <c r="M16" s="6" t="inlineStr">
        <is>
          <t>High</t>
        </is>
      </c>
      <c r="N16" s="4" t="inlineStr">
        <is>
          <t>Related Requirement: M03-F07, Business Rules 7.7</t>
        </is>
      </c>
    </row>
    <row r="17" ht="120" customHeight="1">
      <c r="A17" s="7" t="inlineStr">
        <is>
          <t>TC-M03-016</t>
        </is>
      </c>
      <c r="B17" s="7" t="inlineStr">
        <is>
          <t>Module 03</t>
        </is>
      </c>
      <c r="C17" s="8" t="inlineStr">
        <is>
          <t>M03-F05</t>
        </is>
      </c>
      <c r="D17" s="9" t="inlineStr">
        <is>
          <t>Subject Deletion</t>
        </is>
      </c>
      <c r="E17" s="9" t="inlineStr">
        <is>
          <t>Subject Deletion Confirmation and Grade Cleanup</t>
        </is>
      </c>
      <c r="F17" s="9" t="inlineStr">
        <is>
          <t>Verify that subject deletion requires confirmation and permanently purges all associated grades.</t>
        </is>
      </c>
      <c r="G17" s="9" t="inlineStr">
        <is>
          <t>English subject exists with grades entered for students.</t>
        </is>
      </c>
      <c r="H17" s="9" t="inlineStr">
        <is>
          <t>None</t>
        </is>
      </c>
      <c r="I17" s="9" t="inlineStr">
        <is>
          <t>1. Navigate to subject list;
2. Click Delete icon next to English;
3. Click Cancel on confirmation popup; verify subject exists;
4. Click Delete again, click Confirm/Delete; verify list and DB</t>
        </is>
      </c>
      <c r="J17" s="9" t="inlineStr">
        <is>
          <t>Cancel keeps subject and grades intact. Confirm deletes English from subject list. All associated student grades for English are permanently purged from database.</t>
        </is>
      </c>
      <c r="K17" s="9" t="inlineStr"/>
      <c r="L17" s="5" t="inlineStr">
        <is>
          <t>Not Run</t>
        </is>
      </c>
      <c r="M17" s="6" t="inlineStr">
        <is>
          <t>High</t>
        </is>
      </c>
      <c r="N17" s="9" t="inlineStr">
        <is>
          <t>Related Requirement: M03-F05, Subject Deletion 7.8</t>
        </is>
      </c>
    </row>
    <row r="18" ht="105" customHeight="1">
      <c r="A18" s="2" t="inlineStr">
        <is>
          <t>TC-M03-017</t>
        </is>
      </c>
      <c r="B18" s="2" t="inlineStr">
        <is>
          <t>Module 03</t>
        </is>
      </c>
      <c r="C18" s="3" t="inlineStr">
        <is>
          <t>M03-F06</t>
        </is>
      </c>
      <c r="D18" s="4" t="inlineStr">
        <is>
          <t>PDF Transcript Export</t>
        </is>
      </c>
      <c r="E18" s="4" t="inlineStr">
        <is>
          <t>Export Single Student PDF Transcript</t>
        </is>
      </c>
      <c r="F18" s="4" t="inlineStr">
        <is>
          <t>Verify that staff can generate and download a formal PDF transcript containing academic info for a specific student.</t>
        </is>
      </c>
      <c r="G18" s="4" t="inlineStr">
        <is>
          <t>Student ST001 has grades, GPA, and letter grades entered.</t>
        </is>
      </c>
      <c r="H18" s="4" t="inlineStr">
        <is>
          <t>StudentID=ST001</t>
        </is>
      </c>
      <c r="I18" s="4" t="inlineStr">
        <is>
          <t>1. Open Student list or Export Transcripts page;
2. Find student ST001;
3. Click Export PDF Transcript for ST001;
4. Open the downloaded PDF file</t>
        </is>
      </c>
      <c r="J18" s="4" t="inlineStr">
        <is>
          <t>PDF downloaded successfully. Content displays ST001 info, list of subjects, grades, TBKT, GPA, and Letter Grade.</t>
        </is>
      </c>
      <c r="K18" s="4" t="inlineStr"/>
      <c r="L18" s="5" t="inlineStr">
        <is>
          <t>Not Run</t>
        </is>
      </c>
      <c r="M18" s="6" t="inlineStr">
        <is>
          <t>High</t>
        </is>
      </c>
      <c r="N18" s="4" t="inlineStr">
        <is>
          <t>Related Requirement: M03-F06</t>
        </is>
      </c>
    </row>
    <row r="19" ht="105" customHeight="1">
      <c r="A19" s="7" t="inlineStr">
        <is>
          <t>TC-M03-018</t>
        </is>
      </c>
      <c r="B19" s="7" t="inlineStr">
        <is>
          <t>Module 03</t>
        </is>
      </c>
      <c r="C19" s="8" t="inlineStr">
        <is>
          <t>M03-F06</t>
        </is>
      </c>
      <c r="D19" s="9" t="inlineStr">
        <is>
          <t>PDF Transcript Export</t>
        </is>
      </c>
      <c r="E19" s="9" t="inlineStr">
        <is>
          <t>Bulk Export PDF Transcripts for Multiple Students</t>
        </is>
      </c>
      <c r="F19" s="9" t="inlineStr">
        <is>
          <t>Verify that staff can export transcripts in batch for selected students.</t>
        </is>
      </c>
      <c r="G19" s="9" t="inlineStr">
        <is>
          <t>Multiple students in batch PNV26A have grades.</t>
        </is>
      </c>
      <c r="H19" s="9" t="inlineStr">
        <is>
          <t>Batch=PNV26A; Selected: ST001, ST002, ST003</t>
        </is>
      </c>
      <c r="I19" s="9" t="inlineStr">
        <is>
          <t>1. Open Export Transcripts page;
2. Select Batch PNV26A;
3. Check checkboxes for ST001, ST002, and ST003;
4. Click Export Selected transcripts to PDF</t>
        </is>
      </c>
      <c r="J19" s="9" t="inlineStr">
        <is>
          <t>Export succeeds. A combined PDF file or ZIP file containing individual PDFs is downloaded.</t>
        </is>
      </c>
      <c r="K19" s="9" t="inlineStr"/>
      <c r="L19" s="5" t="inlineStr">
        <is>
          <t>Not Run</t>
        </is>
      </c>
      <c r="M19" s="6" t="inlineStr">
        <is>
          <t>High</t>
        </is>
      </c>
      <c r="N19" s="9" t="inlineStr">
        <is>
          <t>Related Requirement: M03-F06</t>
        </is>
      </c>
    </row>
    <row r="20" ht="75" customHeight="1">
      <c r="A20" s="2" t="inlineStr">
        <is>
          <t>TC-M03-019</t>
        </is>
      </c>
      <c r="B20" s="2" t="inlineStr">
        <is>
          <t>Module 03</t>
        </is>
      </c>
      <c r="C20" s="3" t="inlineStr">
        <is>
          <t>M03-F06</t>
        </is>
      </c>
      <c r="D20" s="4" t="inlineStr">
        <is>
          <t>PDF Transcript Export</t>
        </is>
      </c>
      <c r="E20" s="4" t="inlineStr">
        <is>
          <t>Verify Grade Color Rules on Reports (Green, Orange, Red)</t>
        </is>
      </c>
      <c r="F20" s="4" t="inlineStr">
        <is>
          <t>Verify that final grades (/10) are colored dynamically on reports according to specified ranges.</t>
        </is>
      </c>
      <c r="G20" s="4" t="inlineStr">
        <is>
          <t>ST001 final grade is 8.5; ST002 is 7.0; ST003 is 4.5.</t>
        </is>
      </c>
      <c r="H20" s="4" t="inlineStr">
        <is>
          <t>None</t>
        </is>
      </c>
      <c r="I20" s="4" t="inlineStr">
        <is>
          <t>1. Open Batch Transcript report;
2. Locate final grades for ST001, ST002, and ST003;
3. Observe color of grades</t>
        </is>
      </c>
      <c r="J20" s="4" t="inlineStr">
        <is>
          <t>ST001 final grade (8.5) is Green (🟢) (grade &gt;= 8.0). ST002 final grade (7.0) is Orange (🟡) (grade 5.5 - 7.9). ST003 final grade (4.5) is Red (🔴) (grade &lt; 5.5).</t>
        </is>
      </c>
      <c r="K20" s="4" t="inlineStr"/>
      <c r="L20" s="5" t="inlineStr">
        <is>
          <t>Not Run</t>
        </is>
      </c>
      <c r="M20" s="10" t="inlineStr">
        <is>
          <t>Medium</t>
        </is>
      </c>
      <c r="N20" s="4" t="inlineStr">
        <is>
          <t>Related Requirement: Grade Color Rules 5</t>
        </is>
      </c>
    </row>
    <row r="21" ht="75" customHeight="1">
      <c r="A21" s="7" t="inlineStr">
        <is>
          <t>TC-M03-020</t>
        </is>
      </c>
      <c r="B21" s="7" t="inlineStr">
        <is>
          <t>Module 03</t>
        </is>
      </c>
      <c r="C21" s="8" t="inlineStr">
        <is>
          <t>M03-F06</t>
        </is>
      </c>
      <c r="D21" s="9" t="inlineStr">
        <is>
          <t>PDF Transcript Export</t>
        </is>
      </c>
      <c r="E21" s="9" t="inlineStr">
        <is>
          <t>Verify GPA Color Rules on Reports (Green, Orange, Red)</t>
        </is>
      </c>
      <c r="F21" s="9" t="inlineStr">
        <is>
          <t>Verify that GPA scores (/4) are colored dynamically on reports according to specified ranges.</t>
        </is>
      </c>
      <c r="G21" s="9" t="inlineStr">
        <is>
          <t>ST001 GPA is 3.6; ST002 GPA is 3.0; ST003 GPA is 1.8.</t>
        </is>
      </c>
      <c r="H21" s="9" t="inlineStr">
        <is>
          <t>None</t>
        </is>
      </c>
      <c r="I21" s="9" t="inlineStr">
        <is>
          <t>1. Open Batch Transcript report;
2. Locate GPA scores for ST001, ST002, and ST003;
3. Observe color of GPA</t>
        </is>
      </c>
      <c r="J21" s="9" t="inlineStr">
        <is>
          <t>ST001 GPA (3.6) is Green (🟢) (GPA &gt;= 3.5). ST002 GPA (3.0) is Orange (🟡) (GPA 2.0 - 3.4). ST003 GPA (1.8) is Red (🔴) (GPA &lt; 2.0).</t>
        </is>
      </c>
      <c r="K21" s="9" t="inlineStr"/>
      <c r="L21" s="5" t="inlineStr">
        <is>
          <t>Not Run</t>
        </is>
      </c>
      <c r="M21" s="10" t="inlineStr">
        <is>
          <t>Medium</t>
        </is>
      </c>
      <c r="N21" s="9" t="inlineStr">
        <is>
          <t>Related Requirement: Grade Color Rules 5</t>
        </is>
      </c>
    </row>
    <row r="22" ht="90" customHeight="1">
      <c r="A22" s="2" t="inlineStr">
        <is>
          <t>TC-M03-021</t>
        </is>
      </c>
      <c r="B22" s="2" t="inlineStr">
        <is>
          <t>Module 03</t>
        </is>
      </c>
      <c r="C22" s="3" t="inlineStr">
        <is>
          <t>M03-SEC</t>
        </is>
      </c>
      <c r="D22" s="4" t="inlineStr">
        <is>
          <t>Access Control &amp; Security</t>
        </is>
      </c>
      <c r="E22" s="4" t="inlineStr">
        <is>
          <t>Block Student Access to Academic Management</t>
        </is>
      </c>
      <c r="F22" s="4" t="inlineStr">
        <is>
          <t>Verify that a student user cannot access Academic Management features.</t>
        </is>
      </c>
      <c r="G22" s="4" t="inlineStr">
        <is>
          <t>User logged in with student email student01@student.passerellesnumeriques.org.</t>
        </is>
      </c>
      <c r="H22" s="4" t="inlineStr">
        <is>
          <t>Email=student01@student.passerellesnumeriques.org</t>
        </is>
      </c>
      <c r="I22" s="4" t="inlineStr">
        <is>
          <t>1. Sign in via Google OAuth with student account;
2. Attempt direct URL navigation to Academic Management page;
3. Observe result</t>
        </is>
      </c>
      <c r="J22" s="4" t="inlineStr">
        <is>
          <t>Access is blocked. 'Access Denied' message displays or user is redirected to student home page. Academic Management menu is hidden.</t>
        </is>
      </c>
      <c r="K22" s="4" t="inlineStr"/>
      <c r="L22" s="5" t="inlineStr">
        <is>
          <t>Not Run</t>
        </is>
      </c>
      <c r="M22" s="6" t="inlineStr">
        <is>
          <t>High</t>
        </is>
      </c>
      <c r="N22" s="4" t="inlineStr">
        <is>
          <t>Related Requirement: User Roles</t>
        </is>
      </c>
    </row>
    <row r="23" ht="105" customHeight="1">
      <c r="A23" s="7" t="inlineStr">
        <is>
          <t>TC-M03-022</t>
        </is>
      </c>
      <c r="B23" s="7" t="inlineStr">
        <is>
          <t>Module 03</t>
        </is>
      </c>
      <c r="C23" s="8" t="inlineStr">
        <is>
          <t>M03-F03</t>
        </is>
      </c>
      <c r="D23" s="9" t="inlineStr">
        <is>
          <t>Automatic TBKT Calculation</t>
        </is>
      </c>
      <c r="E23" s="9" t="inlineStr">
        <is>
          <t>TBKT Calculation Independence with Varying Periodic Test Counts (n)</t>
        </is>
      </c>
      <c r="F23" s="9" t="inlineStr">
        <is>
          <t>Verify that TBKT formula calculates correctly for subjects with different numbers of periodic tests (n from 1 to 6).</t>
        </is>
      </c>
      <c r="G23" s="9" t="inlineStr">
        <is>
          <t>Subject A has 1 periodic test (DK1); Subject B has 3 periodic tests (DK1, DK2, DK3).</t>
        </is>
      </c>
      <c r="H23" s="9" t="inlineStr">
        <is>
          <t>Subject A: KT_TX=6.0; DK1=7.0. Subject B: KT_TX=6.0; DK1=7.0; DK2=8.0; DK3=9.0.</t>
        </is>
      </c>
      <c r="I23" s="9" t="inlineStr">
        <is>
          <t>1. Under Subject A, enter KT_TX=6.0 and DK1=7.0 for ST001, save;
2. Under Subject B, enter KT_TX=6.0, DK1=7.0, DK2=8.0, DK3=9.0 for ST001, save;
3. Compare TBKT scores for ST001</t>
        </is>
      </c>
      <c r="J23" s="9" t="inlineStr">
        <is>
          <t>Subject A TBKT is 6.67 (formula: (6.0*1 + 7.0*2)/3 = 6.67). Subject B TBKT is 7.71 (formula: (6.0*1 + 7.0*2 + 8.0*2 + 9.0*2)/7 = 7.71). Both are calculated independently and correctly.</t>
        </is>
      </c>
      <c r="K23" s="9" t="inlineStr"/>
      <c r="L23" s="5" t="inlineStr">
        <is>
          <t>Not Run</t>
        </is>
      </c>
      <c r="M23" s="6" t="inlineStr">
        <is>
          <t>High</t>
        </is>
      </c>
      <c r="N23" s="9" t="inlineStr">
        <is>
          <t>Related Requirement: TBKT Calculation Formula</t>
        </is>
      </c>
    </row>
  </sheetData>
  <autoFilter ref="A1:N23"/>
  <dataValidations count="2">
    <dataValidation sqref="L2:L123" showDropDown="0" showInputMessage="0" showErrorMessage="0" allowBlank="1" errorTitle="Invalid Status" error="Please select a valid state: Passed, Failed, or Not Run" type="list">
      <formula1>"Passed,Failed,Not Run"</formula1>
    </dataValidation>
    <dataValidation sqref="M2:M123" showDropDown="0" showInputMessage="0" showErrorMessage="0" allowBlank="1" errorTitle="Invalid Priority" error="Please select a valid priority: High, Medium, or Low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2026-07-23T09:55:05Z</dcterms:created>
  <dcterms:modified xmlns:dcterms="http://purl.org/dc/terms/" xmlns:xsi="http://www.w3.org/2001/XMLSchema-instance" xsi:type="dcterms:W3CDTF">2026-07-23T09:55:06Z</dcterms:modified>
</cp:coreProperties>
</file>