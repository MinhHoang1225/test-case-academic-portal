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Summary" sheetId="2" state="visible" r:id="rId2"/>
    <sheet xmlns:r="http://schemas.openxmlformats.org/officeDocument/2006/relationships" name="Module 01" sheetId="3" state="visible" r:id="rId3"/>
    <sheet xmlns:r="http://schemas.openxmlformats.org/officeDocument/2006/relationships" name="Module 02" sheetId="4" state="visible" r:id="rId4"/>
    <sheet xmlns:r="http://schemas.openxmlformats.org/officeDocument/2006/relationships" name="Module 03" sheetId="5" state="visible" r:id="rId5"/>
    <sheet xmlns:r="http://schemas.openxmlformats.org/officeDocument/2006/relationships" name="Module 04" sheetId="6" state="visible" r:id="rId6"/>
    <sheet xmlns:r="http://schemas.openxmlformats.org/officeDocument/2006/relationships" name="Module 05" sheetId="7" state="visible" r:id="rId7"/>
    <sheet xmlns:r="http://schemas.openxmlformats.org/officeDocument/2006/relationships" name="Module 06" sheetId="8" state="visible" r:id="rId8"/>
    <sheet xmlns:r="http://schemas.openxmlformats.org/officeDocument/2006/relationships" name="Module 07" sheetId="9" state="visible" r:id="rId9"/>
    <sheet xmlns:r="http://schemas.openxmlformats.org/officeDocument/2006/relationships" name="Module 08" sheetId="10" state="visible" r:id="rId10"/>
    <sheet xmlns:r="http://schemas.openxmlformats.org/officeDocument/2006/relationships" name="Module 09" sheetId="11" state="visible" r:id="rId11"/>
  </sheets>
  <definedNames>
    <definedName name="_xlnm._FilterDatabase" localSheetId="2" hidden="1">'Module 01'!$A$1:$N$40</definedName>
    <definedName name="_xlnm._FilterDatabase" localSheetId="3" hidden="1">'Module 02'!$A$1:$N$32</definedName>
    <definedName name="_xlnm._FilterDatabase" localSheetId="4" hidden="1">'Module 03'!$A$1:$N$23</definedName>
    <definedName name="_xlnm._FilterDatabase" localSheetId="5" hidden="1">'Module 04'!$A$1:$N$24</definedName>
    <definedName name="_xlnm._FilterDatabase" localSheetId="6" hidden="1">'Module 05'!$A$1:$N$28</definedName>
    <definedName name="_xlnm._FilterDatabase" localSheetId="7" hidden="1">'Module 06'!$A$1:$N$32</definedName>
    <definedName name="_xlnm._FilterDatabase" localSheetId="8" hidden="1">'Module 07'!$A$1:$N$42</definedName>
    <definedName name="_xlnm._FilterDatabase" localSheetId="9" hidden="1">'Module 08'!$A$1:$N$21</definedName>
    <definedName name="_xlnm._FilterDatabase" localSheetId="10" hidden="1">'Module 09'!$A$1:$N$24</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37333"/>
      <sz val="10"/>
    </font>
    <font>
      <name val="Segoe UI"/>
      <b val="1"/>
      <color rgb="00FFFFFF"/>
      <sz val="16"/>
    </font>
    <font>
      <name val="Segoe UI"/>
      <b val="1"/>
      <color rgb="00555555"/>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F4E78"/>
      <sz val="13"/>
    </font>
    <font>
      <name val="Segoe UI"/>
      <sz val="10"/>
    </font>
    <font>
      <name val="Segoe UI"/>
      <b val="1"/>
      <color rgb="00000000"/>
      <sz val="10"/>
    </font>
    <font>
      <name val="Segoe UI"/>
      <b val="1"/>
      <color rgb="001F4E78"/>
      <sz val="16"/>
    </font>
    <font>
      <name val="Segoe UI"/>
      <i val="1"/>
      <color rgb="00555555"/>
      <sz val="10"/>
    </font>
    <font>
      <name val="Segoe UI"/>
      <b val="1"/>
      <color rgb="0064748B"/>
      <sz val="9"/>
    </font>
    <font>
      <name val="Segoe UI"/>
      <b val="1"/>
      <color rgb="00137333"/>
      <sz val="18"/>
    </font>
    <font>
      <name val="Segoe UI"/>
      <b val="1"/>
      <color rgb="001F4E78"/>
      <sz val="12"/>
    </font>
  </fonts>
  <fills count="11">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6F4EA"/>
        <bgColor rgb="00E6F4EA"/>
      </patternFill>
    </fill>
    <fill>
      <patternFill patternType="solid">
        <fgColor rgb="00E2E8F0"/>
        <bgColor rgb="00E2E8F0"/>
      </patternFill>
    </fill>
    <fill>
      <patternFill patternType="solid">
        <fgColor rgb="002B3E50"/>
        <bgColor rgb="002B3E50"/>
      </patternFill>
    </fill>
    <fill>
      <patternFill patternType="solid">
        <fgColor rgb="00FFFFFF"/>
        <bgColor rgb="00FFFFFF"/>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E293B"/>
      </left>
      <right style="thin">
        <color rgb="001E293B"/>
      </right>
      <top style="thin">
        <color rgb="001E293B"/>
      </top>
      <bottom style="thin">
        <color rgb="001E293B"/>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48">
    <xf numFmtId="0" fontId="0" fillId="0" borderId="0" pivotButton="0" quotePrefix="0" xfId="0"/>
    <xf numFmtId="0" fontId="8" fillId="2" borderId="0" applyAlignment="1" pivotButton="0" quotePrefix="0" xfId="0">
      <alignment horizontal="center" vertical="center"/>
    </xf>
    <xf numFmtId="0" fontId="9" fillId="0" borderId="0" applyAlignment="1" pivotButton="0" quotePrefix="0" xfId="0">
      <alignment horizontal="center" vertical="center"/>
    </xf>
    <xf numFmtId="0" fontId="10" fillId="3" borderId="1" applyAlignment="1" pivotButton="0" quotePrefix="0" xfId="0">
      <alignment horizontal="center" vertical="center"/>
    </xf>
    <xf numFmtId="0" fontId="11" fillId="8" borderId="1" applyAlignment="1" pivotButton="0" quotePrefix="0" xfId="0">
      <alignment horizontal="center" vertical="center"/>
    </xf>
    <xf numFmtId="0" fontId="12" fillId="4" borderId="1" applyAlignment="1" pivotButton="0" quotePrefix="0" xfId="0">
      <alignment horizontal="center" vertical="center"/>
    </xf>
    <xf numFmtId="0" fontId="13" fillId="6" borderId="1" applyAlignment="1" pivotButton="0" quotePrefix="0" xfId="0">
      <alignment horizontal="center" vertical="center"/>
    </xf>
    <xf numFmtId="0" fontId="14" fillId="0" borderId="0" pivotButton="0" quotePrefix="0" xfId="0"/>
    <xf numFmtId="0" fontId="1" fillId="9" borderId="2" applyAlignment="1" pivotButton="0" quotePrefix="0" xfId="0">
      <alignment horizontal="left" vertical="center"/>
    </xf>
    <xf numFmtId="0" fontId="1" fillId="9" borderId="2" applyAlignment="1" pivotButton="0" quotePrefix="0" xfId="0">
      <alignment horizontal="center" vertical="center"/>
    </xf>
    <xf numFmtId="0" fontId="15" fillId="10" borderId="1" applyAlignment="1" pivotButton="0" quotePrefix="0" xfId="0">
      <alignment horizontal="left" vertical="center"/>
    </xf>
    <xf numFmtId="0" fontId="15" fillId="10" borderId="1" applyAlignment="1" pivotButton="0" quotePrefix="0" xfId="0">
      <alignment horizontal="center" vertical="center"/>
    </xf>
    <xf numFmtId="0" fontId="15" fillId="5" borderId="1" applyAlignment="1" pivotButton="0" quotePrefix="0" xfId="0">
      <alignment horizontal="left" vertical="center"/>
    </xf>
    <xf numFmtId="0" fontId="15" fillId="5" borderId="1" applyAlignment="1" pivotButton="0" quotePrefix="0" xfId="0">
      <alignment horizontal="center" vertical="center"/>
    </xf>
    <xf numFmtId="0" fontId="16" fillId="8" borderId="3" applyAlignment="1" pivotButton="0" quotePrefix="0" xfId="0">
      <alignment horizontal="left" vertical="center"/>
    </xf>
    <xf numFmtId="0" fontId="16" fillId="8" borderId="3" applyAlignment="1" pivotButton="0" quotePrefix="0" xfId="0">
      <alignment horizontal="center" vertical="center"/>
    </xf>
    <xf numFmtId="0" fontId="1" fillId="2" borderId="2" applyAlignment="1" pivotButton="0" quotePrefix="0" xfId="0">
      <alignment horizontal="left" vertical="center"/>
    </xf>
    <xf numFmtId="0" fontId="1" fillId="2" borderId="2" applyAlignment="1" pivotButton="0" quotePrefix="0" xfId="0">
      <alignment horizontal="center" vertical="center"/>
    </xf>
    <xf numFmtId="0" fontId="3" fillId="10" borderId="1" applyAlignment="1" pivotButton="0" quotePrefix="0" xfId="0">
      <alignment horizontal="center" vertical="center"/>
    </xf>
    <xf numFmtId="0" fontId="3" fillId="5" borderId="1" applyAlignment="1" pivotButton="0" quotePrefix="0" xfId="0">
      <alignment horizontal="center"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7" borderId="1" applyAlignment="1" pivotButton="0" quotePrefix="0" xfId="0">
      <alignment horizontal="center" vertical="top" wrapText="1"/>
    </xf>
    <xf numFmtId="0" fontId="17" fillId="0" borderId="0" pivotButton="0" quotePrefix="0" xfId="0"/>
    <xf numFmtId="0" fontId="18" fillId="0" borderId="0" pivotButton="0" quotePrefix="0" xfId="0"/>
    <xf numFmtId="0" fontId="19" fillId="0" borderId="0" applyAlignment="1" pivotButton="0" quotePrefix="0" xfId="0">
      <alignment horizontal="center" vertical="center"/>
    </xf>
    <xf numFmtId="0" fontId="20" fillId="7" borderId="1" applyAlignment="1" pivotButton="0" quotePrefix="0" xfId="0">
      <alignment horizontal="center" vertical="center"/>
    </xf>
    <xf numFmtId="0" fontId="2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7" fillId="5" borderId="1" applyAlignment="1" pivotButton="0" quotePrefix="0" xfId="0">
      <alignment horizontal="center" vertical="center"/>
    </xf>
    <xf numFmtId="0" fontId="2" fillId="5"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Module (Grouped by Priority)</a:t>
            </a:r>
          </a:p>
        </rich>
      </tx>
    </title>
    <plotArea>
      <barChart>
        <barDir val="col"/>
        <grouping val="clustered"/>
        <ser>
          <idx val="0"/>
          <order val="0"/>
          <tx>
            <strRef>
              <f>'Report'!B8</f>
            </strRef>
          </tx>
          <spPr>
            <a:solidFill xmlns:a="http://schemas.openxmlformats.org/drawingml/2006/main">
              <a:srgbClr val="FF0000"/>
            </a:solidFill>
            <a:ln xmlns:a="http://schemas.openxmlformats.org/drawingml/2006/main">
              <a:prstDash val="solid"/>
            </a:ln>
          </spPr>
          <cat>
            <numRef>
              <f>'Report'!$A$9:$A$17</f>
            </numRef>
          </cat>
          <val>
            <numRef>
              <f>'Report'!$B$9:$B$17</f>
            </numRef>
          </val>
        </ser>
        <ser>
          <idx val="1"/>
          <order val="1"/>
          <tx>
            <strRef>
              <f>'Report'!C8</f>
            </strRef>
          </tx>
          <spPr>
            <a:solidFill xmlns:a="http://schemas.openxmlformats.org/drawingml/2006/main">
              <a:srgbClr val="FFFF00"/>
            </a:solidFill>
            <a:ln xmlns:a="http://schemas.openxmlformats.org/drawingml/2006/main">
              <a:prstDash val="solid"/>
            </a:ln>
          </spPr>
          <cat>
            <numRef>
              <f>'Report'!$A$9:$A$17</f>
            </numRef>
          </cat>
          <val>
            <numRef>
              <f>'Report'!$C$9:$C$17</f>
            </numRef>
          </val>
        </ser>
        <ser>
          <idx val="2"/>
          <order val="2"/>
          <tx>
            <strRef>
              <f>'Report'!D8</f>
            </strRef>
          </tx>
          <spPr>
            <a:solidFill xmlns:a="http://schemas.openxmlformats.org/drawingml/2006/main">
              <a:srgbClr val="00FF00"/>
            </a:solidFill>
            <a:ln xmlns:a="http://schemas.openxmlformats.org/drawingml/2006/main">
              <a:prstDash val="solid"/>
            </a:ln>
          </spPr>
          <cat>
            <numRef>
              <f>'Report'!$A$9:$A$17</f>
            </numRef>
          </cat>
          <val>
            <numRef>
              <f>'Report'!$D$9:$D$17</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Module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1" t="inlineStr">
        <is>
          <t>Academic Portal - Test Coverage &amp; Feature Report</t>
        </is>
      </c>
    </row>
    <row r="2">
      <c r="A2" s="32" t="inlineStr">
        <is>
          <t>Summary of test cases per module, calculated via Excel formulas</t>
        </is>
      </c>
    </row>
    <row r="4" ht="18" customHeight="1">
      <c r="A4" s="33" t="inlineStr">
        <is>
          <t>Total Modules</t>
        </is>
      </c>
      <c r="B4" s="33" t="inlineStr">
        <is>
          <t>Total Test Cases</t>
        </is>
      </c>
      <c r="C4" s="33" t="inlineStr">
        <is>
          <t>High Priority TCs</t>
        </is>
      </c>
      <c r="D4" s="33" t="inlineStr">
        <is>
          <t>Medium Priority TCs</t>
        </is>
      </c>
      <c r="E4" s="33" t="inlineStr">
        <is>
          <t>Low Priority TCs</t>
        </is>
      </c>
    </row>
    <row r="5" ht="32" customHeight="1">
      <c r="A5" s="3">
        <f>COUNTA(A9:A17)</f>
        <v/>
      </c>
      <c r="B5" s="4">
        <f>E18</f>
        <v/>
      </c>
      <c r="C5" s="5">
        <f>B18</f>
        <v/>
      </c>
      <c r="D5" s="6">
        <f>C18</f>
        <v/>
      </c>
      <c r="E5" s="34">
        <f>D18</f>
        <v/>
      </c>
    </row>
    <row r="7">
      <c r="A7" s="35" t="inlineStr">
        <is>
          <t>Module Test Case Breakdown by Priority</t>
        </is>
      </c>
    </row>
    <row r="8" ht="26" customHeight="1">
      <c r="A8" s="36" t="inlineStr">
        <is>
          <t>Module Name</t>
        </is>
      </c>
      <c r="B8" s="37" t="inlineStr">
        <is>
          <t>High Priority</t>
        </is>
      </c>
      <c r="C8" s="37" t="inlineStr">
        <is>
          <t>Medium Priority</t>
        </is>
      </c>
      <c r="D8" s="37" t="inlineStr">
        <is>
          <t>Low Priority</t>
        </is>
      </c>
      <c r="E8" s="37" t="inlineStr">
        <is>
          <t>Total TCs</t>
        </is>
      </c>
    </row>
    <row r="9" ht="22" customHeight="1">
      <c r="A9" s="38" t="inlineStr">
        <is>
          <t>Module 01</t>
        </is>
      </c>
      <c r="B9" s="39">
        <f>COUNTIF('Module 01'!$M$2:$M$500, "High")</f>
        <v/>
      </c>
      <c r="C9" s="40">
        <f>COUNTIF('Module 01'!$M$2:$M$500, "Medium")</f>
        <v/>
      </c>
      <c r="D9" s="41">
        <f>COUNTIF('Module 01'!$M$2:$M$500, "Low")</f>
        <v/>
      </c>
      <c r="E9" s="42">
        <f>SUM(B9:D9)</f>
        <v/>
      </c>
    </row>
    <row r="10" ht="22" customHeight="1">
      <c r="A10" s="43" t="inlineStr">
        <is>
          <t>Module 02</t>
        </is>
      </c>
      <c r="B10" s="44">
        <f>COUNTIF('Module 02'!$M$2:$M$500, "High")</f>
        <v/>
      </c>
      <c r="C10" s="45">
        <f>COUNTIF('Module 02'!$M$2:$M$500, "Medium")</f>
        <v/>
      </c>
      <c r="D10" s="46">
        <f>COUNTIF('Module 02'!$M$2:$M$500, "Low")</f>
        <v/>
      </c>
      <c r="E10" s="47">
        <f>SUM(B10:D10)</f>
        <v/>
      </c>
    </row>
    <row r="11" ht="22" customHeight="1">
      <c r="A11" s="38" t="inlineStr">
        <is>
          <t>Module 03</t>
        </is>
      </c>
      <c r="B11" s="39">
        <f>COUNTIF('Module 03'!$M$2:$M$500, "High")</f>
        <v/>
      </c>
      <c r="C11" s="40">
        <f>COUNTIF('Module 03'!$M$2:$M$500, "Medium")</f>
        <v/>
      </c>
      <c r="D11" s="41">
        <f>COUNTIF('Module 03'!$M$2:$M$500, "Low")</f>
        <v/>
      </c>
      <c r="E11" s="42">
        <f>SUM(B11:D11)</f>
        <v/>
      </c>
    </row>
    <row r="12" ht="22" customHeight="1">
      <c r="A12" s="43" t="inlineStr">
        <is>
          <t>Module 04</t>
        </is>
      </c>
      <c r="B12" s="44">
        <f>COUNTIF('Module 04'!$M$2:$M$500, "High")</f>
        <v/>
      </c>
      <c r="C12" s="45">
        <f>COUNTIF('Module 04'!$M$2:$M$500, "Medium")</f>
        <v/>
      </c>
      <c r="D12" s="46">
        <f>COUNTIF('Module 04'!$M$2:$M$500, "Low")</f>
        <v/>
      </c>
      <c r="E12" s="47">
        <f>SUM(B12:D12)</f>
        <v/>
      </c>
    </row>
    <row r="13" ht="22" customHeight="1">
      <c r="A13" s="38" t="inlineStr">
        <is>
          <t>Module 05</t>
        </is>
      </c>
      <c r="B13" s="39">
        <f>COUNTIF('Module 05'!$M$2:$M$500, "High")</f>
        <v/>
      </c>
      <c r="C13" s="40">
        <f>COUNTIF('Module 05'!$M$2:$M$500, "Medium")</f>
        <v/>
      </c>
      <c r="D13" s="41">
        <f>COUNTIF('Module 05'!$M$2:$M$500, "Low")</f>
        <v/>
      </c>
      <c r="E13" s="42">
        <f>SUM(B13:D13)</f>
        <v/>
      </c>
    </row>
    <row r="14" ht="22" customHeight="1">
      <c r="A14" s="43" t="inlineStr">
        <is>
          <t>Module 06</t>
        </is>
      </c>
      <c r="B14" s="44">
        <f>COUNTIF('Module 06'!$M$2:$M$500, "High")</f>
        <v/>
      </c>
      <c r="C14" s="45">
        <f>COUNTIF('Module 06'!$M$2:$M$500, "Medium")</f>
        <v/>
      </c>
      <c r="D14" s="46">
        <f>COUNTIF('Module 06'!$M$2:$M$500, "Low")</f>
        <v/>
      </c>
      <c r="E14" s="47">
        <f>SUM(B14:D14)</f>
        <v/>
      </c>
    </row>
    <row r="15" ht="22" customHeight="1">
      <c r="A15" s="38" t="inlineStr">
        <is>
          <t>Module 07</t>
        </is>
      </c>
      <c r="B15" s="39">
        <f>COUNTIF('Module 07'!$M$2:$M$500, "High")</f>
        <v/>
      </c>
      <c r="C15" s="40">
        <f>COUNTIF('Module 07'!$M$2:$M$500, "Medium")</f>
        <v/>
      </c>
      <c r="D15" s="41">
        <f>COUNTIF('Module 07'!$M$2:$M$500, "Low")</f>
        <v/>
      </c>
      <c r="E15" s="42">
        <f>SUM(B15:D15)</f>
        <v/>
      </c>
    </row>
    <row r="16" ht="22" customHeight="1">
      <c r="A16" s="43" t="inlineStr">
        <is>
          <t>Module 08</t>
        </is>
      </c>
      <c r="B16" s="44">
        <f>COUNTIF('Module 08'!$M$2:$M$500, "High")</f>
        <v/>
      </c>
      <c r="C16" s="45">
        <f>COUNTIF('Module 08'!$M$2:$M$500, "Medium")</f>
        <v/>
      </c>
      <c r="D16" s="46">
        <f>COUNTIF('Module 08'!$M$2:$M$500, "Low")</f>
        <v/>
      </c>
      <c r="E16" s="47">
        <f>SUM(B16:D16)</f>
        <v/>
      </c>
    </row>
    <row r="17" ht="22" customHeight="1">
      <c r="A17" s="38" t="inlineStr">
        <is>
          <t>Module 09</t>
        </is>
      </c>
      <c r="B17" s="39">
        <f>COUNTIF('Module 09'!$M$2:$M$500, "High")</f>
        <v/>
      </c>
      <c r="C17" s="40">
        <f>COUNTIF('Module 09'!$M$2:$M$500, "Medium")</f>
        <v/>
      </c>
      <c r="D17" s="41">
        <f>COUNTIF('Module 09'!$M$2:$M$500, "Low")</f>
        <v/>
      </c>
      <c r="E17" s="42">
        <f>SUM(B17:D17)</f>
        <v/>
      </c>
    </row>
    <row r="18" ht="24" customHeight="1">
      <c r="A18" s="14" t="inlineStr">
        <is>
          <t>Total</t>
        </is>
      </c>
      <c r="B18" s="15">
        <f>SUM(B9:B17)</f>
        <v/>
      </c>
      <c r="C18" s="15">
        <f>SUM(C9:C17)</f>
        <v/>
      </c>
      <c r="D18" s="15">
        <f>SUM(D9:D17)</f>
        <v/>
      </c>
      <c r="E18" s="15">
        <f>SUM(E9:E17)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00"/>
  <sheetViews>
    <sheetView showGridLines="1" workbookViewId="0">
      <selection activeCell="A1" sqref="A1"/>
    </sheetView>
  </sheetViews>
  <sheetFormatPr baseColWidth="8" defaultRowHeight="15"/>
  <cols>
    <col width="24" customWidth="1" min="1" max="1"/>
    <col width="16" customWidth="1" min="2" max="2"/>
    <col width="36" customWidth="1" min="3" max="3"/>
    <col width="16" customWidth="1" min="4" max="4"/>
    <col width="16" customWidth="1" min="5" max="5"/>
    <col width="18" customWidth="1" min="6" max="6"/>
    <col width="16" customWidth="1" min="7" max="7"/>
  </cols>
  <sheetData>
    <row r="1" ht="40" customHeight="1">
      <c r="A1" s="1" t="inlineStr">
        <is>
          <t>Academic Portal - Comprehensive Test Suite &amp; Feature Breakdown</t>
        </is>
      </c>
    </row>
    <row r="3" ht="20" customHeight="1">
      <c r="A3" s="2" t="inlineStr">
        <is>
          <t>Total Modules</t>
        </is>
      </c>
      <c r="B3" s="2" t="inlineStr">
        <is>
          <t>Total Features</t>
        </is>
      </c>
      <c r="C3" s="2" t="inlineStr">
        <is>
          <t>Total Test Cases</t>
        </is>
      </c>
      <c r="D3" s="2" t="inlineStr">
        <is>
          <t>High Priority</t>
        </is>
      </c>
      <c r="E3" s="2" t="inlineStr">
        <is>
          <t>Medium Priority</t>
        </is>
      </c>
    </row>
    <row r="4" ht="35" customHeight="1">
      <c r="A4" s="3" t="n">
        <v>9</v>
      </c>
      <c r="B4" s="4" t="n">
        <v>79</v>
      </c>
      <c r="C4" s="4" t="n">
        <v>257</v>
      </c>
      <c r="D4" s="5" t="n">
        <v>206</v>
      </c>
      <c r="E4" s="6" t="n">
        <v>49</v>
      </c>
    </row>
    <row r="6">
      <c r="A6" s="7" t="inlineStr">
        <is>
          <t>1. Module Summary Overview</t>
        </is>
      </c>
    </row>
    <row r="7" ht="26" customHeight="1">
      <c r="A7" s="8" t="inlineStr">
        <is>
          <t>Module Name</t>
        </is>
      </c>
      <c r="B7" s="9" t="inlineStr">
        <is>
          <t>Total Test Cases</t>
        </is>
      </c>
      <c r="C7" s="9" t="inlineStr">
        <is>
          <t>High Priority</t>
        </is>
      </c>
      <c r="D7" s="9" t="inlineStr">
        <is>
          <t>Medium Priority</t>
        </is>
      </c>
      <c r="E7" s="9" t="inlineStr">
        <is>
          <t>Low Priority</t>
        </is>
      </c>
    </row>
    <row r="8" ht="22" customHeight="1">
      <c r="A8" s="10" t="inlineStr">
        <is>
          <t>Module 01</t>
        </is>
      </c>
      <c r="B8" s="11" t="n">
        <v>39</v>
      </c>
      <c r="C8" s="11" t="n">
        <v>32</v>
      </c>
      <c r="D8" s="11" t="n">
        <v>7</v>
      </c>
      <c r="E8" s="11" t="n">
        <v>0</v>
      </c>
    </row>
    <row r="9" ht="22" customHeight="1">
      <c r="A9" s="12" t="inlineStr">
        <is>
          <t>Module 02</t>
        </is>
      </c>
      <c r="B9" s="13" t="n">
        <v>31</v>
      </c>
      <c r="C9" s="13" t="n">
        <v>22</v>
      </c>
      <c r="D9" s="13" t="n">
        <v>9</v>
      </c>
      <c r="E9" s="13" t="n">
        <v>0</v>
      </c>
    </row>
    <row r="10" ht="22" customHeight="1">
      <c r="A10" s="10" t="inlineStr">
        <is>
          <t>Module 03</t>
        </is>
      </c>
      <c r="B10" s="11" t="n">
        <v>22</v>
      </c>
      <c r="C10" s="11" t="n">
        <v>19</v>
      </c>
      <c r="D10" s="11" t="n">
        <v>2</v>
      </c>
      <c r="E10" s="11" t="n">
        <v>0</v>
      </c>
    </row>
    <row r="11" ht="22" customHeight="1">
      <c r="A11" s="12" t="inlineStr">
        <is>
          <t>Module 04</t>
        </is>
      </c>
      <c r="B11" s="13" t="n">
        <v>23</v>
      </c>
      <c r="C11" s="13" t="n">
        <v>17</v>
      </c>
      <c r="D11" s="13" t="n">
        <v>6</v>
      </c>
      <c r="E11" s="13" t="n">
        <v>0</v>
      </c>
    </row>
    <row r="12" ht="22" customHeight="1">
      <c r="A12" s="10" t="inlineStr">
        <is>
          <t>Module 05</t>
        </is>
      </c>
      <c r="B12" s="11" t="n">
        <v>27</v>
      </c>
      <c r="C12" s="11" t="n">
        <v>25</v>
      </c>
      <c r="D12" s="11" t="n">
        <v>2</v>
      </c>
      <c r="E12" s="11" t="n">
        <v>0</v>
      </c>
    </row>
    <row r="13" ht="22" customHeight="1">
      <c r="A13" s="12" t="inlineStr">
        <is>
          <t>Module 06</t>
        </is>
      </c>
      <c r="B13" s="13" t="n">
        <v>31</v>
      </c>
      <c r="C13" s="13" t="n">
        <v>29</v>
      </c>
      <c r="D13" s="13" t="n">
        <v>2</v>
      </c>
      <c r="E13" s="13" t="n">
        <v>0</v>
      </c>
    </row>
    <row r="14" ht="22" customHeight="1">
      <c r="A14" s="10" t="inlineStr">
        <is>
          <t>Module 07</t>
        </is>
      </c>
      <c r="B14" s="11" t="n">
        <v>41</v>
      </c>
      <c r="C14" s="11" t="n">
        <v>34</v>
      </c>
      <c r="D14" s="11" t="n">
        <v>7</v>
      </c>
      <c r="E14" s="11" t="n">
        <v>0</v>
      </c>
    </row>
    <row r="15" ht="22" customHeight="1">
      <c r="A15" s="12" t="inlineStr">
        <is>
          <t>Module 08</t>
        </is>
      </c>
      <c r="B15" s="13" t="n">
        <v>20</v>
      </c>
      <c r="C15" s="13" t="n">
        <v>14</v>
      </c>
      <c r="D15" s="13" t="n">
        <v>5</v>
      </c>
      <c r="E15" s="13" t="n">
        <v>1</v>
      </c>
    </row>
    <row r="16" ht="22" customHeight="1">
      <c r="A16" s="10" t="inlineStr">
        <is>
          <t>Module 09</t>
        </is>
      </c>
      <c r="B16" s="11" t="n">
        <v>23</v>
      </c>
      <c r="C16" s="11" t="n">
        <v>14</v>
      </c>
      <c r="D16" s="11" t="n">
        <v>9</v>
      </c>
      <c r="E16" s="11" t="n">
        <v>0</v>
      </c>
    </row>
    <row r="17" ht="24" customHeight="1">
      <c r="A17" s="14" t="inlineStr">
        <is>
          <t>Total</t>
        </is>
      </c>
      <c r="B17" s="15" t="n">
        <v>257</v>
      </c>
      <c r="C17" s="15" t="n">
        <v>206</v>
      </c>
      <c r="D17" s="15" t="n">
        <v>49</v>
      </c>
      <c r="E17" s="15" t="n">
        <v>1</v>
      </c>
    </row>
    <row r="20">
      <c r="A20" s="7" t="inlineStr">
        <is>
          <t>2. Feature Categorization Breakdown</t>
        </is>
      </c>
    </row>
    <row r="21" ht="26" customHeight="1">
      <c r="A21" s="16" t="inlineStr">
        <is>
          <t>Module</t>
        </is>
      </c>
      <c r="B21" s="17" t="inlineStr">
        <is>
          <t>Feature ID</t>
        </is>
      </c>
      <c r="C21" s="16" t="inlineStr">
        <is>
          <t>Feature Name</t>
        </is>
      </c>
      <c r="D21" s="17" t="inlineStr">
        <is>
          <t>Test Cases</t>
        </is>
      </c>
      <c r="E21" s="17" t="inlineStr">
        <is>
          <t>High Priority</t>
        </is>
      </c>
      <c r="F21" s="17" t="inlineStr">
        <is>
          <t>Medium Priority</t>
        </is>
      </c>
      <c r="G21" s="17" t="inlineStr">
        <is>
          <t>Low Priority</t>
        </is>
      </c>
    </row>
    <row r="22" ht="22" customHeight="1">
      <c r="A22" s="10" t="inlineStr">
        <is>
          <t>Module 01</t>
        </is>
      </c>
      <c r="B22" s="18" t="inlineStr">
        <is>
          <t>M01-F01</t>
        </is>
      </c>
      <c r="C22" s="10" t="inlineStr">
        <is>
          <t>Batch Creation</t>
        </is>
      </c>
      <c r="D22" s="11" t="n">
        <v>7</v>
      </c>
      <c r="E22" s="11" t="n">
        <v>7</v>
      </c>
      <c r="F22" s="11" t="n">
        <v>0</v>
      </c>
      <c r="G22" s="11" t="n">
        <v>0</v>
      </c>
    </row>
    <row r="23" ht="22" customHeight="1">
      <c r="A23" s="12" t="inlineStr">
        <is>
          <t>Module 01</t>
        </is>
      </c>
      <c r="B23" s="19" t="inlineStr">
        <is>
          <t>M01-F02</t>
        </is>
      </c>
      <c r="C23" s="12" t="inlineStr">
        <is>
          <t>Batch Editing</t>
        </is>
      </c>
      <c r="D23" s="13" t="n">
        <v>3</v>
      </c>
      <c r="E23" s="13" t="n">
        <v>3</v>
      </c>
      <c r="F23" s="13" t="n">
        <v>0</v>
      </c>
      <c r="G23" s="13" t="n">
        <v>0</v>
      </c>
    </row>
    <row r="24" ht="22" customHeight="1">
      <c r="A24" s="10" t="inlineStr">
        <is>
          <t>Module 01</t>
        </is>
      </c>
      <c r="B24" s="18" t="inlineStr">
        <is>
          <t>M01-F03</t>
        </is>
      </c>
      <c r="C24" s="10" t="inlineStr">
        <is>
          <t>Batch Archiving</t>
        </is>
      </c>
      <c r="D24" s="11" t="n">
        <v>3</v>
      </c>
      <c r="E24" s="11" t="n">
        <v>2</v>
      </c>
      <c r="F24" s="11" t="n">
        <v>1</v>
      </c>
      <c r="G24" s="11" t="n">
        <v>0</v>
      </c>
    </row>
    <row r="25" ht="22" customHeight="1">
      <c r="A25" s="12" t="inlineStr">
        <is>
          <t>Module 01</t>
        </is>
      </c>
      <c r="B25" s="19" t="inlineStr">
        <is>
          <t>M01-F04</t>
        </is>
      </c>
      <c r="C25" s="12" t="inlineStr">
        <is>
          <t>Single Student Creation</t>
        </is>
      </c>
      <c r="D25" s="13" t="n">
        <v>5</v>
      </c>
      <c r="E25" s="13" t="n">
        <v>5</v>
      </c>
      <c r="F25" s="13" t="n">
        <v>0</v>
      </c>
      <c r="G25" s="13" t="n">
        <v>0</v>
      </c>
    </row>
    <row r="26" ht="22" customHeight="1">
      <c r="A26" s="10" t="inlineStr">
        <is>
          <t>Module 01</t>
        </is>
      </c>
      <c r="B26" s="18" t="inlineStr">
        <is>
          <t>M01-F05</t>
        </is>
      </c>
      <c r="C26" s="10" t="inlineStr">
        <is>
          <t>Bulk Student Import</t>
        </is>
      </c>
      <c r="D26" s="11" t="n">
        <v>6</v>
      </c>
      <c r="E26" s="11" t="n">
        <v>6</v>
      </c>
      <c r="F26" s="11" t="n">
        <v>0</v>
      </c>
      <c r="G26" s="11" t="n">
        <v>0</v>
      </c>
    </row>
    <row r="27" ht="22" customHeight="1">
      <c r="A27" s="12" t="inlineStr">
        <is>
          <t>Module 01</t>
        </is>
      </c>
      <c r="B27" s="19" t="inlineStr">
        <is>
          <t>M01-F06</t>
        </is>
      </c>
      <c r="C27" s="12" t="inlineStr">
        <is>
          <t>Student Editing</t>
        </is>
      </c>
      <c r="D27" s="13" t="n">
        <v>3</v>
      </c>
      <c r="E27" s="13" t="n">
        <v>3</v>
      </c>
      <c r="F27" s="13" t="n">
        <v>0</v>
      </c>
      <c r="G27" s="13" t="n">
        <v>0</v>
      </c>
    </row>
    <row r="28" ht="22" customHeight="1">
      <c r="A28" s="10" t="inlineStr">
        <is>
          <t>Module 01</t>
        </is>
      </c>
      <c r="B28" s="18" t="inlineStr">
        <is>
          <t>M01-F07</t>
        </is>
      </c>
      <c r="C28" s="10" t="inlineStr">
        <is>
          <t>Follow-up Flag</t>
        </is>
      </c>
      <c r="D28" s="11" t="n">
        <v>1</v>
      </c>
      <c r="E28" s="11" t="n">
        <v>1</v>
      </c>
      <c r="F28" s="11" t="n">
        <v>0</v>
      </c>
      <c r="G28" s="11" t="n">
        <v>0</v>
      </c>
    </row>
    <row r="29" ht="22" customHeight="1">
      <c r="A29" s="12" t="inlineStr">
        <is>
          <t>Module 01</t>
        </is>
      </c>
      <c r="B29" s="19" t="inlineStr">
        <is>
          <t>M01-F08</t>
        </is>
      </c>
      <c r="C29" s="12" t="inlineStr">
        <is>
          <t>Student Status Management</t>
        </is>
      </c>
      <c r="D29" s="13" t="n">
        <v>2</v>
      </c>
      <c r="E29" s="13" t="n">
        <v>2</v>
      </c>
      <c r="F29" s="13" t="n">
        <v>0</v>
      </c>
      <c r="G29" s="13" t="n">
        <v>0</v>
      </c>
    </row>
    <row r="30" ht="22" customHeight="1">
      <c r="A30" s="10" t="inlineStr">
        <is>
          <t>Module 01</t>
        </is>
      </c>
      <c r="B30" s="18" t="inlineStr">
        <is>
          <t>M01-F09</t>
        </is>
      </c>
      <c r="C30" s="10" t="inlineStr">
        <is>
          <t>Search &amp; Filter</t>
        </is>
      </c>
      <c r="D30" s="11" t="n">
        <v>4</v>
      </c>
      <c r="E30" s="11" t="n">
        <v>0</v>
      </c>
      <c r="F30" s="11" t="n">
        <v>4</v>
      </c>
      <c r="G30" s="11" t="n">
        <v>0</v>
      </c>
    </row>
    <row r="31" ht="22" customHeight="1">
      <c r="A31" s="12" t="inlineStr">
        <is>
          <t>Module 01</t>
        </is>
      </c>
      <c r="B31" s="19" t="inlineStr">
        <is>
          <t>M01-F10</t>
        </is>
      </c>
      <c r="C31" s="12" t="inlineStr">
        <is>
          <t>Dashboard Overview</t>
        </is>
      </c>
      <c r="D31" s="13" t="n">
        <v>2</v>
      </c>
      <c r="E31" s="13" t="n">
        <v>0</v>
      </c>
      <c r="F31" s="13" t="n">
        <v>2</v>
      </c>
      <c r="G31" s="13" t="n">
        <v>0</v>
      </c>
    </row>
    <row r="32" ht="22" customHeight="1">
      <c r="A32" s="10" t="inlineStr">
        <is>
          <t>Module 01</t>
        </is>
      </c>
      <c r="B32" s="18" t="inlineStr">
        <is>
          <t>M01-SEC</t>
        </is>
      </c>
      <c r="C32" s="10" t="inlineStr">
        <is>
          <t>Access Control &amp; Security</t>
        </is>
      </c>
      <c r="D32" s="11" t="n">
        <v>3</v>
      </c>
      <c r="E32" s="11" t="n">
        <v>3</v>
      </c>
      <c r="F32" s="11" t="n">
        <v>0</v>
      </c>
      <c r="G32" s="11" t="n">
        <v>0</v>
      </c>
    </row>
    <row r="33" ht="22" customHeight="1">
      <c r="A33" s="12" t="inlineStr">
        <is>
          <t>Module 02</t>
        </is>
      </c>
      <c r="B33" s="19" t="inlineStr">
        <is>
          <t>M02-F01</t>
        </is>
      </c>
      <c r="C33" s="12" t="inlineStr">
        <is>
          <t>Single Observation Entry</t>
        </is>
      </c>
      <c r="D33" s="13" t="n">
        <v>5</v>
      </c>
      <c r="E33" s="13" t="n">
        <v>5</v>
      </c>
      <c r="F33" s="13" t="n">
        <v>0</v>
      </c>
      <c r="G33" s="13" t="n">
        <v>0</v>
      </c>
    </row>
    <row r="34" ht="22" customHeight="1">
      <c r="A34" s="10" t="inlineStr">
        <is>
          <t>Module 02</t>
        </is>
      </c>
      <c r="B34" s="18" t="inlineStr">
        <is>
          <t>M02-F02</t>
        </is>
      </c>
      <c r="C34" s="10" t="inlineStr">
        <is>
          <t>Auto Rating Suggestion</t>
        </is>
      </c>
      <c r="D34" s="11" t="n">
        <v>4</v>
      </c>
      <c r="E34" s="11" t="n">
        <v>2</v>
      </c>
      <c r="F34" s="11" t="n">
        <v>2</v>
      </c>
      <c r="G34" s="11" t="n">
        <v>0</v>
      </c>
    </row>
    <row r="35" ht="22" customHeight="1">
      <c r="A35" s="12" t="inlineStr">
        <is>
          <t>Module 02</t>
        </is>
      </c>
      <c r="B35" s="19" t="inlineStr">
        <is>
          <t>M02-F03</t>
        </is>
      </c>
      <c r="C35" s="12" t="inlineStr">
        <is>
          <t>Batch Entry – All Subjects</t>
        </is>
      </c>
      <c r="D35" s="13" t="n">
        <v>2</v>
      </c>
      <c r="E35" s="13" t="n">
        <v>2</v>
      </c>
      <c r="F35" s="13" t="n">
        <v>0</v>
      </c>
      <c r="G35" s="13" t="n">
        <v>0</v>
      </c>
    </row>
    <row r="36" ht="22" customHeight="1">
      <c r="A36" s="10" t="inlineStr">
        <is>
          <t>Module 02</t>
        </is>
      </c>
      <c r="B36" s="18" t="inlineStr">
        <is>
          <t>M02-F04</t>
        </is>
      </c>
      <c r="C36" s="10" t="inlineStr">
        <is>
          <t>Batch Entry – By Subject</t>
        </is>
      </c>
      <c r="D36" s="11" t="n">
        <v>2</v>
      </c>
      <c r="E36" s="11" t="n">
        <v>2</v>
      </c>
      <c r="F36" s="11" t="n">
        <v>0</v>
      </c>
      <c r="G36" s="11" t="n">
        <v>0</v>
      </c>
    </row>
    <row r="37" ht="22" customHeight="1">
      <c r="A37" s="12" t="inlineStr">
        <is>
          <t>Module 02</t>
        </is>
      </c>
      <c r="B37" s="19" t="inlineStr">
        <is>
          <t>M02-F05</t>
        </is>
      </c>
      <c r="C37" s="12" t="inlineStr">
        <is>
          <t>Observation Editing</t>
        </is>
      </c>
      <c r="D37" s="13" t="n">
        <v>2</v>
      </c>
      <c r="E37" s="13" t="n">
        <v>2</v>
      </c>
      <c r="F37" s="13" t="n">
        <v>0</v>
      </c>
      <c r="G37" s="13" t="n">
        <v>0</v>
      </c>
    </row>
    <row r="38" ht="22" customHeight="1">
      <c r="A38" s="10" t="inlineStr">
        <is>
          <t>Module 02</t>
        </is>
      </c>
      <c r="B38" s="18" t="inlineStr">
        <is>
          <t>M02-F06</t>
        </is>
      </c>
      <c r="C38" s="10" t="inlineStr">
        <is>
          <t>Duplicate Detection &amp; Merge</t>
        </is>
      </c>
      <c r="D38" s="11" t="n">
        <v>2</v>
      </c>
      <c r="E38" s="11" t="n">
        <v>2</v>
      </c>
      <c r="F38" s="11" t="n">
        <v>0</v>
      </c>
      <c r="G38" s="11" t="n">
        <v>0</v>
      </c>
    </row>
    <row r="39" ht="22" customHeight="1">
      <c r="A39" s="12" t="inlineStr">
        <is>
          <t>Module 02</t>
        </is>
      </c>
      <c r="B39" s="19" t="inlineStr">
        <is>
          <t>M02-F07</t>
        </is>
      </c>
      <c r="C39" s="12" t="inlineStr">
        <is>
          <t>Session Management</t>
        </is>
      </c>
      <c r="D39" s="13" t="n">
        <v>4</v>
      </c>
      <c r="E39" s="13" t="n">
        <v>3</v>
      </c>
      <c r="F39" s="13" t="n">
        <v>1</v>
      </c>
      <c r="G39" s="13" t="n">
        <v>0</v>
      </c>
    </row>
    <row r="40" ht="22" customHeight="1">
      <c r="A40" s="10" t="inlineStr">
        <is>
          <t>Module 02</t>
        </is>
      </c>
      <c r="B40" s="18" t="inlineStr">
        <is>
          <t>M02-F08</t>
        </is>
      </c>
      <c r="C40" s="10" t="inlineStr">
        <is>
          <t>Session Progress</t>
        </is>
      </c>
      <c r="D40" s="11" t="n">
        <v>1</v>
      </c>
      <c r="E40" s="11" t="n">
        <v>0</v>
      </c>
      <c r="F40" s="11" t="n">
        <v>1</v>
      </c>
      <c r="G40" s="11" t="n">
        <v>0</v>
      </c>
    </row>
    <row r="41" ht="22" customHeight="1">
      <c r="A41" s="12" t="inlineStr">
        <is>
          <t>Module 02</t>
        </is>
      </c>
      <c r="B41" s="19" t="inlineStr">
        <is>
          <t>M02-F09</t>
        </is>
      </c>
      <c r="C41" s="12" t="inlineStr">
        <is>
          <t>Concurrent Edit Handling</t>
        </is>
      </c>
      <c r="D41" s="13" t="n">
        <v>3</v>
      </c>
      <c r="E41" s="13" t="n">
        <v>3</v>
      </c>
      <c r="F41" s="13" t="n">
        <v>0</v>
      </c>
      <c r="G41" s="13" t="n">
        <v>0</v>
      </c>
    </row>
    <row r="42" ht="22" customHeight="1">
      <c r="A42" s="10" t="inlineStr">
        <is>
          <t>Module 02</t>
        </is>
      </c>
      <c r="B42" s="18" t="inlineStr">
        <is>
          <t>M02-F10</t>
        </is>
      </c>
      <c r="C42" s="10" t="inlineStr">
        <is>
          <t>Search, Filter &amp; Sorting</t>
        </is>
      </c>
      <c r="D42" s="11" t="n">
        <v>3</v>
      </c>
      <c r="E42" s="11" t="n">
        <v>0</v>
      </c>
      <c r="F42" s="11" t="n">
        <v>3</v>
      </c>
      <c r="G42" s="11" t="n">
        <v>0</v>
      </c>
    </row>
    <row r="43" ht="22" customHeight="1">
      <c r="A43" s="12" t="inlineStr">
        <is>
          <t>Module 02</t>
        </is>
      </c>
      <c r="B43" s="19" t="inlineStr">
        <is>
          <t>M02-F11</t>
        </is>
      </c>
      <c r="C43" s="12" t="inlineStr">
        <is>
          <t>Dashboard Overview</t>
        </is>
      </c>
      <c r="D43" s="13" t="n">
        <v>2</v>
      </c>
      <c r="E43" s="13" t="n">
        <v>0</v>
      </c>
      <c r="F43" s="13" t="n">
        <v>2</v>
      </c>
      <c r="G43" s="13" t="n">
        <v>0</v>
      </c>
    </row>
    <row r="44" ht="22" customHeight="1">
      <c r="A44" s="10" t="inlineStr">
        <is>
          <t>Module 02</t>
        </is>
      </c>
      <c r="B44" s="18" t="inlineStr">
        <is>
          <t>M02-SEC</t>
        </is>
      </c>
      <c r="C44" s="10" t="inlineStr">
        <is>
          <t>Access Control &amp; Security</t>
        </is>
      </c>
      <c r="D44" s="11" t="n">
        <v>1</v>
      </c>
      <c r="E44" s="11" t="n">
        <v>1</v>
      </c>
      <c r="F44" s="11" t="n">
        <v>0</v>
      </c>
      <c r="G44" s="11" t="n">
        <v>0</v>
      </c>
    </row>
    <row r="45" ht="22" customHeight="1">
      <c r="A45" s="12" t="inlineStr">
        <is>
          <t>Module 03</t>
        </is>
      </c>
      <c r="B45" s="19" t="inlineStr">
        <is>
          <t>M03-F01</t>
        </is>
      </c>
      <c r="C45" s="12" t="inlineStr">
        <is>
          <t>Course / Subject Creation</t>
        </is>
      </c>
      <c r="D45" s="13" t="n">
        <v>3</v>
      </c>
      <c r="E45" s="13" t="n">
        <v>3</v>
      </c>
      <c r="F45" s="13" t="n">
        <v>0</v>
      </c>
      <c r="G45" s="13" t="n">
        <v>0</v>
      </c>
    </row>
    <row r="46" ht="22" customHeight="1">
      <c r="A46" s="10" t="inlineStr">
        <is>
          <t>Module 03</t>
        </is>
      </c>
      <c r="B46" s="18" t="inlineStr">
        <is>
          <t>M03-F02</t>
        </is>
      </c>
      <c r="C46" s="10" t="inlineStr">
        <is>
          <t>Grade Entry Structure</t>
        </is>
      </c>
      <c r="D46" s="11" t="n">
        <v>1</v>
      </c>
      <c r="E46" s="11" t="n">
        <v>1</v>
      </c>
      <c r="F46" s="11" t="n">
        <v>0</v>
      </c>
      <c r="G46" s="11" t="n">
        <v>0</v>
      </c>
    </row>
    <row r="47" ht="22" customHeight="1">
      <c r="A47" s="12" t="inlineStr">
        <is>
          <t>Module 03</t>
        </is>
      </c>
      <c r="B47" s="19" t="inlineStr">
        <is>
          <t>M03-F03</t>
        </is>
      </c>
      <c r="C47" s="12" t="inlineStr">
        <is>
          <t>Automatic TBKT Calculation</t>
        </is>
      </c>
      <c r="D47" s="13" t="n">
        <v>6</v>
      </c>
      <c r="E47" s="13" t="n">
        <v>6</v>
      </c>
      <c r="F47" s="13" t="n">
        <v>0</v>
      </c>
      <c r="G47" s="13" t="n">
        <v>0</v>
      </c>
    </row>
    <row r="48" ht="22" customHeight="1">
      <c r="A48" s="10" t="inlineStr">
        <is>
          <t>Module 03</t>
        </is>
      </c>
      <c r="B48" s="18" t="inlineStr">
        <is>
          <t>M03-F04</t>
        </is>
      </c>
      <c r="C48" s="10" t="inlineStr">
        <is>
          <t>Grade Upload via CSV</t>
        </is>
      </c>
      <c r="D48" s="11" t="n">
        <v>5</v>
      </c>
      <c r="E48" s="11" t="n">
        <v>4</v>
      </c>
      <c r="F48" s="11" t="n">
        <v>0</v>
      </c>
      <c r="G48" s="11" t="n">
        <v>0</v>
      </c>
    </row>
    <row r="49" ht="22" customHeight="1">
      <c r="A49" s="12" t="inlineStr">
        <is>
          <t>Module 03</t>
        </is>
      </c>
      <c r="B49" s="19" t="inlineStr">
        <is>
          <t>M03-F05</t>
        </is>
      </c>
      <c r="C49" s="12" t="inlineStr">
        <is>
          <t>Subject Deletion</t>
        </is>
      </c>
      <c r="D49" s="13" t="n">
        <v>1</v>
      </c>
      <c r="E49" s="13" t="n">
        <v>1</v>
      </c>
      <c r="F49" s="13" t="n">
        <v>0</v>
      </c>
      <c r="G49" s="13" t="n">
        <v>0</v>
      </c>
    </row>
    <row r="50" ht="22" customHeight="1">
      <c r="A50" s="10" t="inlineStr">
        <is>
          <t>Module 03</t>
        </is>
      </c>
      <c r="B50" s="18" t="inlineStr">
        <is>
          <t>M03-F06</t>
        </is>
      </c>
      <c r="C50" s="10" t="inlineStr">
        <is>
          <t>PDF Transcript Export</t>
        </is>
      </c>
      <c r="D50" s="11" t="n">
        <v>4</v>
      </c>
      <c r="E50" s="11" t="n">
        <v>2</v>
      </c>
      <c r="F50" s="11" t="n">
        <v>2</v>
      </c>
      <c r="G50" s="11" t="n">
        <v>0</v>
      </c>
    </row>
    <row r="51" ht="22" customHeight="1">
      <c r="A51" s="12" t="inlineStr">
        <is>
          <t>Module 03</t>
        </is>
      </c>
      <c r="B51" s="19" t="inlineStr">
        <is>
          <t>M03-F07</t>
        </is>
      </c>
      <c r="C51" s="12" t="inlineStr">
        <is>
          <t>Manual GPA &amp; Letter Grade Entry</t>
        </is>
      </c>
      <c r="D51" s="13" t="n">
        <v>1</v>
      </c>
      <c r="E51" s="13" t="n">
        <v>1</v>
      </c>
      <c r="F51" s="13" t="n">
        <v>0</v>
      </c>
      <c r="G51" s="13" t="n">
        <v>0</v>
      </c>
    </row>
    <row r="52" ht="22" customHeight="1">
      <c r="A52" s="10" t="inlineStr">
        <is>
          <t>Module 03</t>
        </is>
      </c>
      <c r="B52" s="18" t="inlineStr">
        <is>
          <t>M03-SEC</t>
        </is>
      </c>
      <c r="C52" s="10" t="inlineStr">
        <is>
          <t>Access Control &amp; Security</t>
        </is>
      </c>
      <c r="D52" s="11" t="n">
        <v>1</v>
      </c>
      <c r="E52" s="11" t="n">
        <v>1</v>
      </c>
      <c r="F52" s="11" t="n">
        <v>0</v>
      </c>
      <c r="G52" s="11" t="n">
        <v>0</v>
      </c>
    </row>
    <row r="53" ht="22" customHeight="1">
      <c r="A53" s="12" t="inlineStr">
        <is>
          <t>Module 04</t>
        </is>
      </c>
      <c r="B53" s="19" t="inlineStr">
        <is>
          <t>M04-F01</t>
        </is>
      </c>
      <c r="C53" s="12" t="inlineStr">
        <is>
          <t>Council Feedback Record</t>
        </is>
      </c>
      <c r="D53" s="13" t="n">
        <v>6</v>
      </c>
      <c r="E53" s="13" t="n">
        <v>4</v>
      </c>
      <c r="F53" s="13" t="n">
        <v>2</v>
      </c>
      <c r="G53" s="13" t="n">
        <v>0</v>
      </c>
    </row>
    <row r="54" ht="22" customHeight="1">
      <c r="A54" s="10" t="inlineStr">
        <is>
          <t>Module 04</t>
        </is>
      </c>
      <c r="B54" s="18" t="inlineStr">
        <is>
          <t>M04-F02</t>
        </is>
      </c>
      <c r="C54" s="10" t="inlineStr">
        <is>
          <t>Academic Warning Flag</t>
        </is>
      </c>
      <c r="D54" s="11" t="n">
        <v>4</v>
      </c>
      <c r="E54" s="11" t="n">
        <v>2</v>
      </c>
      <c r="F54" s="11" t="n">
        <v>2</v>
      </c>
      <c r="G54" s="11" t="n">
        <v>0</v>
      </c>
    </row>
    <row r="55" ht="22" customHeight="1">
      <c r="A55" s="12" t="inlineStr">
        <is>
          <t>Module 04</t>
        </is>
      </c>
      <c r="B55" s="19" t="inlineStr">
        <is>
          <t>M04-F03</t>
        </is>
      </c>
      <c r="C55" s="12" t="inlineStr">
        <is>
          <t>Duplicate Record Prevention</t>
        </is>
      </c>
      <c r="D55" s="13" t="n">
        <v>1</v>
      </c>
      <c r="E55" s="13" t="n">
        <v>1</v>
      </c>
      <c r="F55" s="13" t="n">
        <v>0</v>
      </c>
      <c r="G55" s="13" t="n">
        <v>0</v>
      </c>
    </row>
    <row r="56" ht="22" customHeight="1">
      <c r="A56" s="10" t="inlineStr">
        <is>
          <t>Module 04</t>
        </is>
      </c>
      <c r="B56" s="18" t="inlineStr">
        <is>
          <t>M04-F04</t>
        </is>
      </c>
      <c r="C56" s="10" t="inlineStr">
        <is>
          <t>Auto Draft Saving</t>
        </is>
      </c>
      <c r="D56" s="11" t="n">
        <v>2</v>
      </c>
      <c r="E56" s="11" t="n">
        <v>1</v>
      </c>
      <c r="F56" s="11" t="n">
        <v>1</v>
      </c>
      <c r="G56" s="11" t="n">
        <v>0</v>
      </c>
    </row>
    <row r="57" ht="22" customHeight="1">
      <c r="A57" s="12" t="inlineStr">
        <is>
          <t>Module 04</t>
        </is>
      </c>
      <c r="B57" s="19" t="inlineStr">
        <is>
          <t>M04-F05</t>
        </is>
      </c>
      <c r="C57" s="12" t="inlineStr">
        <is>
          <t>Draft Recovery / Discard</t>
        </is>
      </c>
      <c r="D57" s="13" t="n">
        <v>2</v>
      </c>
      <c r="E57" s="13" t="n">
        <v>2</v>
      </c>
      <c r="F57" s="13" t="n">
        <v>0</v>
      </c>
      <c r="G57" s="13" t="n">
        <v>0</v>
      </c>
    </row>
    <row r="58" ht="22" customHeight="1">
      <c r="A58" s="10" t="inlineStr">
        <is>
          <t>Module 04</t>
        </is>
      </c>
      <c r="B58" s="18" t="inlineStr">
        <is>
          <t>M04-F06</t>
        </is>
      </c>
      <c r="C58" s="10" t="inlineStr">
        <is>
          <t>Batch Feedback Entry</t>
        </is>
      </c>
      <c r="D58" s="11" t="n">
        <v>3</v>
      </c>
      <c r="E58" s="11" t="n">
        <v>2</v>
      </c>
      <c r="F58" s="11" t="n">
        <v>1</v>
      </c>
      <c r="G58" s="11" t="n">
        <v>0</v>
      </c>
    </row>
    <row r="59" ht="22" customHeight="1">
      <c r="A59" s="12" t="inlineStr">
        <is>
          <t>Module 04</t>
        </is>
      </c>
      <c r="B59" s="19" t="inlineStr">
        <is>
          <t>M04-F07</t>
        </is>
      </c>
      <c r="C59" s="12" t="inlineStr">
        <is>
          <t>Concurrent Edit Conflict Handling</t>
        </is>
      </c>
      <c r="D59" s="13" t="n">
        <v>2</v>
      </c>
      <c r="E59" s="13" t="n">
        <v>2</v>
      </c>
      <c r="F59" s="13" t="n">
        <v>0</v>
      </c>
      <c r="G59" s="13" t="n">
        <v>0</v>
      </c>
    </row>
    <row r="60" ht="22" customHeight="1">
      <c r="A60" s="10" t="inlineStr">
        <is>
          <t>Module 04</t>
        </is>
      </c>
      <c r="B60" s="18" t="inlineStr">
        <is>
          <t>M04-F08</t>
        </is>
      </c>
      <c r="C60" s="10" t="inlineStr">
        <is>
          <t>PDF Report Export</t>
        </is>
      </c>
      <c r="D60" s="11" t="n">
        <v>1</v>
      </c>
      <c r="E60" s="11" t="n">
        <v>1</v>
      </c>
      <c r="F60" s="11" t="n">
        <v>0</v>
      </c>
      <c r="G60" s="11" t="n">
        <v>0</v>
      </c>
    </row>
    <row r="61" ht="22" customHeight="1">
      <c r="A61" s="12" t="inlineStr">
        <is>
          <t>Module 04</t>
        </is>
      </c>
      <c r="B61" s="19" t="inlineStr">
        <is>
          <t>M04-SEC</t>
        </is>
      </c>
      <c r="C61" s="12" t="inlineStr">
        <is>
          <t>Access Control &amp; Security</t>
        </is>
      </c>
      <c r="D61" s="13" t="n">
        <v>2</v>
      </c>
      <c r="E61" s="13" t="n">
        <v>2</v>
      </c>
      <c r="F61" s="13" t="n">
        <v>0</v>
      </c>
      <c r="G61" s="13" t="n">
        <v>0</v>
      </c>
    </row>
    <row r="62" ht="22" customHeight="1">
      <c r="A62" s="10" t="inlineStr">
        <is>
          <t>Module 05</t>
        </is>
      </c>
      <c r="B62" s="18" t="inlineStr">
        <is>
          <t>M05-F01</t>
        </is>
      </c>
      <c r="C62" s="10" t="inlineStr">
        <is>
          <t>Internship Group Creation</t>
        </is>
      </c>
      <c r="D62" s="11" t="n">
        <v>7</v>
      </c>
      <c r="E62" s="11" t="n">
        <v>7</v>
      </c>
      <c r="F62" s="11" t="n">
        <v>0</v>
      </c>
      <c r="G62" s="11" t="n">
        <v>0</v>
      </c>
    </row>
    <row r="63" ht="22" customHeight="1">
      <c r="A63" s="12" t="inlineStr">
        <is>
          <t>Module 05</t>
        </is>
      </c>
      <c r="B63" s="19" t="inlineStr">
        <is>
          <t>M05-F02</t>
        </is>
      </c>
      <c r="C63" s="12" t="inlineStr">
        <is>
          <t>Group Archiving / Reactivation</t>
        </is>
      </c>
      <c r="D63" s="13" t="n">
        <v>2</v>
      </c>
      <c r="E63" s="13" t="n">
        <v>2</v>
      </c>
      <c r="F63" s="13" t="n">
        <v>0</v>
      </c>
      <c r="G63" s="13" t="n">
        <v>0</v>
      </c>
    </row>
    <row r="64" ht="22" customHeight="1">
      <c r="A64" s="10" t="inlineStr">
        <is>
          <t>Module 05</t>
        </is>
      </c>
      <c r="B64" s="18" t="inlineStr">
        <is>
          <t>M05-F03</t>
        </is>
      </c>
      <c r="C64" s="10" t="inlineStr">
        <is>
          <t>Company Management</t>
        </is>
      </c>
      <c r="D64" s="11" t="n">
        <v>4</v>
      </c>
      <c r="E64" s="11" t="n">
        <v>4</v>
      </c>
      <c r="F64" s="11" t="n">
        <v>0</v>
      </c>
      <c r="G64" s="11" t="n">
        <v>0</v>
      </c>
    </row>
    <row r="65" ht="22" customHeight="1">
      <c r="A65" s="12" t="inlineStr">
        <is>
          <t>Module 05</t>
        </is>
      </c>
      <c r="B65" s="19" t="inlineStr">
        <is>
          <t>M05-F04</t>
        </is>
      </c>
      <c r="C65" s="12" t="inlineStr">
        <is>
          <t>Student-to-Company Assignment</t>
        </is>
      </c>
      <c r="D65" s="13" t="n">
        <v>5</v>
      </c>
      <c r="E65" s="13" t="n">
        <v>5</v>
      </c>
      <c r="F65" s="13" t="n">
        <v>0</v>
      </c>
      <c r="G65" s="13" t="n">
        <v>0</v>
      </c>
    </row>
    <row r="66" ht="22" customHeight="1">
      <c r="A66" s="10" t="inlineStr">
        <is>
          <t>Module 05</t>
        </is>
      </c>
      <c r="B66" s="18" t="inlineStr">
        <is>
          <t>M05-F05</t>
        </is>
      </c>
      <c r="C66" s="10" t="inlineStr">
        <is>
          <t>Remove Assignment</t>
        </is>
      </c>
      <c r="D66" s="11" t="n">
        <v>1</v>
      </c>
      <c r="E66" s="11" t="n">
        <v>1</v>
      </c>
      <c r="F66" s="11" t="n">
        <v>0</v>
      </c>
      <c r="G66" s="11" t="n">
        <v>0</v>
      </c>
    </row>
    <row r="67" ht="22" customHeight="1">
      <c r="A67" s="12" t="inlineStr">
        <is>
          <t>Module 05</t>
        </is>
      </c>
      <c r="B67" s="19" t="inlineStr">
        <is>
          <t>M05-F07</t>
        </is>
      </c>
      <c r="C67" s="12" t="inlineStr">
        <is>
          <t>Feedback Recording by Team</t>
        </is>
      </c>
      <c r="D67" s="13" t="n">
        <v>4</v>
      </c>
      <c r="E67" s="13" t="n">
        <v>3</v>
      </c>
      <c r="F67" s="13" t="n">
        <v>1</v>
      </c>
      <c r="G67" s="13" t="n">
        <v>0</v>
      </c>
    </row>
    <row r="68" ht="22" customHeight="1">
      <c r="A68" s="10" t="inlineStr">
        <is>
          <t>Module 05</t>
        </is>
      </c>
      <c r="B68" s="18" t="inlineStr">
        <is>
          <t>M05-F08</t>
        </is>
      </c>
      <c r="C68" s="10" t="inlineStr">
        <is>
          <t>Same for All Feedback</t>
        </is>
      </c>
      <c r="D68" s="11" t="n">
        <v>1</v>
      </c>
      <c r="E68" s="11" t="n">
        <v>1</v>
      </c>
      <c r="F68" s="11" t="n">
        <v>0</v>
      </c>
      <c r="G68" s="11" t="n">
        <v>0</v>
      </c>
    </row>
    <row r="69" ht="22" customHeight="1">
      <c r="A69" s="12" t="inlineStr">
        <is>
          <t>Module 05</t>
        </is>
      </c>
      <c r="B69" s="19" t="inlineStr">
        <is>
          <t>M05-F09</t>
        </is>
      </c>
      <c r="C69" s="12" t="inlineStr">
        <is>
          <t>Feedback Editing</t>
        </is>
      </c>
      <c r="D69" s="13" t="n">
        <v>2</v>
      </c>
      <c r="E69" s="13" t="n">
        <v>2</v>
      </c>
      <c r="F69" s="13" t="n">
        <v>0</v>
      </c>
      <c r="G69" s="13" t="n">
        <v>0</v>
      </c>
    </row>
    <row r="70" ht="22" customHeight="1">
      <c r="A70" s="10" t="inlineStr">
        <is>
          <t>Module 05</t>
        </is>
      </c>
      <c r="B70" s="18" t="inlineStr">
        <is>
          <t>M05-F10</t>
        </is>
      </c>
      <c r="C70" s="10" t="inlineStr">
        <is>
          <t>Group List Display</t>
        </is>
      </c>
      <c r="D70" s="11" t="n">
        <v>1</v>
      </c>
      <c r="E70" s="11" t="n">
        <v>0</v>
      </c>
      <c r="F70" s="11" t="n">
        <v>1</v>
      </c>
      <c r="G70" s="11" t="n">
        <v>0</v>
      </c>
    </row>
    <row r="71" ht="22" customHeight="1">
      <c r="A71" s="12" t="inlineStr">
        <is>
          <t>Module 06</t>
        </is>
      </c>
      <c r="B71" s="19" t="inlineStr">
        <is>
          <t>M06-F01</t>
        </is>
      </c>
      <c r="C71" s="12" t="inlineStr">
        <is>
          <t>Report Creation</t>
        </is>
      </c>
      <c r="D71" s="13" t="n">
        <v>3</v>
      </c>
      <c r="E71" s="13" t="n">
        <v>3</v>
      </c>
      <c r="F71" s="13" t="n">
        <v>0</v>
      </c>
      <c r="G71" s="13" t="n">
        <v>0</v>
      </c>
    </row>
    <row r="72" ht="22" customHeight="1">
      <c r="A72" s="10" t="inlineStr">
        <is>
          <t>Module 06</t>
        </is>
      </c>
      <c r="B72" s="18" t="inlineStr">
        <is>
          <t>M06-F02</t>
        </is>
      </c>
      <c r="C72" s="10" t="inlineStr">
        <is>
          <t>Draft Saving</t>
        </is>
      </c>
      <c r="D72" s="11" t="n">
        <v>3</v>
      </c>
      <c r="E72" s="11" t="n">
        <v>3</v>
      </c>
      <c r="F72" s="11" t="n">
        <v>0</v>
      </c>
      <c r="G72" s="11" t="n">
        <v>0</v>
      </c>
    </row>
    <row r="73" ht="22" customHeight="1">
      <c r="A73" s="12" t="inlineStr">
        <is>
          <t>Module 06</t>
        </is>
      </c>
      <c r="B73" s="19" t="inlineStr">
        <is>
          <t>M06-F03</t>
        </is>
      </c>
      <c r="C73" s="12" t="inlineStr">
        <is>
          <t>Submission Validation</t>
        </is>
      </c>
      <c r="D73" s="13" t="n">
        <v>9</v>
      </c>
      <c r="E73" s="13" t="n">
        <v>7</v>
      </c>
      <c r="F73" s="13" t="n">
        <v>2</v>
      </c>
      <c r="G73" s="13" t="n">
        <v>0</v>
      </c>
    </row>
    <row r="74" ht="22" customHeight="1">
      <c r="A74" s="10" t="inlineStr">
        <is>
          <t>Module 06</t>
        </is>
      </c>
      <c r="B74" s="18" t="inlineStr">
        <is>
          <t>M06-F04</t>
        </is>
      </c>
      <c r="C74" s="10" t="inlineStr">
        <is>
          <t>Auto-calculated End Date</t>
        </is>
      </c>
      <c r="D74" s="11" t="n">
        <v>3</v>
      </c>
      <c r="E74" s="11" t="n">
        <v>3</v>
      </c>
      <c r="F74" s="11" t="n">
        <v>0</v>
      </c>
      <c r="G74" s="11" t="n">
        <v>0</v>
      </c>
    </row>
    <row r="75" ht="22" customHeight="1">
      <c r="A75" s="12" t="inlineStr">
        <is>
          <t>Module 06</t>
        </is>
      </c>
      <c r="B75" s="19" t="inlineStr">
        <is>
          <t>M06-F05</t>
        </is>
      </c>
      <c r="C75" s="12" t="inlineStr">
        <is>
          <t>Dynamic Task Table</t>
        </is>
      </c>
      <c r="D75" s="13" t="n">
        <v>3</v>
      </c>
      <c r="E75" s="13" t="n">
        <v>3</v>
      </c>
      <c r="F75" s="13" t="n">
        <v>0</v>
      </c>
      <c r="G75" s="13" t="n">
        <v>0</v>
      </c>
    </row>
    <row r="76" ht="22" customHeight="1">
      <c r="A76" s="10" t="inlineStr">
        <is>
          <t>Module 06</t>
        </is>
      </c>
      <c r="B76" s="18" t="inlineStr">
        <is>
          <t>M06-F06</t>
        </is>
      </c>
      <c r="C76" s="10" t="inlineStr">
        <is>
          <t>Auto-calculated Total Hours</t>
        </is>
      </c>
      <c r="D76" s="11" t="n">
        <v>4</v>
      </c>
      <c r="E76" s="11" t="n">
        <v>4</v>
      </c>
      <c r="F76" s="11" t="n">
        <v>0</v>
      </c>
      <c r="G76" s="11" t="n">
        <v>0</v>
      </c>
    </row>
    <row r="77" ht="22" customHeight="1">
      <c r="A77" s="12" t="inlineStr">
        <is>
          <t>Module 06</t>
        </is>
      </c>
      <c r="B77" s="19" t="inlineStr">
        <is>
          <t>M06-F07</t>
        </is>
      </c>
      <c r="C77" s="12" t="inlineStr">
        <is>
          <t>Report Submission</t>
        </is>
      </c>
      <c r="D77" s="13" t="n">
        <v>2</v>
      </c>
      <c r="E77" s="13" t="n">
        <v>2</v>
      </c>
      <c r="F77" s="13" t="n">
        <v>0</v>
      </c>
      <c r="G77" s="13" t="n">
        <v>0</v>
      </c>
    </row>
    <row r="78" ht="22" customHeight="1">
      <c r="A78" s="10" t="inlineStr">
        <is>
          <t>Module 06</t>
        </is>
      </c>
      <c r="B78" s="18" t="inlineStr">
        <is>
          <t>M06-F08</t>
        </is>
      </c>
      <c r="C78" s="10" t="inlineStr">
        <is>
          <t>Automatic Email Notification</t>
        </is>
      </c>
      <c r="D78" s="11" t="n">
        <v>2</v>
      </c>
      <c r="E78" s="11" t="n">
        <v>2</v>
      </c>
      <c r="F78" s="11" t="n">
        <v>0</v>
      </c>
      <c r="G78" s="11" t="n">
        <v>0</v>
      </c>
    </row>
    <row r="79" ht="22" customHeight="1">
      <c r="A79" s="12" t="inlineStr">
        <is>
          <t>Module 06</t>
        </is>
      </c>
      <c r="B79" s="19" t="inlineStr">
        <is>
          <t>M06-F09</t>
        </is>
      </c>
      <c r="C79" s="12" t="inlineStr">
        <is>
          <t>Staff View of Student Reports</t>
        </is>
      </c>
      <c r="D79" s="13" t="n">
        <v>2</v>
      </c>
      <c r="E79" s="13" t="n">
        <v>2</v>
      </c>
      <c r="F79" s="13" t="n">
        <v>0</v>
      </c>
      <c r="G79" s="13" t="n">
        <v>0</v>
      </c>
    </row>
    <row r="80" ht="22" customHeight="1">
      <c r="A80" s="10" t="inlineStr">
        <is>
          <t>Module 07</t>
        </is>
      </c>
      <c r="B80" s="18" t="inlineStr">
        <is>
          <t>M07-F01</t>
        </is>
      </c>
      <c r="C80" s="10" t="inlineStr">
        <is>
          <t>Three-tier Hierarchy</t>
        </is>
      </c>
      <c r="D80" s="11" t="n">
        <v>7</v>
      </c>
      <c r="E80" s="11" t="n">
        <v>7</v>
      </c>
      <c r="F80" s="11" t="n">
        <v>0</v>
      </c>
      <c r="G80" s="11" t="n">
        <v>0</v>
      </c>
    </row>
    <row r="81" ht="22" customHeight="1">
      <c r="A81" s="12" t="inlineStr">
        <is>
          <t>Module 07</t>
        </is>
      </c>
      <c r="B81" s="19" t="inlineStr">
        <is>
          <t>M07-F02</t>
        </is>
      </c>
      <c r="C81" s="12" t="inlineStr">
        <is>
          <t>Category Management</t>
        </is>
      </c>
      <c r="D81" s="13" t="n">
        <v>3</v>
      </c>
      <c r="E81" s="13" t="n">
        <v>2</v>
      </c>
      <c r="F81" s="13" t="n">
        <v>1</v>
      </c>
      <c r="G81" s="13" t="n">
        <v>0</v>
      </c>
    </row>
    <row r="82" ht="22" customHeight="1">
      <c r="A82" s="10" t="inlineStr">
        <is>
          <t>Module 07</t>
        </is>
      </c>
      <c r="B82" s="18" t="inlineStr">
        <is>
          <t>M07-F03</t>
        </is>
      </c>
      <c r="C82" s="10" t="inlineStr">
        <is>
          <t>Course Archiving / Restoring</t>
        </is>
      </c>
      <c r="D82" s="11" t="n">
        <v>6</v>
      </c>
      <c r="E82" s="11" t="n">
        <v>5</v>
      </c>
      <c r="F82" s="11" t="n">
        <v>1</v>
      </c>
      <c r="G82" s="11" t="n">
        <v>0</v>
      </c>
    </row>
    <row r="83" ht="22" customHeight="1">
      <c r="A83" s="12" t="inlineStr">
        <is>
          <t>Module 07</t>
        </is>
      </c>
      <c r="B83" s="19" t="inlineStr">
        <is>
          <t>M07-F04</t>
        </is>
      </c>
      <c r="C83" s="12" t="inlineStr">
        <is>
          <t>Session Deletion</t>
        </is>
      </c>
      <c r="D83" s="13" t="n">
        <v>4</v>
      </c>
      <c r="E83" s="13" t="n">
        <v>2</v>
      </c>
      <c r="F83" s="13" t="n">
        <v>2</v>
      </c>
      <c r="G83" s="13" t="n">
        <v>0</v>
      </c>
    </row>
    <row r="84" ht="22" customHeight="1">
      <c r="A84" s="10" t="inlineStr">
        <is>
          <t>Module 07</t>
        </is>
      </c>
      <c r="B84" s="18" t="inlineStr">
        <is>
          <t>M07-F05</t>
        </is>
      </c>
      <c r="C84" s="10" t="inlineStr">
        <is>
          <t>Exam Deletion</t>
        </is>
      </c>
      <c r="D84" s="11" t="n">
        <v>4</v>
      </c>
      <c r="E84" s="11" t="n">
        <v>2</v>
      </c>
      <c r="F84" s="11" t="n">
        <v>2</v>
      </c>
      <c r="G84" s="11" t="n">
        <v>0</v>
      </c>
    </row>
    <row r="85" ht="22" customHeight="1">
      <c r="A85" s="12" t="inlineStr">
        <is>
          <t>Module 07</t>
        </is>
      </c>
      <c r="B85" s="19" t="inlineStr">
        <is>
          <t>M07-F06</t>
        </is>
      </c>
      <c r="C85" s="12" t="inlineStr">
        <is>
          <t>Material Attachment</t>
        </is>
      </c>
      <c r="D85" s="13" t="n">
        <v>6</v>
      </c>
      <c r="E85" s="13" t="n">
        <v>5</v>
      </c>
      <c r="F85" s="13" t="n">
        <v>1</v>
      </c>
      <c r="G85" s="13" t="n">
        <v>0</v>
      </c>
    </row>
    <row r="86" ht="22" customHeight="1">
      <c r="A86" s="10" t="inlineStr">
        <is>
          <t>Module 07</t>
        </is>
      </c>
      <c r="B86" s="18" t="inlineStr">
        <is>
          <t>M07-F07</t>
        </is>
      </c>
      <c r="C86" s="10" t="inlineStr">
        <is>
          <t>CSV Export / Import</t>
        </is>
      </c>
      <c r="D86" s="11" t="n">
        <v>8</v>
      </c>
      <c r="E86" s="11" t="n">
        <v>8</v>
      </c>
      <c r="F86" s="11" t="n">
        <v>0</v>
      </c>
      <c r="G86" s="11" t="n">
        <v>0</v>
      </c>
    </row>
    <row r="87" ht="22" customHeight="1">
      <c r="A87" s="12" t="inlineStr">
        <is>
          <t>Module 07</t>
        </is>
      </c>
      <c r="B87" s="19" t="inlineStr">
        <is>
          <t>M07-SEC</t>
        </is>
      </c>
      <c r="C87" s="12" t="inlineStr">
        <is>
          <t>Access Control &amp; Security</t>
        </is>
      </c>
      <c r="D87" s="13" t="n">
        <v>3</v>
      </c>
      <c r="E87" s="13" t="n">
        <v>3</v>
      </c>
      <c r="F87" s="13" t="n">
        <v>0</v>
      </c>
      <c r="G87" s="13" t="n">
        <v>0</v>
      </c>
    </row>
    <row r="88" ht="22" customHeight="1">
      <c r="A88" s="10" t="inlineStr">
        <is>
          <t>Module 08</t>
        </is>
      </c>
      <c r="B88" s="18" t="inlineStr">
        <is>
          <t>M08-F01</t>
        </is>
      </c>
      <c r="C88" s="10" t="inlineStr">
        <is>
          <t>Photo Upload</t>
        </is>
      </c>
      <c r="D88" s="11" t="n">
        <v>13</v>
      </c>
      <c r="E88" s="11" t="n">
        <v>7</v>
      </c>
      <c r="F88" s="11" t="n">
        <v>5</v>
      </c>
      <c r="G88" s="11" t="n">
        <v>1</v>
      </c>
    </row>
    <row r="89" ht="22" customHeight="1">
      <c r="A89" s="12" t="inlineStr">
        <is>
          <t>Module 08</t>
        </is>
      </c>
      <c r="B89" s="19" t="inlineStr">
        <is>
          <t>M08-F02</t>
        </is>
      </c>
      <c r="C89" s="12" t="inlineStr">
        <is>
          <t>Photo Replacement</t>
        </is>
      </c>
      <c r="D89" s="13" t="n">
        <v>1</v>
      </c>
      <c r="E89" s="13" t="n">
        <v>1</v>
      </c>
      <c r="F89" s="13" t="n">
        <v>0</v>
      </c>
      <c r="G89" s="13" t="n">
        <v>0</v>
      </c>
    </row>
    <row r="90" ht="22" customHeight="1">
      <c r="A90" s="10" t="inlineStr">
        <is>
          <t>Module 08</t>
        </is>
      </c>
      <c r="B90" s="18" t="inlineStr">
        <is>
          <t>M08-F03</t>
        </is>
      </c>
      <c r="C90" s="10" t="inlineStr">
        <is>
          <t>Photo Removal</t>
        </is>
      </c>
      <c r="D90" s="11" t="n">
        <v>1</v>
      </c>
      <c r="E90" s="11" t="n">
        <v>1</v>
      </c>
      <c r="F90" s="11" t="n">
        <v>0</v>
      </c>
      <c r="G90" s="11" t="n">
        <v>0</v>
      </c>
    </row>
    <row r="91" ht="22" customHeight="1">
      <c r="A91" s="12" t="inlineStr">
        <is>
          <t>Module 08</t>
        </is>
      </c>
      <c r="B91" s="19" t="inlineStr">
        <is>
          <t>M08-F04</t>
        </is>
      </c>
      <c r="C91" s="12" t="inlineStr">
        <is>
          <t>Fallback Avatar</t>
        </is>
      </c>
      <c r="D91" s="13" t="n">
        <v>2</v>
      </c>
      <c r="E91" s="13" t="n">
        <v>2</v>
      </c>
      <c r="F91" s="13" t="n">
        <v>0</v>
      </c>
      <c r="G91" s="13" t="n">
        <v>0</v>
      </c>
    </row>
    <row r="92" ht="22" customHeight="1">
      <c r="A92" s="10" t="inlineStr">
        <is>
          <t>Module 08</t>
        </is>
      </c>
      <c r="B92" s="18" t="inlineStr">
        <is>
          <t>M08-F05</t>
        </is>
      </c>
      <c r="C92" s="10" t="inlineStr">
        <is>
          <t>Restricted Access</t>
        </is>
      </c>
      <c r="D92" s="11" t="n">
        <v>3</v>
      </c>
      <c r="E92" s="11" t="n">
        <v>3</v>
      </c>
      <c r="F92" s="11" t="n">
        <v>0</v>
      </c>
      <c r="G92" s="11" t="n">
        <v>0</v>
      </c>
    </row>
    <row r="93" ht="22" customHeight="1">
      <c r="A93" s="12" t="inlineStr">
        <is>
          <t>Module 09</t>
        </is>
      </c>
      <c r="B93" s="19" t="inlineStr">
        <is>
          <t>M09-F01</t>
        </is>
      </c>
      <c r="C93" s="12" t="inlineStr">
        <is>
          <t>Role-based Auto-login</t>
        </is>
      </c>
      <c r="D93" s="13" t="n">
        <v>5</v>
      </c>
      <c r="E93" s="13" t="n">
        <v>5</v>
      </c>
      <c r="F93" s="13" t="n">
        <v>0</v>
      </c>
      <c r="G93" s="13" t="n">
        <v>0</v>
      </c>
    </row>
    <row r="94" ht="22" customHeight="1">
      <c r="A94" s="10" t="inlineStr">
        <is>
          <t>Module 09</t>
        </is>
      </c>
      <c r="B94" s="18" t="inlineStr">
        <is>
          <t>M09-F02</t>
        </is>
      </c>
      <c r="C94" s="10" t="inlineStr">
        <is>
          <t>Read-only Academic View</t>
        </is>
      </c>
      <c r="D94" s="11" t="n">
        <v>4</v>
      </c>
      <c r="E94" s="11" t="n">
        <v>2</v>
      </c>
      <c r="F94" s="11" t="n">
        <v>2</v>
      </c>
      <c r="G94" s="11" t="n">
        <v>0</v>
      </c>
    </row>
    <row r="95" ht="22" customHeight="1">
      <c r="A95" s="12" t="inlineStr">
        <is>
          <t>Module 09</t>
        </is>
      </c>
      <c r="B95" s="19" t="inlineStr">
        <is>
          <t>M09-F03</t>
        </is>
      </c>
      <c r="C95" s="12" t="inlineStr">
        <is>
          <t>Empty Grade Display</t>
        </is>
      </c>
      <c r="D95" s="13" t="n">
        <v>1</v>
      </c>
      <c r="E95" s="13" t="n">
        <v>1</v>
      </c>
      <c r="F95" s="13" t="n">
        <v>0</v>
      </c>
      <c r="G95" s="13" t="n">
        <v>0</v>
      </c>
    </row>
    <row r="96" ht="22" customHeight="1">
      <c r="A96" s="10" t="inlineStr">
        <is>
          <t>Module 09</t>
        </is>
      </c>
      <c r="B96" s="18" t="inlineStr">
        <is>
          <t>M09-F04</t>
        </is>
      </c>
      <c r="C96" s="10" t="inlineStr">
        <is>
          <t>Score Color Coding</t>
        </is>
      </c>
      <c r="D96" s="11" t="n">
        <v>6</v>
      </c>
      <c r="E96" s="11" t="n">
        <v>0</v>
      </c>
      <c r="F96" s="11" t="n">
        <v>6</v>
      </c>
      <c r="G96" s="11" t="n">
        <v>0</v>
      </c>
    </row>
    <row r="97" ht="22" customHeight="1">
      <c r="A97" s="12" t="inlineStr">
        <is>
          <t>Module 09</t>
        </is>
      </c>
      <c r="B97" s="19" t="inlineStr">
        <is>
          <t>M09-F05</t>
        </is>
      </c>
      <c r="C97" s="12" t="inlineStr">
        <is>
          <t>Re-study Flag Display</t>
        </is>
      </c>
      <c r="D97" s="13" t="n">
        <v>1</v>
      </c>
      <c r="E97" s="13" t="n">
        <v>1</v>
      </c>
      <c r="F97" s="13" t="n">
        <v>0</v>
      </c>
      <c r="G97" s="13" t="n">
        <v>0</v>
      </c>
    </row>
    <row r="98" ht="22" customHeight="1">
      <c r="A98" s="10" t="inlineStr">
        <is>
          <t>Module 09</t>
        </is>
      </c>
      <c r="B98" s="18" t="inlineStr">
        <is>
          <t>M09-F06</t>
        </is>
      </c>
      <c r="C98" s="10" t="inlineStr">
        <is>
          <t>Quick Access to Bi-Weekly Reports</t>
        </is>
      </c>
      <c r="D98" s="11" t="n">
        <v>3</v>
      </c>
      <c r="E98" s="11" t="n">
        <v>3</v>
      </c>
      <c r="F98" s="11" t="n">
        <v>0</v>
      </c>
      <c r="G98" s="11" t="n">
        <v>0</v>
      </c>
    </row>
    <row r="99" ht="22" customHeight="1">
      <c r="A99" s="12" t="inlineStr">
        <is>
          <t>Module 09</t>
        </is>
      </c>
      <c r="B99" s="19" t="inlineStr">
        <is>
          <t>M09-F07</t>
        </is>
      </c>
      <c r="C99" s="12" t="inlineStr">
        <is>
          <t>Data Isolation</t>
        </is>
      </c>
      <c r="D99" s="13" t="n">
        <v>2</v>
      </c>
      <c r="E99" s="13" t="n">
        <v>2</v>
      </c>
      <c r="F99" s="13" t="n">
        <v>0</v>
      </c>
      <c r="G99" s="13" t="n">
        <v>0</v>
      </c>
    </row>
    <row r="100" ht="22" customHeight="1">
      <c r="A100" s="10" t="inlineStr">
        <is>
          <t>Module 09</t>
        </is>
      </c>
      <c r="B100" s="18" t="inlineStr">
        <is>
          <t>M09-UI</t>
        </is>
      </c>
      <c r="C100" s="10" t="inlineStr">
        <is>
          <t>User Interface &amp; Responsiveness</t>
        </is>
      </c>
      <c r="D100" s="11" t="n">
        <v>1</v>
      </c>
      <c r="E100" s="11" t="n">
        <v>0</v>
      </c>
      <c r="F100" s="11" t="n">
        <v>1</v>
      </c>
      <c r="G100" s="11" t="n">
        <v>0</v>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0"/>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TC-M01-001</t>
        </is>
      </c>
      <c r="B2" s="21" t="inlineStr">
        <is>
          <t>Module 01</t>
        </is>
      </c>
      <c r="C2" s="22" t="inlineStr">
        <is>
          <t>M01-F01</t>
        </is>
      </c>
      <c r="D2" s="23" t="inlineStr">
        <is>
          <t>Batch Creation</t>
        </is>
      </c>
      <c r="E2" s="23" t="inlineStr">
        <is>
          <t>Create Batch with Valid Name</t>
        </is>
      </c>
      <c r="F2" s="23" t="inlineStr">
        <is>
          <t>Verify that a batch can be created using a valid batch name matching the format PNVyyX (e.g. PNV26A).</t>
        </is>
      </c>
      <c r="G2" s="23" t="inlineStr">
        <is>
          <t>Staff user is logged in.</t>
        </is>
      </c>
      <c r="H2" s="23" t="inlineStr">
        <is>
          <t>BatchName=PNV26A; Status=Active</t>
        </is>
      </c>
      <c r="I2" s="23" t="inlineStr">
        <is>
          <t>1. Open Batch Management;
2. Click Create Batch;
3. Enter PNV26A as Batch Name;
4. Select Active status;
5. Click Save</t>
        </is>
      </c>
      <c r="J2" s="23" t="inlineStr">
        <is>
          <t>Batch is created successfully. Success notification appears. PNV26A is displayed in the batch list.</t>
        </is>
      </c>
      <c r="K2" s="23" t="inlineStr"/>
      <c r="L2" s="24" t="inlineStr">
        <is>
          <t>Not Run</t>
        </is>
      </c>
      <c r="M2" s="25" t="inlineStr">
        <is>
          <t>High</t>
        </is>
      </c>
      <c r="N2" s="23" t="inlineStr">
        <is>
          <t>Related Requirement: M01-F01, Scenario: BS-01</t>
        </is>
      </c>
    </row>
    <row r="3" ht="90" customHeight="1">
      <c r="A3" s="26" t="inlineStr">
        <is>
          <t>TC-M01-002</t>
        </is>
      </c>
      <c r="B3" s="26" t="inlineStr">
        <is>
          <t>Module 01</t>
        </is>
      </c>
      <c r="C3" s="27" t="inlineStr">
        <is>
          <t>M01-F01</t>
        </is>
      </c>
      <c r="D3" s="28" t="inlineStr">
        <is>
          <t>Batch Creation</t>
        </is>
      </c>
      <c r="E3" s="28" t="inlineStr">
        <is>
          <t>Create Batch with Invalid Name Format - Lowercase Letter</t>
        </is>
      </c>
      <c r="F3" s="28" t="inlineStr">
        <is>
          <t>Verify that the system rejects batch creation if the alphabet code is in lowercase (e.g. PNV26a).</t>
        </is>
      </c>
      <c r="G3" s="28" t="inlineStr">
        <is>
          <t>Staff user is logged in.</t>
        </is>
      </c>
      <c r="H3" s="28" t="inlineStr">
        <is>
          <t>BatchName=PNV26a; Status=Active</t>
        </is>
      </c>
      <c r="I3" s="28" t="inlineStr">
        <is>
          <t>1. Open Batch Management;
2. Click Create Batch;
3. Enter PNV26a as Batch Name;
4. Click Save</t>
        </is>
      </c>
      <c r="J3" s="28" t="inlineStr">
        <is>
          <t>System rejects creation. Error message appears: "Invalid batch name. Use format PNVyyX (e.g., PNV26A)."</t>
        </is>
      </c>
      <c r="K3" s="28" t="inlineStr"/>
      <c r="L3" s="24" t="inlineStr">
        <is>
          <t>Not Run</t>
        </is>
      </c>
      <c r="M3" s="25" t="inlineStr">
        <is>
          <t>High</t>
        </is>
      </c>
      <c r="N3" s="28" t="inlineStr">
        <is>
          <t>Related Requirement: M01-F01, Scenario: BS-01</t>
        </is>
      </c>
    </row>
    <row r="4" ht="90" customHeight="1">
      <c r="A4" s="21" t="inlineStr">
        <is>
          <t>TC-M01-003</t>
        </is>
      </c>
      <c r="B4" s="21" t="inlineStr">
        <is>
          <t>Module 01</t>
        </is>
      </c>
      <c r="C4" s="22" t="inlineStr">
        <is>
          <t>M01-F01</t>
        </is>
      </c>
      <c r="D4" s="23" t="inlineStr">
        <is>
          <t>Batch Creation</t>
        </is>
      </c>
      <c r="E4" s="23" t="inlineStr">
        <is>
          <t>Create Batch with Invalid Name Format - Wrong Prefix</t>
        </is>
      </c>
      <c r="F4" s="23" t="inlineStr">
        <is>
          <t>Verify that the system rejects batch creation if the prefix is not PNV (e.g. ABC26A).</t>
        </is>
      </c>
      <c r="G4" s="23" t="inlineStr">
        <is>
          <t>Staff user is logged in.</t>
        </is>
      </c>
      <c r="H4" s="23" t="inlineStr">
        <is>
          <t>BatchName=ABC26A; Status=Active</t>
        </is>
      </c>
      <c r="I4" s="23" t="inlineStr">
        <is>
          <t>1. Open Batch Management;
2. Click Create Batch;
3. Enter ABC26A as Batch Name;
4. Click Save</t>
        </is>
      </c>
      <c r="J4" s="23" t="inlineStr">
        <is>
          <t>System rejects creation. Error message appears: "Invalid batch name. Use format PNVyyX (e.g., PNV26A)."</t>
        </is>
      </c>
      <c r="K4" s="23" t="inlineStr"/>
      <c r="L4" s="24" t="inlineStr">
        <is>
          <t>Not Run</t>
        </is>
      </c>
      <c r="M4" s="25" t="inlineStr">
        <is>
          <t>High</t>
        </is>
      </c>
      <c r="N4" s="23" t="inlineStr">
        <is>
          <t>Related Requirement: M01-F01, Scenario: BS-01</t>
        </is>
      </c>
    </row>
    <row r="5" ht="90" customHeight="1">
      <c r="A5" s="26" t="inlineStr">
        <is>
          <t>TC-M01-004</t>
        </is>
      </c>
      <c r="B5" s="26" t="inlineStr">
        <is>
          <t>Module 01</t>
        </is>
      </c>
      <c r="C5" s="27" t="inlineStr">
        <is>
          <t>M01-F01</t>
        </is>
      </c>
      <c r="D5" s="28" t="inlineStr">
        <is>
          <t>Batch Creation</t>
        </is>
      </c>
      <c r="E5" s="28" t="inlineStr">
        <is>
          <t>Create Batch with Invalid Name Format - 4-digit Year</t>
        </is>
      </c>
      <c r="F5" s="28" t="inlineStr">
        <is>
          <t>Verify that the system rejects batch creation if the year is written in 4 digits (e.g. PNV2026A).</t>
        </is>
      </c>
      <c r="G5" s="28" t="inlineStr">
        <is>
          <t>Staff user is logged in.</t>
        </is>
      </c>
      <c r="H5" s="28" t="inlineStr">
        <is>
          <t>BatchName=PNV2026A; Status=Active</t>
        </is>
      </c>
      <c r="I5" s="28" t="inlineStr">
        <is>
          <t>1. Open Batch Management;
2. Click Create Batch;
3. Enter PNV2026A as Batch Name;
4. Click Save</t>
        </is>
      </c>
      <c r="J5" s="28" t="inlineStr">
        <is>
          <t>System rejects creation. Error message appears: "Invalid batch name. Use format PNVyyX (e.g., PNV26A)."</t>
        </is>
      </c>
      <c r="K5" s="28" t="inlineStr"/>
      <c r="L5" s="24" t="inlineStr">
        <is>
          <t>Not Run</t>
        </is>
      </c>
      <c r="M5" s="25" t="inlineStr">
        <is>
          <t>High</t>
        </is>
      </c>
      <c r="N5" s="28" t="inlineStr">
        <is>
          <t>Related Requirement: M01-F01, Scenario: BS-01</t>
        </is>
      </c>
    </row>
    <row r="6" ht="90" customHeight="1">
      <c r="A6" s="21" t="inlineStr">
        <is>
          <t>TC-M01-005</t>
        </is>
      </c>
      <c r="B6" s="21" t="inlineStr">
        <is>
          <t>Module 01</t>
        </is>
      </c>
      <c r="C6" s="22" t="inlineStr">
        <is>
          <t>M01-F01</t>
        </is>
      </c>
      <c r="D6" s="23" t="inlineStr">
        <is>
          <t>Batch Creation</t>
        </is>
      </c>
      <c r="E6" s="23" t="inlineStr">
        <is>
          <t>Create Batch with Invalid Name Format - Multiple Letters</t>
        </is>
      </c>
      <c r="F6" s="23" t="inlineStr">
        <is>
          <t>Verify that the system rejects batch creation if there are multiple suffix letters (e.g. PNV26AA).</t>
        </is>
      </c>
      <c r="G6" s="23" t="inlineStr">
        <is>
          <t>Staff user is logged in.</t>
        </is>
      </c>
      <c r="H6" s="23" t="inlineStr">
        <is>
          <t>BatchName=PNV26AA; Status=Active</t>
        </is>
      </c>
      <c r="I6" s="23" t="inlineStr">
        <is>
          <t>1. Open Batch Management;
2. Click Create Batch;
3. Enter PNV26AA as Batch Name;
4. Click Save</t>
        </is>
      </c>
      <c r="J6" s="23" t="inlineStr">
        <is>
          <t>System rejects creation. Error message appears: "Invalid batch name. Use format PNVyyX (e.g., PNV26A)."</t>
        </is>
      </c>
      <c r="K6" s="23" t="inlineStr"/>
      <c r="L6" s="24" t="inlineStr">
        <is>
          <t>Not Run</t>
        </is>
      </c>
      <c r="M6" s="25" t="inlineStr">
        <is>
          <t>High</t>
        </is>
      </c>
      <c r="N6" s="23" t="inlineStr">
        <is>
          <t>Related Requirement: M01-F01, Scenario: BS-01</t>
        </is>
      </c>
    </row>
    <row r="7" ht="90" customHeight="1">
      <c r="A7" s="26" t="inlineStr">
        <is>
          <t>TC-M01-006</t>
        </is>
      </c>
      <c r="B7" s="26" t="inlineStr">
        <is>
          <t>Module 01</t>
        </is>
      </c>
      <c r="C7" s="27" t="inlineStr">
        <is>
          <t>M01-F01</t>
        </is>
      </c>
      <c r="D7" s="28" t="inlineStr">
        <is>
          <t>Batch Creation</t>
        </is>
      </c>
      <c r="E7" s="28" t="inlineStr">
        <is>
          <t>Create Batch with Empty Name</t>
        </is>
      </c>
      <c r="F7" s="28" t="inlineStr">
        <is>
          <t>Verify that a batch cannot be saved with an empty name.</t>
        </is>
      </c>
      <c r="G7" s="28" t="inlineStr">
        <is>
          <t>Staff user is logged in.</t>
        </is>
      </c>
      <c r="H7" s="28" t="inlineStr">
        <is>
          <t>BatchName=; Status=Active</t>
        </is>
      </c>
      <c r="I7" s="28" t="inlineStr">
        <is>
          <t>1. Open Batch Management;
2. Click Create Batch;
3. Leave Batch Name empty;
4. Click Save</t>
        </is>
      </c>
      <c r="J7" s="28" t="inlineStr">
        <is>
          <t>System rejects save. Error message appears indicating batch name is required. Saving is blocked.</t>
        </is>
      </c>
      <c r="K7" s="28" t="inlineStr"/>
      <c r="L7" s="24" t="inlineStr">
        <is>
          <t>Not Run</t>
        </is>
      </c>
      <c r="M7" s="25" t="inlineStr">
        <is>
          <t>High</t>
        </is>
      </c>
      <c r="N7" s="28" t="inlineStr">
        <is>
          <t>Related Requirement: M01-F01, Scenario: BS-01</t>
        </is>
      </c>
    </row>
    <row r="8" ht="90" customHeight="1">
      <c r="A8" s="21" t="inlineStr">
        <is>
          <t>TC-M01-007</t>
        </is>
      </c>
      <c r="B8" s="21" t="inlineStr">
        <is>
          <t>Module 01</t>
        </is>
      </c>
      <c r="C8" s="22" t="inlineStr">
        <is>
          <t>M01-F01</t>
        </is>
      </c>
      <c r="D8" s="23" t="inlineStr">
        <is>
          <t>Batch Creation</t>
        </is>
      </c>
      <c r="E8" s="23" t="inlineStr">
        <is>
          <t>Create Batch with Duplicate Name</t>
        </is>
      </c>
      <c r="F8" s="23" t="inlineStr">
        <is>
          <t>Verify that the system rejects batch creation if the name already exists (case-insensitive).</t>
        </is>
      </c>
      <c r="G8" s="23" t="inlineStr">
        <is>
          <t>Staff user is logged in. Batch PNV26A already exists.</t>
        </is>
      </c>
      <c r="H8" s="23" t="inlineStr">
        <is>
          <t>BatchName=pnv26a; Status=Active</t>
        </is>
      </c>
      <c r="I8" s="23" t="inlineStr">
        <is>
          <t>1. Open Batch Management;
2. Click Create Batch;
3. Enter pnv26a (lowercase) as Batch Name;
4. Click Save</t>
        </is>
      </c>
      <c r="J8" s="23" t="inlineStr">
        <is>
          <t>System rejects creation. Error message appears: "A batch named "PNV26A" already exists."</t>
        </is>
      </c>
      <c r="K8" s="23" t="inlineStr"/>
      <c r="L8" s="24" t="inlineStr">
        <is>
          <t>Not Run</t>
        </is>
      </c>
      <c r="M8" s="25" t="inlineStr">
        <is>
          <t>High</t>
        </is>
      </c>
      <c r="N8" s="23" t="inlineStr">
        <is>
          <t>Related Requirement: M01-F01, Scenario: BS-01</t>
        </is>
      </c>
    </row>
    <row r="9" ht="90" customHeight="1">
      <c r="A9" s="26" t="inlineStr">
        <is>
          <t>TC-M01-008</t>
        </is>
      </c>
      <c r="B9" s="26" t="inlineStr">
        <is>
          <t>Module 01</t>
        </is>
      </c>
      <c r="C9" s="27" t="inlineStr">
        <is>
          <t>M01-F02</t>
        </is>
      </c>
      <c r="D9" s="28" t="inlineStr">
        <is>
          <t>Batch Editing</t>
        </is>
      </c>
      <c r="E9" s="28" t="inlineStr">
        <is>
          <t>Rename Batch with Valid Unique Name</t>
        </is>
      </c>
      <c r="F9" s="28" t="inlineStr">
        <is>
          <t>Verify that an existing batch can be successfully renamed to a new valid unique name.</t>
        </is>
      </c>
      <c r="G9" s="28" t="inlineStr">
        <is>
          <t>Staff user is logged in. Batch PNV26A exists.</t>
        </is>
      </c>
      <c r="H9" s="28" t="inlineStr">
        <is>
          <t>OldBatchName=PNV26A; NewBatchName=PNV26C</t>
        </is>
      </c>
      <c r="I9" s="28" t="inlineStr">
        <is>
          <t>1. Open Batch Management;
2. Select batch PNV26A and click Edit;
3. Change name to PNV26C;
4. Click Save</t>
        </is>
      </c>
      <c r="J9" s="28" t="inlineStr">
        <is>
          <t>Batch is renamed successfully. Success notification appears. PNV26C is displayed in the batch list.</t>
        </is>
      </c>
      <c r="K9" s="28" t="inlineStr"/>
      <c r="L9" s="24" t="inlineStr">
        <is>
          <t>Not Run</t>
        </is>
      </c>
      <c r="M9" s="25" t="inlineStr">
        <is>
          <t>High</t>
        </is>
      </c>
      <c r="N9" s="28" t="inlineStr">
        <is>
          <t>Related Requirement: M01-F02, Scenario: BS-02</t>
        </is>
      </c>
    </row>
    <row r="10" ht="90" customHeight="1">
      <c r="A10" s="21" t="inlineStr">
        <is>
          <t>TC-M01-009</t>
        </is>
      </c>
      <c r="B10" s="21" t="inlineStr">
        <is>
          <t>Module 01</t>
        </is>
      </c>
      <c r="C10" s="22" t="inlineStr">
        <is>
          <t>M01-F02</t>
        </is>
      </c>
      <c r="D10" s="23" t="inlineStr">
        <is>
          <t>Batch Editing</t>
        </is>
      </c>
      <c r="E10" s="23" t="inlineStr">
        <is>
          <t>Rename Batch to Existing Name Blocked</t>
        </is>
      </c>
      <c r="F10" s="23" t="inlineStr">
        <is>
          <t>Verify that renaming a batch to a name that already exists is blocked by the system.</t>
        </is>
      </c>
      <c r="G10" s="23" t="inlineStr">
        <is>
          <t>Staff user is logged in. Batches PNV26A and PNV26B exist.</t>
        </is>
      </c>
      <c r="H10" s="23" t="inlineStr">
        <is>
          <t>TargetBatch=PNV26B; NewBatchName=PNV26A</t>
        </is>
      </c>
      <c r="I10" s="23" t="inlineStr">
        <is>
          <t>1. Open Batch Management;
2. Select batch PNV26B and click Edit;
3. Change name to PNV26A;
4. Click Save</t>
        </is>
      </c>
      <c r="J10" s="23" t="inlineStr">
        <is>
          <t>System rejects update. Error message appears: "A batch named "PNV26A" already exists."</t>
        </is>
      </c>
      <c r="K10" s="23" t="inlineStr"/>
      <c r="L10" s="24" t="inlineStr">
        <is>
          <t>Not Run</t>
        </is>
      </c>
      <c r="M10" s="25" t="inlineStr">
        <is>
          <t>High</t>
        </is>
      </c>
      <c r="N10" s="23" t="inlineStr">
        <is>
          <t>Related Requirement: M01-F02, Scenario: BS-02</t>
        </is>
      </c>
    </row>
    <row r="11" ht="90" customHeight="1">
      <c r="A11" s="26" t="inlineStr">
        <is>
          <t>TC-M01-010</t>
        </is>
      </c>
      <c r="B11" s="26" t="inlineStr">
        <is>
          <t>Module 01</t>
        </is>
      </c>
      <c r="C11" s="27" t="inlineStr">
        <is>
          <t>M01-F02</t>
        </is>
      </c>
      <c r="D11" s="28" t="inlineStr">
        <is>
          <t>Batch Editing</t>
        </is>
      </c>
      <c r="E11" s="28" t="inlineStr">
        <is>
          <t>Rename Batch to Invalid Format Blocked</t>
        </is>
      </c>
      <c r="F11" s="28" t="inlineStr">
        <is>
          <t>Verify that renaming a batch to an invalid format is blocked by the system.</t>
        </is>
      </c>
      <c r="G11" s="28" t="inlineStr">
        <is>
          <t>Staff user is logged in. Batch PNV26A exists.</t>
        </is>
      </c>
      <c r="H11" s="28" t="inlineStr">
        <is>
          <t>TargetBatch=PNV26A; NewBatchName=PNV26AA</t>
        </is>
      </c>
      <c r="I11" s="28" t="inlineStr">
        <is>
          <t>1. Open Batch Management;
2. Select batch PNV26A and click Edit;
3. Change name to PNV26AA;
4. Click Save</t>
        </is>
      </c>
      <c r="J11" s="28" t="inlineStr">
        <is>
          <t>System rejects update. Error message appears: "Invalid batch name. Use format PNVyyX (e.g., PNV26A)."</t>
        </is>
      </c>
      <c r="K11" s="28" t="inlineStr"/>
      <c r="L11" s="24" t="inlineStr">
        <is>
          <t>Not Run</t>
        </is>
      </c>
      <c r="M11" s="25" t="inlineStr">
        <is>
          <t>High</t>
        </is>
      </c>
      <c r="N11" s="28" t="inlineStr">
        <is>
          <t>Related Requirement: M01-F02, Scenario: BS-02</t>
        </is>
      </c>
    </row>
    <row r="12" ht="90" customHeight="1">
      <c r="A12" s="21" t="inlineStr">
        <is>
          <t>TC-M01-011</t>
        </is>
      </c>
      <c r="B12" s="21" t="inlineStr">
        <is>
          <t>Module 01</t>
        </is>
      </c>
      <c r="C12" s="22" t="inlineStr">
        <is>
          <t>M01-F03</t>
        </is>
      </c>
      <c r="D12" s="23" t="inlineStr">
        <is>
          <t>Batch Archiving</t>
        </is>
      </c>
      <c r="E12" s="23" t="inlineStr">
        <is>
          <t>Archive Active Batch</t>
        </is>
      </c>
      <c r="F12" s="23" t="inlineStr">
        <is>
          <t>Verify that an active batch can be archived by setting its Active status to false.</t>
        </is>
      </c>
      <c r="G12" s="23" t="inlineStr">
        <is>
          <t>Staff user is logged in. Batch PNV26A is active.</t>
        </is>
      </c>
      <c r="H12" s="23" t="inlineStr">
        <is>
          <t>BatchName=PNV26A; ActiveStatus=false</t>
        </is>
      </c>
      <c r="I12" s="23" t="inlineStr">
        <is>
          <t>1. Open Batch Management;
2. Select batch PNV26A and click Archive (or edit and uncheck Active);
3. Confirm archive action</t>
        </is>
      </c>
      <c r="J12" s="23" t="inlineStr">
        <is>
          <t>Batch is archived successfully. Active status becomes false in database. The batch is hidden from active lists.</t>
        </is>
      </c>
      <c r="K12" s="23" t="inlineStr"/>
      <c r="L12" s="24" t="inlineStr">
        <is>
          <t>Not Run</t>
        </is>
      </c>
      <c r="M12" s="25" t="inlineStr">
        <is>
          <t>High</t>
        </is>
      </c>
      <c r="N12" s="23" t="inlineStr">
        <is>
          <t>Related Requirement: M01-F03, Scenario: BS-03</t>
        </is>
      </c>
    </row>
    <row r="13" ht="105" customHeight="1">
      <c r="A13" s="26" t="inlineStr">
        <is>
          <t>TC-M01-012</t>
        </is>
      </c>
      <c r="B13" s="26" t="inlineStr">
        <is>
          <t>Module 01</t>
        </is>
      </c>
      <c r="C13" s="27" t="inlineStr">
        <is>
          <t>M01-F03</t>
        </is>
      </c>
      <c r="D13" s="28" t="inlineStr">
        <is>
          <t>Batch Archiving</t>
        </is>
      </c>
      <c r="E13" s="28" t="inlineStr">
        <is>
          <t>Reactivate Archived Batch</t>
        </is>
      </c>
      <c r="F13" s="28" t="inlineStr">
        <is>
          <t>Verify that an archived batch can be reactivated by setting its Active status to true.</t>
        </is>
      </c>
      <c r="G13" s="28" t="inlineStr">
        <is>
          <t>Staff user is logged in. Batch PNV26A is archived (Active = false).</t>
        </is>
      </c>
      <c r="H13" s="28" t="inlineStr">
        <is>
          <t>BatchName=PNV26A; ActiveStatus=true</t>
        </is>
      </c>
      <c r="I13" s="28" t="inlineStr">
        <is>
          <t>1. Open Batch Management;
2. Filter by Archived batches;
3. Select batch PNV26A and click Reactivate;
4. Confirm reactivate action</t>
        </is>
      </c>
      <c r="J13" s="28" t="inlineStr">
        <is>
          <t>Batch is reactivated successfully. Active status becomes true in database. The batch appears in active lists.</t>
        </is>
      </c>
      <c r="K13" s="28" t="inlineStr"/>
      <c r="L13" s="24" t="inlineStr">
        <is>
          <t>Not Run</t>
        </is>
      </c>
      <c r="M13" s="25" t="inlineStr">
        <is>
          <t>High</t>
        </is>
      </c>
      <c r="N13" s="28" t="inlineStr">
        <is>
          <t>Related Requirement: M01-F03, Scenario: BS-03</t>
        </is>
      </c>
    </row>
    <row r="14" ht="75" customHeight="1">
      <c r="A14" s="21" t="inlineStr">
        <is>
          <t>TC-M01-013</t>
        </is>
      </c>
      <c r="B14" s="21" t="inlineStr">
        <is>
          <t>Module 01</t>
        </is>
      </c>
      <c r="C14" s="22" t="inlineStr">
        <is>
          <t>M01-F03</t>
        </is>
      </c>
      <c r="D14" s="23" t="inlineStr">
        <is>
          <t>Batch Archiving</t>
        </is>
      </c>
      <c r="E14" s="23" t="inlineStr">
        <is>
          <t>Verify No Permanent Batch Deletion Feature</t>
        </is>
      </c>
      <c r="F14" s="23" t="inlineStr">
        <is>
          <t>Verify that the system does not support permanent deletion of batches to preserve historical records.</t>
        </is>
      </c>
      <c r="G14" s="23" t="inlineStr">
        <is>
          <t>Staff user is logged in. Batch PNV26A exists.</t>
        </is>
      </c>
      <c r="H14" s="23" t="inlineStr">
        <is>
          <t>BatchName=PNV26A</t>
        </is>
      </c>
      <c r="I14" s="23" t="inlineStr">
        <is>
          <t>1. Open Batch Management;
2. View batch PNV26A details or edit form;
3. Check UI for Delete button</t>
        </is>
      </c>
      <c r="J14" s="23" t="inlineStr">
        <is>
          <t>No permanent delete button is available on the interface. Archiving/status toggles are the only status-changing options.</t>
        </is>
      </c>
      <c r="K14" s="23" t="inlineStr"/>
      <c r="L14" s="24" t="inlineStr">
        <is>
          <t>Not Run</t>
        </is>
      </c>
      <c r="M14" s="29" t="inlineStr">
        <is>
          <t>Medium</t>
        </is>
      </c>
      <c r="N14" s="23" t="inlineStr">
        <is>
          <t>Related Requirement: M01-F03, Scenario: BS-03</t>
        </is>
      </c>
    </row>
    <row r="15" ht="180" customHeight="1">
      <c r="A15" s="26" t="inlineStr">
        <is>
          <t>TC-M01-014</t>
        </is>
      </c>
      <c r="B15" s="26" t="inlineStr">
        <is>
          <t>Module 01</t>
        </is>
      </c>
      <c r="C15" s="27" t="inlineStr">
        <is>
          <t>M01-F04</t>
        </is>
      </c>
      <c r="D15" s="28" t="inlineStr">
        <is>
          <t>Single Student Creation</t>
        </is>
      </c>
      <c r="E15" s="28" t="inlineStr">
        <is>
          <t>Create Student Manually with Valid Fields</t>
        </is>
      </c>
      <c r="F15" s="28" t="inlineStr">
        <is>
          <t>Verify that a new student profile can be successfully created manually with all valid fields.</t>
        </is>
      </c>
      <c r="G15" s="28" t="inlineStr">
        <is>
          <t>Staff user is logged in. Batch PNV26A exists.</t>
        </is>
      </c>
      <c r="H15" s="28" t="inlineStr">
        <is>
          <t>StudentCode=ST001; StudentName=Nguyen Van A; DateOfBirth=2006-05-15; Gender=Male; Email=nguyenvana.st26@student.passerellesnumeriques.org; ProfilePhoto=avatar.png; AssociatedBatch=PNV26A</t>
        </is>
      </c>
      <c r="I15" s="28" t="inlineStr">
        <is>
          <t>1. Open Batch Management and select batch PNV26A;
2. Click Add Student;
3. Enter Student Code ST001, Name 'Nguyen Van A';
4. Select Date of Birth 15/05/2006 and Gender Male;
5. Enter Email nguyenvana.st26@student.passerellesnumeriques.org;
6. Upload profile photo;
7. Click Save</t>
        </is>
      </c>
      <c r="J15" s="28" t="inlineStr">
        <is>
          <t>Student profile is created successfully. Success notification appears. The student is active by default and displayed in the batch list.</t>
        </is>
      </c>
      <c r="K15" s="28" t="inlineStr"/>
      <c r="L15" s="24" t="inlineStr">
        <is>
          <t>Not Run</t>
        </is>
      </c>
      <c r="M15" s="25" t="inlineStr">
        <is>
          <t>High</t>
        </is>
      </c>
      <c r="N15" s="28" t="inlineStr">
        <is>
          <t>Related Requirement: M01-F04, Scenario: BS-04</t>
        </is>
      </c>
    </row>
    <row r="16" ht="135" customHeight="1">
      <c r="A16" s="21" t="inlineStr">
        <is>
          <t>TC-M01-015</t>
        </is>
      </c>
      <c r="B16" s="21" t="inlineStr">
        <is>
          <t>Module 01</t>
        </is>
      </c>
      <c r="C16" s="22" t="inlineStr">
        <is>
          <t>M01-F04</t>
        </is>
      </c>
      <c r="D16" s="23" t="inlineStr">
        <is>
          <t>Single Student Creation</t>
        </is>
      </c>
      <c r="E16" s="23" t="inlineStr">
        <is>
          <t>Create Student with Duplicate Student Code</t>
        </is>
      </c>
      <c r="F16" s="23" t="inlineStr">
        <is>
          <t>Verify that manually creating a student with a student code that already exists is blocked.</t>
        </is>
      </c>
      <c r="G16" s="23" t="inlineStr">
        <is>
          <t>Staff user is logged in. Student ST001 exists.</t>
        </is>
      </c>
      <c r="H16" s="23" t="inlineStr">
        <is>
          <t>StudentCode=st001; StudentName=Tran Thi B; Email=tranthib.st26@student.passerellesnumeriques.org; AssociatedBatch=PNV26A</t>
        </is>
      </c>
      <c r="I16" s="23" t="inlineStr">
        <is>
          <t>1. Open Batch Management and select batch PNV26A;
2. Click Add Student;
3. Enter duplicate Student Code st001 (lowercase);
4. Enter Name and Email;
5. Click Save</t>
        </is>
      </c>
      <c r="J16" s="23" t="inlineStr">
        <is>
          <t>System rejects creation. Error message appears: "Duplicate student code: st001."</t>
        </is>
      </c>
      <c r="K16" s="23" t="inlineStr"/>
      <c r="L16" s="24" t="inlineStr">
        <is>
          <t>Not Run</t>
        </is>
      </c>
      <c r="M16" s="25" t="inlineStr">
        <is>
          <t>High</t>
        </is>
      </c>
      <c r="N16" s="23" t="inlineStr">
        <is>
          <t>Related Requirement: M01-F04, Scenario: BS-04</t>
        </is>
      </c>
    </row>
    <row r="17" ht="120" customHeight="1">
      <c r="A17" s="26" t="inlineStr">
        <is>
          <t>TC-M01-016</t>
        </is>
      </c>
      <c r="B17" s="26" t="inlineStr">
        <is>
          <t>Module 01</t>
        </is>
      </c>
      <c r="C17" s="27" t="inlineStr">
        <is>
          <t>M01-F04</t>
        </is>
      </c>
      <c r="D17" s="28" t="inlineStr">
        <is>
          <t>Single Student Creation</t>
        </is>
      </c>
      <c r="E17" s="28" t="inlineStr">
        <is>
          <t>Create Student with Invalid Email Format</t>
        </is>
      </c>
      <c r="F17" s="28" t="inlineStr">
        <is>
          <t>Verify that manually creating a student with an invalid email format is blocked by validation.</t>
        </is>
      </c>
      <c r="G17" s="28" t="inlineStr">
        <is>
          <t>Staff user is logged in.</t>
        </is>
      </c>
      <c r="H17" s="28" t="inlineStr">
        <is>
          <t>StudentCode=ST002; StudentName=Tran Thi B; Email=tranthib.st26@invalid; AssociatedBatch=PNV26A</t>
        </is>
      </c>
      <c r="I17" s="28" t="inlineStr">
        <is>
          <t>1. Open Batch Management and select batch PNV26A;
2. Click Add Student;
3. Enter ST002 and Tran Thi B;
4. Enter email tranthib.st26@invalid;
5. Click Save</t>
        </is>
      </c>
      <c r="J17" s="28" t="inlineStr">
        <is>
          <t>System rejects saving. A validation error message requires a valid email format. Saving is blocked.</t>
        </is>
      </c>
      <c r="K17" s="28" t="inlineStr"/>
      <c r="L17" s="24" t="inlineStr">
        <is>
          <t>Not Run</t>
        </is>
      </c>
      <c r="M17" s="25" t="inlineStr">
        <is>
          <t>High</t>
        </is>
      </c>
      <c r="N17" s="28" t="inlineStr">
        <is>
          <t>Related Requirement: M01-F04, Scenario: BS-04</t>
        </is>
      </c>
    </row>
    <row r="18" ht="105" customHeight="1">
      <c r="A18" s="21" t="inlineStr">
        <is>
          <t>TC-M01-017</t>
        </is>
      </c>
      <c r="B18" s="21" t="inlineStr">
        <is>
          <t>Module 01</t>
        </is>
      </c>
      <c r="C18" s="22" t="inlineStr">
        <is>
          <t>M01-F04</t>
        </is>
      </c>
      <c r="D18" s="23" t="inlineStr">
        <is>
          <t>Single Student Creation</t>
        </is>
      </c>
      <c r="E18" s="23" t="inlineStr">
        <is>
          <t>Create Student with Missing Required Fields</t>
        </is>
      </c>
      <c r="F18" s="23" t="inlineStr">
        <is>
          <t>Verify that manually creating a student fails if required fields like student code or name are missing.</t>
        </is>
      </c>
      <c r="G18" s="23" t="inlineStr">
        <is>
          <t>Staff user is logged in.</t>
        </is>
      </c>
      <c r="H18" s="23" t="inlineStr">
        <is>
          <t>StudentCode=; StudentName=; AssociatedBatch=PNV26A</t>
        </is>
      </c>
      <c r="I18" s="23" t="inlineStr">
        <is>
          <t>1. Open Batch Management and select batch PNV26A;
2. Click Add Student;
3. Leave Student Code and Name empty;
4. Click Save</t>
        </is>
      </c>
      <c r="J18" s="23" t="inlineStr">
        <is>
          <t>System rejects saving. Validation error messages for required fields are displayed. Saving is blocked.</t>
        </is>
      </c>
      <c r="K18" s="23" t="inlineStr"/>
      <c r="L18" s="24" t="inlineStr">
        <is>
          <t>Not Run</t>
        </is>
      </c>
      <c r="M18" s="25" t="inlineStr">
        <is>
          <t>High</t>
        </is>
      </c>
      <c r="N18" s="23" t="inlineStr">
        <is>
          <t>Related Requirement: M01-F04, Scenario: BS-04</t>
        </is>
      </c>
    </row>
    <row r="19" ht="75" customHeight="1">
      <c r="A19" s="26" t="inlineStr">
        <is>
          <t>TC-M01-020</t>
        </is>
      </c>
      <c r="B19" s="26" t="inlineStr">
        <is>
          <t>Module 01</t>
        </is>
      </c>
      <c r="C19" s="27" t="inlineStr">
        <is>
          <t>M01-F05</t>
        </is>
      </c>
      <c r="D19" s="28" t="inlineStr">
        <is>
          <t>Bulk Student Import</t>
        </is>
      </c>
      <c r="E19" s="28" t="inlineStr">
        <is>
          <t>CSV Student Import Fails due to Missing Required Column</t>
        </is>
      </c>
      <c r="F19" s="28" t="inlineStr">
        <is>
          <t>Verify that student bulk import via CSV rejects files missing required columns (e.g. Student Code).</t>
        </is>
      </c>
      <c r="G19" s="28" t="inlineStr">
        <is>
          <t>Staff user is logged in.</t>
        </is>
      </c>
      <c r="H19" s="28" t="inlineStr">
        <is>
          <t>CSV file missing 'Student Code' header column</t>
        </is>
      </c>
      <c r="I19" s="28" t="inlineStr">
        <is>
          <t>1. Open Student CSV Import page;
2. Upload the CSV file missing Student Code;
3. Click Import</t>
        </is>
      </c>
      <c r="J19" s="28" t="inlineStr">
        <is>
          <t>The system rejects the entire CSV file. Error message appears: "Required columns must exist.". No records are imported.</t>
        </is>
      </c>
      <c r="K19" s="28" t="inlineStr"/>
      <c r="L19" s="24" t="inlineStr">
        <is>
          <t>Not Run</t>
        </is>
      </c>
      <c r="M19" s="25" t="inlineStr">
        <is>
          <t>High</t>
        </is>
      </c>
      <c r="N19" s="28" t="inlineStr">
        <is>
          <t>Related Requirement: M01-F05, Scenario: BS-05</t>
        </is>
      </c>
    </row>
    <row r="20" ht="75" customHeight="1">
      <c r="A20" s="21" t="inlineStr">
        <is>
          <t>TC-M01-021</t>
        </is>
      </c>
      <c r="B20" s="21" t="inlineStr">
        <is>
          <t>Module 01</t>
        </is>
      </c>
      <c r="C20" s="22" t="inlineStr">
        <is>
          <t>M01-F05</t>
        </is>
      </c>
      <c r="D20" s="23" t="inlineStr">
        <is>
          <t>Bulk Student Import</t>
        </is>
      </c>
      <c r="E20" s="23" t="inlineStr">
        <is>
          <t>CSV Student Import Fails due to Invalid Email Format</t>
        </is>
      </c>
      <c r="F20" s="23" t="inlineStr">
        <is>
          <t>Verify that bulk import via CSV rejects the file if a student email format is invalid.</t>
        </is>
      </c>
      <c r="G20" s="23" t="inlineStr">
        <is>
          <t>Staff user is logged in.</t>
        </is>
      </c>
      <c r="H20" s="23" t="inlineStr">
        <is>
          <t>CSV file containing a row with email 'hoangvane.st26@invalid_email_domain'</t>
        </is>
      </c>
      <c r="I20" s="23" t="inlineStr">
        <is>
          <t>1. Open Student CSV Import page;
2. Upload the CSV file containing the invalid email;
3. Click Import</t>
        </is>
      </c>
      <c r="J20" s="23" t="inlineStr">
        <is>
          <t>The system rejects the import. Error message appears: "Valid email format" required. No records are updated or created.</t>
        </is>
      </c>
      <c r="K20" s="23" t="inlineStr"/>
      <c r="L20" s="24" t="inlineStr">
        <is>
          <t>Not Run</t>
        </is>
      </c>
      <c r="M20" s="25" t="inlineStr">
        <is>
          <t>High</t>
        </is>
      </c>
      <c r="N20" s="23" t="inlineStr">
        <is>
          <t>Related Requirement: M01-F05, Scenario: BS-05</t>
        </is>
      </c>
    </row>
    <row r="21" ht="120" customHeight="1">
      <c r="A21" s="26" t="inlineStr">
        <is>
          <t>TC-M01-022</t>
        </is>
      </c>
      <c r="B21" s="26" t="inlineStr">
        <is>
          <t>Module 01</t>
        </is>
      </c>
      <c r="C21" s="27" t="inlineStr">
        <is>
          <t>M01-F06</t>
        </is>
      </c>
      <c r="D21" s="28" t="inlineStr">
        <is>
          <t>Student Editing</t>
        </is>
      </c>
      <c r="E21" s="28" t="inlineStr">
        <is>
          <t>Edit Student Profile with Valid Fields</t>
        </is>
      </c>
      <c r="F21" s="28" t="inlineStr">
        <is>
          <t>Verify that staff can successfully edit an existing student profile with valid values.</t>
        </is>
      </c>
      <c r="G21" s="28" t="inlineStr">
        <is>
          <t>Staff user is logged in. Student ST001 exists.</t>
        </is>
      </c>
      <c r="H21" s="28" t="inlineStr">
        <is>
          <t>StudentCode=ST001; NewName=Nguyen Van A Updated; NewEmail=nguyenvana.new@student.passerellesnumeriques.org</t>
        </is>
      </c>
      <c r="I21" s="28" t="inlineStr">
        <is>
          <t>1. Open Batch Management and select student ST001;
2. Click Edit;
3. Change Name to 'Nguyen Van A Updated' and Email to 'nguyenvana.new@student.passerellesnumeriques.org';
4. Click Save</t>
        </is>
      </c>
      <c r="J21" s="28" t="inlineStr">
        <is>
          <t>Student profile is updated successfully. Success notification appears. The new info is displayed immediately in lists.</t>
        </is>
      </c>
      <c r="K21" s="28" t="inlineStr"/>
      <c r="L21" s="24" t="inlineStr">
        <is>
          <t>Not Run</t>
        </is>
      </c>
      <c r="M21" s="25" t="inlineStr">
        <is>
          <t>High</t>
        </is>
      </c>
      <c r="N21" s="28" t="inlineStr">
        <is>
          <t>Related Requirement: M01-F06, Scenario: BS-06</t>
        </is>
      </c>
    </row>
    <row r="22" ht="90" customHeight="1">
      <c r="A22" s="21" t="inlineStr">
        <is>
          <t>TC-M01-023</t>
        </is>
      </c>
      <c r="B22" s="21" t="inlineStr">
        <is>
          <t>Module 01</t>
        </is>
      </c>
      <c r="C22" s="22" t="inlineStr">
        <is>
          <t>M01-F06</t>
        </is>
      </c>
      <c r="D22" s="23" t="inlineStr">
        <is>
          <t>Student Editing</t>
        </is>
      </c>
      <c r="E22" s="23" t="inlineStr">
        <is>
          <t>Edit Student Code to Existing Code Blocked</t>
        </is>
      </c>
      <c r="F22" s="23" t="inlineStr">
        <is>
          <t>Verify that renaming a student code to one that already exists in the system is blocked.</t>
        </is>
      </c>
      <c r="G22" s="23" t="inlineStr">
        <is>
          <t>Staff user is logged in. Students ST001 and ST002 exist.</t>
        </is>
      </c>
      <c r="H22" s="23" t="inlineStr">
        <is>
          <t>TargetStudent=ST002; NewStudentCode=ST001</t>
        </is>
      </c>
      <c r="I22" s="23" t="inlineStr">
        <is>
          <t>1. Open Batch Management and select student ST002;
2. Click Edit;
3. Change Student Code to ST001;
4. Click Save</t>
        </is>
      </c>
      <c r="J22" s="23" t="inlineStr">
        <is>
          <t>System rejects update. Error message appears: "Duplicate student code: ST001."</t>
        </is>
      </c>
      <c r="K22" s="23" t="inlineStr"/>
      <c r="L22" s="24" t="inlineStr">
        <is>
          <t>Not Run</t>
        </is>
      </c>
      <c r="M22" s="25" t="inlineStr">
        <is>
          <t>High</t>
        </is>
      </c>
      <c r="N22" s="23" t="inlineStr">
        <is>
          <t>Related Requirement: M01-F06, Scenario: BS-06</t>
        </is>
      </c>
    </row>
    <row r="23" ht="105" customHeight="1">
      <c r="A23" s="26" t="inlineStr">
        <is>
          <t>TC-M01-024</t>
        </is>
      </c>
      <c r="B23" s="26" t="inlineStr">
        <is>
          <t>Module 01</t>
        </is>
      </c>
      <c r="C23" s="27" t="inlineStr">
        <is>
          <t>M01-F07</t>
        </is>
      </c>
      <c r="D23" s="28" t="inlineStr">
        <is>
          <t>Follow-up Flag</t>
        </is>
      </c>
      <c r="E23" s="28" t="inlineStr">
        <is>
          <t>Toggle Follow-up Flag Instantly</t>
        </is>
      </c>
      <c r="F23" s="28" t="inlineStr">
        <is>
          <t>Verify that the follow-up flag updates immediately on the SPA interface without a page reload.</t>
        </is>
      </c>
      <c r="G23" s="28" t="inlineStr">
        <is>
          <t>Staff user is logged in. Student ST001 is displayed in the student list.</t>
        </is>
      </c>
      <c r="H23" s="28" t="inlineStr">
        <is>
          <t>StudentCode=ST001</t>
        </is>
      </c>
      <c r="I23" s="28" t="inlineStr">
        <is>
          <t>1. Navigate to student list;
2. Locate student ST001;
3. Click the Follow-up flag icon (star or checkbox);
4. Observe the page</t>
        </is>
      </c>
      <c r="J23" s="28" t="inlineStr">
        <is>
          <t>The flag status toggles instantly in the UI with no page reload. Google Sheets database updates the follow-up status immediately.</t>
        </is>
      </c>
      <c r="K23" s="28" t="inlineStr"/>
      <c r="L23" s="24" t="inlineStr">
        <is>
          <t>Not Run</t>
        </is>
      </c>
      <c r="M23" s="25" t="inlineStr">
        <is>
          <t>High</t>
        </is>
      </c>
      <c r="N23" s="28" t="inlineStr">
        <is>
          <t>Related Requirement: M01-F07, Scenario: BS-07</t>
        </is>
      </c>
    </row>
    <row r="24" ht="90" customHeight="1">
      <c r="A24" s="21" t="inlineStr">
        <is>
          <t>TC-M01-025</t>
        </is>
      </c>
      <c r="B24" s="21" t="inlineStr">
        <is>
          <t>Module 01</t>
        </is>
      </c>
      <c r="C24" s="22" t="inlineStr">
        <is>
          <t>M01-F08</t>
        </is>
      </c>
      <c r="D24" s="23" t="inlineStr">
        <is>
          <t>Student Status Management</t>
        </is>
      </c>
      <c r="E24" s="23" t="inlineStr">
        <is>
          <t>Toggle Student Status Active to Inactive</t>
        </is>
      </c>
      <c r="F24" s="23" t="inlineStr">
        <is>
          <t>Verify that toggling student status to Inactive automatically sets Dropout Date to today.</t>
        </is>
      </c>
      <c r="G24" s="23" t="inlineStr">
        <is>
          <t>Staff user is logged in. Student ST001 is Active with no Dropout Date.</t>
        </is>
      </c>
      <c r="H24" s="23" t="inlineStr">
        <is>
          <t>StudentCode=ST001; NewStatus=Inactive</t>
        </is>
      </c>
      <c r="I24" s="23" t="inlineStr">
        <is>
          <t>1. Open ST001 profile and click Edit;
2. Change status to Inactive;
3. Click Save;
4. Open ST001 profile details</t>
        </is>
      </c>
      <c r="J24" s="23" t="inlineStr">
        <is>
          <t>Student status is saved as Inactive. The Dropout Date is automatically set to today's date (e.g. 2026-07-17) without manual input.</t>
        </is>
      </c>
      <c r="K24" s="23" t="inlineStr"/>
      <c r="L24" s="24" t="inlineStr">
        <is>
          <t>Not Run</t>
        </is>
      </c>
      <c r="M24" s="25" t="inlineStr">
        <is>
          <t>High</t>
        </is>
      </c>
      <c r="N24" s="23" t="inlineStr">
        <is>
          <t>Related Requirement: M01-F08, Scenario: BS-08</t>
        </is>
      </c>
    </row>
    <row r="25" ht="90" customHeight="1">
      <c r="A25" s="26" t="inlineStr">
        <is>
          <t>TC-M01-026</t>
        </is>
      </c>
      <c r="B25" s="26" t="inlineStr">
        <is>
          <t>Module 01</t>
        </is>
      </c>
      <c r="C25" s="27" t="inlineStr">
        <is>
          <t>M01-F08</t>
        </is>
      </c>
      <c r="D25" s="28" t="inlineStr">
        <is>
          <t>Student Status Management</t>
        </is>
      </c>
      <c r="E25" s="28" t="inlineStr">
        <is>
          <t>Toggle Student Status Inactive to Active</t>
        </is>
      </c>
      <c r="F25" s="28" t="inlineStr">
        <is>
          <t>Verify that toggling student status to Active automatically clears Dropout Date.</t>
        </is>
      </c>
      <c r="G25" s="28" t="inlineStr">
        <is>
          <t>Staff user is logged in. Student ST001 is Inactive with Dropout Date '2026-07-17'.</t>
        </is>
      </c>
      <c r="H25" s="28" t="inlineStr">
        <is>
          <t>StudentCode=ST001; NewStatus=Active</t>
        </is>
      </c>
      <c r="I25" s="28" t="inlineStr">
        <is>
          <t>1. Open ST001 profile and click Edit;
2. Change status to Active;
3. Click Save;
4. Open ST001 profile details</t>
        </is>
      </c>
      <c r="J25" s="28" t="inlineStr">
        <is>
          <t>Student status is saved as Active. The Dropout Date field is automatically cleared and is now blank.</t>
        </is>
      </c>
      <c r="K25" s="28" t="inlineStr"/>
      <c r="L25" s="24" t="inlineStr">
        <is>
          <t>Not Run</t>
        </is>
      </c>
      <c r="M25" s="25" t="inlineStr">
        <is>
          <t>High</t>
        </is>
      </c>
      <c r="N25" s="28" t="inlineStr">
        <is>
          <t>Related Requirement: M01-F08, Scenario: BS-08</t>
        </is>
      </c>
    </row>
    <row r="26" ht="75" customHeight="1">
      <c r="A26" s="21" t="inlineStr">
        <is>
          <t>TC-M01-027</t>
        </is>
      </c>
      <c r="B26" s="21" t="inlineStr">
        <is>
          <t>Module 01</t>
        </is>
      </c>
      <c r="C26" s="22" t="inlineStr">
        <is>
          <t>M01-F09</t>
        </is>
      </c>
      <c r="D26" s="23" t="inlineStr">
        <is>
          <t>Search &amp; Filter</t>
        </is>
      </c>
      <c r="E26" s="23" t="inlineStr">
        <is>
          <t>Search Student by Name Real-time</t>
        </is>
      </c>
      <c r="F26" s="23" t="inlineStr">
        <is>
          <t>Verify that searching student list by name filters records dynamically in real-time as the user types.</t>
        </is>
      </c>
      <c r="G26" s="23" t="inlineStr">
        <is>
          <t>Staff user is logged in. Student list contains 'Nguyen Van A' and 'Tran Thi B'.</t>
        </is>
      </c>
      <c r="H26" s="23" t="inlineStr">
        <is>
          <t>SearchQuery=Nguyen</t>
        </is>
      </c>
      <c r="I26" s="23" t="inlineStr">
        <is>
          <t>1. Navigate to student list;
2. Place cursor in Search box and type 'Nguyen';
3. Observe student list</t>
        </is>
      </c>
      <c r="J26" s="23" t="inlineStr">
        <is>
          <t>The student list filters dynamically while typing. Tran Thi B is hidden, and Nguyen Van A remains visible. No page reload occurs.</t>
        </is>
      </c>
      <c r="K26" s="23" t="inlineStr"/>
      <c r="L26" s="24" t="inlineStr">
        <is>
          <t>Not Run</t>
        </is>
      </c>
      <c r="M26" s="29" t="inlineStr">
        <is>
          <t>Medium</t>
        </is>
      </c>
      <c r="N26" s="23" t="inlineStr">
        <is>
          <t>Related Requirement: M01-F09, Scenario: BS-09</t>
        </is>
      </c>
    </row>
    <row r="27" ht="90" customHeight="1">
      <c r="A27" s="26" t="inlineStr">
        <is>
          <t>TC-M01-028</t>
        </is>
      </c>
      <c r="B27" s="26" t="inlineStr">
        <is>
          <t>Module 01</t>
        </is>
      </c>
      <c r="C27" s="27" t="inlineStr">
        <is>
          <t>M01-F09</t>
        </is>
      </c>
      <c r="D27" s="28" t="inlineStr">
        <is>
          <t>Search &amp; Filter</t>
        </is>
      </c>
      <c r="E27" s="28" t="inlineStr">
        <is>
          <t>Filter Students by Observation Rating</t>
        </is>
      </c>
      <c r="F27" s="28" t="inlineStr">
        <is>
          <t>Verify that staff can filter students by their observation rating.</t>
        </is>
      </c>
      <c r="G27" s="28" t="inlineStr">
        <is>
          <t>Staff user is logged in. Students exist with different observation ratings.</t>
        </is>
      </c>
      <c r="H27" s="28" t="inlineStr">
        <is>
          <t>RatingFilter=Good</t>
        </is>
      </c>
      <c r="I27" s="28" t="inlineStr">
        <is>
          <t>1. Open student list;
2. Click the Observation Rating filter dropdown;
3. Choose Good;
4. Observe the filtered list</t>
        </is>
      </c>
      <c r="J27" s="28" t="inlineStr">
        <is>
          <t>The student list is filtered to display only students with a "Good" rating. Other students are hidden.</t>
        </is>
      </c>
      <c r="K27" s="28" t="inlineStr"/>
      <c r="L27" s="24" t="inlineStr">
        <is>
          <t>Not Run</t>
        </is>
      </c>
      <c r="M27" s="29" t="inlineStr">
        <is>
          <t>Medium</t>
        </is>
      </c>
      <c r="N27" s="28" t="inlineStr">
        <is>
          <t>Related Requirement: M01-F09, Scenario: BS-09</t>
        </is>
      </c>
    </row>
    <row r="28" ht="105" customHeight="1">
      <c r="A28" s="21" t="inlineStr">
        <is>
          <t>TC-M01-029</t>
        </is>
      </c>
      <c r="B28" s="21" t="inlineStr">
        <is>
          <t>Module 01</t>
        </is>
      </c>
      <c r="C28" s="22" t="inlineStr">
        <is>
          <t>M01-F09</t>
        </is>
      </c>
      <c r="D28" s="23" t="inlineStr">
        <is>
          <t>Search &amp; Filter</t>
        </is>
      </c>
      <c r="E28" s="23" t="inlineStr">
        <is>
          <t>Verify Student List Default Pagination</t>
        </is>
      </c>
      <c r="F28" s="23" t="inlineStr">
        <is>
          <t>Verify that the student list displays exactly 10 students per page by default.</t>
        </is>
      </c>
      <c r="G28" s="23" t="inlineStr">
        <is>
          <t>Staff user is logged in. There are 12 students in the selected batch.</t>
        </is>
      </c>
      <c r="H28" s="23" t="inlineStr">
        <is>
          <t>Batch PNV26A has 12 students.</t>
        </is>
      </c>
      <c r="I28" s="23" t="inlineStr">
        <is>
          <t>1. Navigate to the student list of batch PNV26A;
2. Count the number of students displayed on the first page;
3. Check pagination controls;
4. Click Next Page</t>
        </is>
      </c>
      <c r="J28" s="23" t="inlineStr">
        <is>
          <t>Page 1 displays exactly 10 students. Pagination controls are visible. Clicking Next Page shows the remaining 2 students on page 2.</t>
        </is>
      </c>
      <c r="K28" s="23" t="inlineStr"/>
      <c r="L28" s="24" t="inlineStr">
        <is>
          <t>Not Run</t>
        </is>
      </c>
      <c r="M28" s="29" t="inlineStr">
        <is>
          <t>Medium</t>
        </is>
      </c>
      <c r="N28" s="23" t="inlineStr">
        <is>
          <t>Related Requirement: M01-F09, Scenario: BS-10</t>
        </is>
      </c>
    </row>
    <row r="29" ht="75" customHeight="1">
      <c r="A29" s="26" t="inlineStr">
        <is>
          <t>TC-M01-030</t>
        </is>
      </c>
      <c r="B29" s="26" t="inlineStr">
        <is>
          <t>Module 01</t>
        </is>
      </c>
      <c r="C29" s="27" t="inlineStr">
        <is>
          <t>M01-F10</t>
        </is>
      </c>
      <c r="D29" s="28" t="inlineStr">
        <is>
          <t>Dashboard Overview</t>
        </is>
      </c>
      <c r="E29" s="28" t="inlineStr">
        <is>
          <t>Verify Dashboard Displays Correct Initial Stats and Charts</t>
        </is>
      </c>
      <c r="F29" s="28" t="inlineStr">
        <is>
          <t>Verify that the dashboard screen accurately loads and displays all student and batch metrics.</t>
        </is>
      </c>
      <c r="G29" s="28" t="inlineStr">
        <is>
          <t>Staff user is logged in. System has 2 batches (1 Active, 1 Archived) and 5 students (4 Active, 1 Inactive).</t>
        </is>
      </c>
      <c r="H29" s="28" t="inlineStr">
        <is>
          <t>None</t>
        </is>
      </c>
      <c r="I29" s="28" t="inlineStr">
        <is>
          <t>1. Navigate to the Dashboard Overview page;
2. Observe the statistics cards and charts</t>
        </is>
      </c>
      <c r="J29" s="28" t="inlineStr">
        <is>
          <t>The dashboard displays: Total Batches = 2, Active Batches = 1, Total Students = 5, Active Students = 4, Inactive Students = 1. Charts (Gender, Ethnicity, Status) load successfully.</t>
        </is>
      </c>
      <c r="K29" s="28" t="inlineStr"/>
      <c r="L29" s="24" t="inlineStr">
        <is>
          <t>Not Run</t>
        </is>
      </c>
      <c r="M29" s="29" t="inlineStr">
        <is>
          <t>Medium</t>
        </is>
      </c>
      <c r="N29" s="28" t="inlineStr">
        <is>
          <t>Related Requirement: M01-F10, Scenario: BS-11</t>
        </is>
      </c>
    </row>
    <row r="30" ht="90" customHeight="1">
      <c r="A30" s="21" t="inlineStr">
        <is>
          <t>TC-M01-031</t>
        </is>
      </c>
      <c r="B30" s="21" t="inlineStr">
        <is>
          <t>Module 01</t>
        </is>
      </c>
      <c r="C30" s="22" t="inlineStr">
        <is>
          <t>M01-F10</t>
        </is>
      </c>
      <c r="D30" s="23" t="inlineStr">
        <is>
          <t>Dashboard Overview</t>
        </is>
      </c>
      <c r="E30" s="23" t="inlineStr">
        <is>
          <t>Verify Dashboard Stats Auto-refresh after Data Changes</t>
        </is>
      </c>
      <c r="F30" s="23" t="inlineStr">
        <is>
          <t>Verify that dashboard statistics and charts refresh automatically when data changes.</t>
        </is>
      </c>
      <c r="G30" s="23" t="inlineStr">
        <is>
          <t>Staff user is logged in. Dashboard shows Active Students = 4.</t>
        </is>
      </c>
      <c r="H30" s="23" t="inlineStr">
        <is>
          <t>StudentCode=ST001; NewStatus=Inactive</t>
        </is>
      </c>
      <c r="I30" s="23" t="inlineStr">
        <is>
          <t>1. Navigate to student list and edit ST001 to change status from Active to Inactive;
2. Click Save;
3. Immediately return to the Dashboard</t>
        </is>
      </c>
      <c r="J30" s="23" t="inlineStr">
        <is>
          <t>The dashboard values update without manual page reload: Active Students displays 3, Inactive Students displays 2, and charts adjust accordingly.</t>
        </is>
      </c>
      <c r="K30" s="23" t="inlineStr"/>
      <c r="L30" s="24" t="inlineStr">
        <is>
          <t>Not Run</t>
        </is>
      </c>
      <c r="M30" s="29" t="inlineStr">
        <is>
          <t>Medium</t>
        </is>
      </c>
      <c r="N30" s="23" t="inlineStr">
        <is>
          <t>Related Requirement: M01-F10, Scenario: BS-11</t>
        </is>
      </c>
    </row>
    <row r="31" ht="60" customHeight="1">
      <c r="A31" s="26" t="inlineStr">
        <is>
          <t>TC-M01-032</t>
        </is>
      </c>
      <c r="B31" s="26" t="inlineStr">
        <is>
          <t>Module 01</t>
        </is>
      </c>
      <c r="C31" s="27" t="inlineStr">
        <is>
          <t>M01-SEC</t>
        </is>
      </c>
      <c r="D31" s="28" t="inlineStr">
        <is>
          <t>Access Control &amp; Security</t>
        </is>
      </c>
      <c r="E31" s="28" t="inlineStr">
        <is>
          <t>Staff User Access to Student Management</t>
        </is>
      </c>
      <c r="F31" s="28" t="inlineStr">
        <is>
          <t>Verify that staff users with a valid @passerellesnumeriques.org email domain are granted access to Batch &amp; Student Management.</t>
        </is>
      </c>
      <c r="G31" s="28" t="inlineStr">
        <is>
          <t>User is authenticated with email staff@passerellesnumeriques.org.</t>
        </is>
      </c>
      <c r="H31" s="28" t="inlineStr">
        <is>
          <t>Email=staff@passerellesnumeriques.org</t>
        </is>
      </c>
      <c r="I31" s="28" t="inlineStr">
        <is>
          <t>1. Enter the application URL;
2. Sign in via Google OAuth with account staff@passerellesnumeriques.org</t>
        </is>
      </c>
      <c r="J31" s="28" t="inlineStr">
        <is>
          <t>The user is redirected to the Staff Portal. Full management options (Create Batch, Add Student, Edit, CSV Import) are visible and accessible.</t>
        </is>
      </c>
      <c r="K31" s="28" t="inlineStr"/>
      <c r="L31" s="24" t="inlineStr">
        <is>
          <t>Not Run</t>
        </is>
      </c>
      <c r="M31" s="25" t="inlineStr">
        <is>
          <t>High</t>
        </is>
      </c>
      <c r="N31" s="28" t="inlineStr">
        <is>
          <t>Related Requirement: General Business Rules, Scenario: BS-12</t>
        </is>
      </c>
    </row>
    <row r="32" ht="60" customHeight="1">
      <c r="A32" s="21" t="inlineStr">
        <is>
          <t>TC-M01-033</t>
        </is>
      </c>
      <c r="B32" s="21" t="inlineStr">
        <is>
          <t>Module 01</t>
        </is>
      </c>
      <c r="C32" s="22" t="inlineStr">
        <is>
          <t>M01-SEC</t>
        </is>
      </c>
      <c r="D32" s="23" t="inlineStr">
        <is>
          <t>Access Control &amp; Security</t>
        </is>
      </c>
      <c r="E32" s="23" t="inlineStr">
        <is>
          <t>Student User Access to Student Management Denied</t>
        </is>
      </c>
      <c r="F32" s="23" t="inlineStr">
        <is>
          <t>Verify that students with a @student.passerellesnumeriques.org email are denied management access.</t>
        </is>
      </c>
      <c r="G32" s="23" t="inlineStr">
        <is>
          <t>User is authenticated with email student01@student.passerellesnumeriques.org.</t>
        </is>
      </c>
      <c r="H32" s="23" t="inlineStr">
        <is>
          <t>Email=student01@student.passerellesnumeriques.org</t>
        </is>
      </c>
      <c r="I32" s="23" t="inlineStr">
        <is>
          <t>1. Enter the application URL;
2. Sign in via Google OAuth with account student01@student.passerellesnumeriques.org</t>
        </is>
      </c>
      <c r="J32" s="23" t="inlineStr">
        <is>
          <t>The user is redirected to the Student Portal. Management buttons and options are hidden. Direct URL routing to staff pages displays "Access Denied".</t>
        </is>
      </c>
      <c r="K32" s="23" t="inlineStr"/>
      <c r="L32" s="24" t="inlineStr">
        <is>
          <t>Not Run</t>
        </is>
      </c>
      <c r="M32" s="25" t="inlineStr">
        <is>
          <t>High</t>
        </is>
      </c>
      <c r="N32" s="23" t="inlineStr">
        <is>
          <t>Related Requirement: General Business Rules, Scenario: BS-12</t>
        </is>
      </c>
    </row>
    <row r="33" ht="90" customHeight="1">
      <c r="A33" s="26" t="inlineStr">
        <is>
          <t>TC-M01-018</t>
        </is>
      </c>
      <c r="B33" s="26" t="inlineStr">
        <is>
          <t>Module 01</t>
        </is>
      </c>
      <c r="C33" s="27" t="inlineStr">
        <is>
          <t>M01-F05</t>
        </is>
      </c>
      <c r="D33" s="28" t="inlineStr">
        <is>
          <t>Bulk Student Import</t>
        </is>
      </c>
      <c r="E33" s="28" t="inlineStr">
        <is>
          <t>CSV Student Import Upsert</t>
        </is>
      </c>
      <c r="F33" s="28" t="inlineStr">
        <is>
          <t>Verify that bulk student import via CSV updates existing profiles and creates new profiles (Upsert behavior).</t>
        </is>
      </c>
      <c r="G33" s="28" t="inlineStr">
        <is>
          <t>Staff user is logged in. Student ST001 already exists; batch PNV26A exists.</t>
        </is>
      </c>
      <c r="H33" s="28" t="inlineStr">
        <is>
          <t>CSV row: ST001,Nguyen Van A Updated,2006-05-15,Male,nguyenvana.new@student.passerellesnumeriques.org,AssociatedBatch=PNV26A and ST003,Le Van C,2006-08-20,Male,levanc.st26@student.passerellesnumeriques.org,AssociatedBatch=PNV26A</t>
        </is>
      </c>
      <c r="I33" s="28" t="inlineStr">
        <is>
          <t>1. Go to CSV Import page;
2. Upload CSV containing update row for ST001 and new row for ST003;
3. Click Import</t>
        </is>
      </c>
      <c r="J33" s="28" t="inlineStr">
        <is>
          <t>Import completes successfully. Message displays "Import successful. 1 student updated, 1 student created.". ST001 displays new name and ST003 appears in list.</t>
        </is>
      </c>
      <c r="K33" s="28" t="inlineStr"/>
      <c r="L33" s="24" t="inlineStr">
        <is>
          <t>Not Run</t>
        </is>
      </c>
      <c r="M33" s="25" t="inlineStr">
        <is>
          <t>High</t>
        </is>
      </c>
      <c r="N33" s="28" t="inlineStr">
        <is>
          <t>Related Requirement: M01-F05, Scenario: BS-05</t>
        </is>
      </c>
    </row>
    <row r="34" ht="60" customHeight="1">
      <c r="A34" s="21" t="inlineStr">
        <is>
          <t>TC-M01-019</t>
        </is>
      </c>
      <c r="B34" s="21" t="inlineStr">
        <is>
          <t>Module 01</t>
        </is>
      </c>
      <c r="C34" s="22" t="inlineStr">
        <is>
          <t>M01-F05</t>
        </is>
      </c>
      <c r="D34" s="23" t="inlineStr">
        <is>
          <t>Bulk Student Import</t>
        </is>
      </c>
      <c r="E34" s="23" t="inlineStr">
        <is>
          <t>CSV Student Import Rejects Duplicate Student Codes</t>
        </is>
      </c>
      <c r="F34" s="23" t="inlineStr">
        <is>
          <t>Verify that student bulk import via CSV rejects imports with duplicate student codes within the file.</t>
        </is>
      </c>
      <c r="G34" s="23" t="inlineStr">
        <is>
          <t>Staff user is logged in.</t>
        </is>
      </c>
      <c r="H34" s="23" t="inlineStr">
        <is>
          <t>CSV containing two rows with student code ST004</t>
        </is>
      </c>
      <c r="I34" s="23" t="inlineStr">
        <is>
          <t>1. Go to CSV Import page;
2. Upload CSV with duplicate ST004;
3. Click Import</t>
        </is>
      </c>
      <c r="J34" s="23" t="inlineStr">
        <is>
          <t>The system rejects the entire CSV file. Error message appears: "Duplicate student code: ST004.". No records are imported.</t>
        </is>
      </c>
      <c r="K34" s="23" t="inlineStr"/>
      <c r="L34" s="24" t="inlineStr">
        <is>
          <t>Not Run</t>
        </is>
      </c>
      <c r="M34" s="25" t="inlineStr">
        <is>
          <t>High</t>
        </is>
      </c>
      <c r="N34" s="23" t="inlineStr">
        <is>
          <t>Related Requirement: M01-F05, Scenario: BS-05</t>
        </is>
      </c>
    </row>
    <row r="35" ht="90" customHeight="1">
      <c r="A35" s="26" t="inlineStr">
        <is>
          <t>TC-M01-034</t>
        </is>
      </c>
      <c r="B35" s="26" t="inlineStr">
        <is>
          <t>Module 01</t>
        </is>
      </c>
      <c r="C35" s="27" t="inlineStr">
        <is>
          <t>M01-SEC</t>
        </is>
      </c>
      <c r="D35" s="28" t="inlineStr">
        <is>
          <t>Access Control &amp; Security</t>
        </is>
      </c>
      <c r="E35" s="28" t="inlineStr">
        <is>
          <t>Unknown Email Domain Access Denied</t>
        </is>
      </c>
      <c r="F35" s="28" t="inlineStr">
        <is>
          <t>Verify that users with non-permitted email domains are completely blocked from accessing the system.</t>
        </is>
      </c>
      <c r="G35" s="28" t="inlineStr">
        <is>
          <t>User is authenticated with email testuser@gmail.com.</t>
        </is>
      </c>
      <c r="H35" s="28" t="inlineStr">
        <is>
          <t>Email=testuser@gmail.com</t>
        </is>
      </c>
      <c r="I35" s="28" t="inlineStr">
        <is>
          <t>1. Enter the application URL;
2. Sign in via Google OAuth with account testuser@gmail.com;
3. Observe the system response</t>
        </is>
      </c>
      <c r="J35" s="28" t="inlineStr">
        <is>
          <t>Login fails or the screen displays an "Access Denied" message. The user is not redirected to either the Staff or Student Portal.</t>
        </is>
      </c>
      <c r="K35" s="28" t="inlineStr"/>
      <c r="L35" s="24" t="inlineStr">
        <is>
          <t>Not Run</t>
        </is>
      </c>
      <c r="M35" s="25" t="inlineStr">
        <is>
          <t>High</t>
        </is>
      </c>
      <c r="N35" s="28" t="inlineStr">
        <is>
          <t>Related Requirement: General Business Rules, Authorization</t>
        </is>
      </c>
    </row>
    <row r="36" ht="135" customHeight="1">
      <c r="A36" s="21" t="inlineStr">
        <is>
          <t>TC-M01-035</t>
        </is>
      </c>
      <c r="B36" s="21" t="inlineStr">
        <is>
          <t>Module 01</t>
        </is>
      </c>
      <c r="C36" s="22" t="inlineStr">
        <is>
          <t>M01-F04</t>
        </is>
      </c>
      <c r="D36" s="23" t="inlineStr">
        <is>
          <t>Single Student Creation</t>
        </is>
      </c>
      <c r="E36" s="23" t="inlineStr">
        <is>
          <t>Create Student Fails due to Missing Associated Batch</t>
        </is>
      </c>
      <c r="F36" s="23" t="inlineStr">
        <is>
          <t>Verify that manually creating a student requires selecting an Associated Batch.</t>
        </is>
      </c>
      <c r="G36" s="23" t="inlineStr">
        <is>
          <t>Staff user is logged in.</t>
        </is>
      </c>
      <c r="H36" s="23" t="inlineStr">
        <is>
          <t>StudentCode=ST099; StudentName=Nguyen Van Test; AssociatedBatch=Empty</t>
        </is>
      </c>
      <c r="I36" s="23" t="inlineStr">
        <is>
          <t>1. Open Batch Management;
2. Click Add Student;
3. Enter Student Code 'ST099' and Name 'Nguyen Van Test';
4. Leave Associated Batch selection empty;
5. Click Save</t>
        </is>
      </c>
      <c r="J36" s="23" t="inlineStr">
        <is>
          <t>The system blocks saving and displays a validation error "Associated Batch is required". The batch dropdown is highlighted in red.</t>
        </is>
      </c>
      <c r="K36" s="23" t="inlineStr"/>
      <c r="L36" s="24" t="inlineStr">
        <is>
          <t>Not Run</t>
        </is>
      </c>
      <c r="M36" s="25" t="inlineStr">
        <is>
          <t>High</t>
        </is>
      </c>
      <c r="N36" s="23" t="inlineStr">
        <is>
          <t>Related Requirement: M01-F04, Validation Rules</t>
        </is>
      </c>
    </row>
    <row r="37" ht="75" customHeight="1">
      <c r="A37" s="26" t="inlineStr">
        <is>
          <t>TC-M01-036</t>
        </is>
      </c>
      <c r="B37" s="26" t="inlineStr">
        <is>
          <t>Module 01</t>
        </is>
      </c>
      <c r="C37" s="27" t="inlineStr">
        <is>
          <t>M01-F05</t>
        </is>
      </c>
      <c r="D37" s="28" t="inlineStr">
        <is>
          <t>Bulk Student Import</t>
        </is>
      </c>
      <c r="E37" s="28" t="inlineStr">
        <is>
          <t>CSV Student Import Fails due to Blank Name</t>
        </is>
      </c>
      <c r="F37" s="28" t="inlineStr">
        <is>
          <t>Verify that bulk import via CSV blocks saving if student name is empty.</t>
        </is>
      </c>
      <c r="G37" s="28" t="inlineStr">
        <is>
          <t>Staff user is logged in.</t>
        </is>
      </c>
      <c r="H37" s="28" t="inlineStr">
        <is>
          <t>CSV contains row: ST006,,2006-08-20,Male,student06@student.passerellesnumeriques.org (blank name)</t>
        </is>
      </c>
      <c r="I37" s="28" t="inlineStr">
        <is>
          <t>1. Go to CSV Import page;
2. Upload the CSV file with blank name;
3. Click Import</t>
        </is>
      </c>
      <c r="J37" s="28" t="inlineStr">
        <is>
          <t>The system rejects the entire CSV file with error message "Student Name is required". No records are updated in database.</t>
        </is>
      </c>
      <c r="K37" s="28" t="inlineStr"/>
      <c r="L37" s="24" t="inlineStr">
        <is>
          <t>Not Run</t>
        </is>
      </c>
      <c r="M37" s="25" t="inlineStr">
        <is>
          <t>High</t>
        </is>
      </c>
      <c r="N37" s="28" t="inlineStr">
        <is>
          <t>Related Requirement: M01-F05, Validation Rules</t>
        </is>
      </c>
    </row>
    <row r="38" ht="75" customHeight="1">
      <c r="A38" s="21" t="inlineStr">
        <is>
          <t>TC-M01-037</t>
        </is>
      </c>
      <c r="B38" s="21" t="inlineStr">
        <is>
          <t>Module 01</t>
        </is>
      </c>
      <c r="C38" s="22" t="inlineStr">
        <is>
          <t>M01-F09</t>
        </is>
      </c>
      <c r="D38" s="23" t="inlineStr">
        <is>
          <t>Search &amp; Filter</t>
        </is>
      </c>
      <c r="E38" s="23" t="inlineStr">
        <is>
          <t>Search Student Case Insensitivity</t>
        </is>
      </c>
      <c r="F38" s="23" t="inlineStr">
        <is>
          <t>Verify that student search filters correctly regardless of character casing.</t>
        </is>
      </c>
      <c r="G38" s="23" t="inlineStr">
        <is>
          <t>Staff user is logged in. Batch PNV26A contains student 'Nguyen Van A'.</t>
        </is>
      </c>
      <c r="H38" s="23" t="inlineStr">
        <is>
          <t>SearchQuery=nguyen van a</t>
        </is>
      </c>
      <c r="I38" s="23" t="inlineStr">
        <is>
          <t>1. Open student list;
2. Enter 'nguyen van a' (all lowercase) in the search box;
3. Verify matching result</t>
        </is>
      </c>
      <c r="J38" s="23" t="inlineStr">
        <is>
          <t>The student list filters and displays 'Nguyen Van A', proving search is case-insensitive.</t>
        </is>
      </c>
      <c r="K38" s="23" t="inlineStr"/>
      <c r="L38" s="24" t="inlineStr">
        <is>
          <t>Not Run</t>
        </is>
      </c>
      <c r="M38" s="29" t="inlineStr">
        <is>
          <t>Medium</t>
        </is>
      </c>
      <c r="N38" s="23" t="inlineStr">
        <is>
          <t>Related Requirement: M01-F09, Search &amp; Filter</t>
        </is>
      </c>
    </row>
    <row r="39" ht="90" customHeight="1">
      <c r="A39" s="26" t="inlineStr">
        <is>
          <t>TC-M01-038</t>
        </is>
      </c>
      <c r="B39" s="26" t="inlineStr">
        <is>
          <t>Module 01</t>
        </is>
      </c>
      <c r="C39" s="27" t="inlineStr">
        <is>
          <t>M01-F06</t>
        </is>
      </c>
      <c r="D39" s="28" t="inlineStr">
        <is>
          <t>Student Editing</t>
        </is>
      </c>
      <c r="E39" s="28" t="inlineStr">
        <is>
          <t>Edit Student Email to Invalid Format Blocked</t>
        </is>
      </c>
      <c r="F39" s="28" t="inlineStr">
        <is>
          <t>Verify that editing a student's email to an invalid format is blocked.</t>
        </is>
      </c>
      <c r="G39" s="28" t="inlineStr">
        <is>
          <t>Staff user is logged in. Student ST001 exists.</t>
        </is>
      </c>
      <c r="H39" s="28" t="inlineStr">
        <is>
          <t>StudentCode=ST001; NewEmail=nguyenvana_invalid_email</t>
        </is>
      </c>
      <c r="I39" s="28" t="inlineStr">
        <is>
          <t>1. Open student list;
2. Select ST001 and click Edit;
3. Change email to 'nguyenvana_invalid_email';
4. Click Save</t>
        </is>
      </c>
      <c r="J39" s="28" t="inlineStr">
        <is>
          <t>The system blocks saving and displays a validation error message requiring a valid email format. The email field is highlighted in red.</t>
        </is>
      </c>
      <c r="K39" s="28" t="inlineStr"/>
      <c r="L39" s="24" t="inlineStr">
        <is>
          <t>Not Run</t>
        </is>
      </c>
      <c r="M39" s="25" t="inlineStr">
        <is>
          <t>High</t>
        </is>
      </c>
      <c r="N39" s="28" t="inlineStr">
        <is>
          <t>Related Requirement: M01-F06, Validation Rules</t>
        </is>
      </c>
    </row>
    <row r="40" ht="75" customHeight="1">
      <c r="A40" s="21" t="inlineStr">
        <is>
          <t>TC-M01-039</t>
        </is>
      </c>
      <c r="B40" s="21" t="inlineStr">
        <is>
          <t>Module 01</t>
        </is>
      </c>
      <c r="C40" s="22" t="inlineStr">
        <is>
          <t>M01-F05</t>
        </is>
      </c>
      <c r="D40" s="23" t="inlineStr">
        <is>
          <t>Bulk Student Import</t>
        </is>
      </c>
      <c r="E40" s="23" t="inlineStr">
        <is>
          <t>CSV Student Import Blocked due to Duplicate Student Code in Another Batch</t>
        </is>
      </c>
      <c r="F40" s="23" t="inlineStr">
        <is>
          <t>Verify that CSV student import rejects student codes that are already in use in other batches.</t>
        </is>
      </c>
      <c r="G40" s="23" t="inlineStr">
        <is>
          <t>Student ST001 exists in batch PNV26A. Batch PNV26B has no students.</t>
        </is>
      </c>
      <c r="H40" s="23" t="inlineStr">
        <is>
          <t>CSV file for batch PNV26B containing row: ST001,Le Van C,2006-08-20,Male,levanc.st26@student.passerellesnumeriques.org</t>
        </is>
      </c>
      <c r="I40" s="23" t="inlineStr">
        <is>
          <t>1. Go to CSV Import page for batch PNV26B;
2. Upload CSV containing student ST001;
3. Click Import</t>
        </is>
      </c>
      <c r="J40" s="23" t="inlineStr">
        <is>
          <t>The system rejects the import and displays error message "Duplicate student code: ST001.". No students are added.</t>
        </is>
      </c>
      <c r="K40" s="23" t="inlineStr"/>
      <c r="L40" s="24" t="inlineStr">
        <is>
          <t>Not Run</t>
        </is>
      </c>
      <c r="M40" s="25" t="inlineStr">
        <is>
          <t>High</t>
        </is>
      </c>
      <c r="N40" s="23" t="inlineStr">
        <is>
          <t>Related Requirement: M01-F05, Student Code Uniqueness</t>
        </is>
      </c>
    </row>
  </sheetData>
  <autoFilter ref="A1:N40"/>
  <dataValidations count="2">
    <dataValidation sqref="L2:L140" showDropDown="0" showInputMessage="0" showErrorMessage="0" allowBlank="1" errorTitle="Invalid Status" error="Please select a valid state: Passed, Failed, or Not Run" type="list">
      <formula1>"Passed,Failed,Not Run"</formula1>
    </dataValidation>
    <dataValidation sqref="M2:M140"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TC-M02-001</t>
        </is>
      </c>
      <c r="B2" s="21" t="inlineStr">
        <is>
          <t>Module 02</t>
        </is>
      </c>
      <c r="C2" s="22" t="inlineStr">
        <is>
          <t>M02-F01</t>
        </is>
      </c>
      <c r="D2" s="23" t="inlineStr">
        <is>
          <t>Single Observation Entry</t>
        </is>
      </c>
      <c r="E2" s="23" t="inlineStr">
        <is>
          <t>Record Single Student Observation with Valid Ratings</t>
        </is>
      </c>
      <c r="F2" s="23" t="inlineStr">
        <is>
          <t>Verify that staff can record observations for a single student across all four subjects with valid ratings (G, S, NI).</t>
        </is>
      </c>
      <c r="G2" s="23" t="inlineStr">
        <is>
          <t>Staff user is logged in. Batch PNV26A and student ST001 exist.</t>
        </is>
      </c>
      <c r="H2" s="23" t="inlineStr">
        <is>
          <t>Student=ST001; Date=2026-07-17; IT_Rating=G; IT_Notes=Excellent coding skills; PLT_Rating=S; PLT_Notes=Active participation; English_Rating=NI; English_Notes=Needs vocabulary practice; DA_Rating=S; DA_Notes=Good design sense</t>
        </is>
      </c>
      <c r="I2" s="23" t="inlineStr">
        <is>
          <t>1. Open Scan Management;
2. Select Batch PNV26A and Student ST001;
3. Select Observation Date: 17/07/2026;
4. For IT, select rating G and enter notes 'Excellent coding skills';
5. For PLT, select rating S and enter notes 'Active participation';
6. For English, select rating NI and enter notes 'Needs vocabulary practice';
7. For DA, select rating S and enter notes 'Good design sense';
8. Click Save</t>
        </is>
      </c>
      <c r="J2" s="23" t="inlineStr">
        <is>
          <t>Observation is saved successfully. A success message appears. The student's record is displayed in the list with correct ratings and notes.</t>
        </is>
      </c>
      <c r="K2" s="23" t="inlineStr"/>
      <c r="L2" s="24" t="inlineStr">
        <is>
          <t>Not Run</t>
        </is>
      </c>
      <c r="M2" s="25" t="inlineStr">
        <is>
          <t>High</t>
        </is>
      </c>
      <c r="N2" s="23" t="inlineStr">
        <is>
          <t>Related Requirement: M02-F01, Scenario: SC-01</t>
        </is>
      </c>
    </row>
    <row r="3" ht="135" customHeight="1">
      <c r="A3" s="26" t="inlineStr">
        <is>
          <t>TC-M02-002</t>
        </is>
      </c>
      <c r="B3" s="26" t="inlineStr">
        <is>
          <t>Module 02</t>
        </is>
      </c>
      <c r="C3" s="27" t="inlineStr">
        <is>
          <t>M02-F01</t>
        </is>
      </c>
      <c r="D3" s="28" t="inlineStr">
        <is>
          <t>Single Observation Entry</t>
        </is>
      </c>
      <c r="E3" s="28" t="inlineStr">
        <is>
          <t>Record Single Student Observation with Empty Ratings</t>
        </is>
      </c>
      <c r="F3" s="28" t="inlineStr">
        <is>
          <t>Verify that staff can record observations with ratings set to '-' (Not Yet Assessed) and notes empty.</t>
        </is>
      </c>
      <c r="G3" s="28" t="inlineStr">
        <is>
          <t>Staff user is logged in. Batch PNV26A and student ST001 exist.</t>
        </is>
      </c>
      <c r="H3" s="28" t="inlineStr">
        <is>
          <t>Student=ST001; Date=2026-07-17; Ratings='-'; Notes=''</t>
        </is>
      </c>
      <c r="I3" s="28" t="inlineStr">
        <is>
          <t>1. Open Scan Management;
2. Select Batch PNV26A and Student ST001;
3. Select Observation Date: 17/07/2026;
4. Leave all subject ratings as '-' and notes empty;
5. Click Save</t>
        </is>
      </c>
      <c r="J3" s="28" t="inlineStr">
        <is>
          <t>Observation is saved successfully. The ratings are stored as empty/unassessed in the database. No validation error occurs.</t>
        </is>
      </c>
      <c r="K3" s="28" t="inlineStr"/>
      <c r="L3" s="24" t="inlineStr">
        <is>
          <t>Not Run</t>
        </is>
      </c>
      <c r="M3" s="25" t="inlineStr">
        <is>
          <t>High</t>
        </is>
      </c>
      <c r="N3" s="28" t="inlineStr">
        <is>
          <t>Related Requirement: M02-F01, Scenario: SC-01</t>
        </is>
      </c>
    </row>
    <row r="4" ht="135" customHeight="1">
      <c r="A4" s="21" t="inlineStr">
        <is>
          <t>TC-M02-003</t>
        </is>
      </c>
      <c r="B4" s="21" t="inlineStr">
        <is>
          <t>Module 02</t>
        </is>
      </c>
      <c r="C4" s="22" t="inlineStr">
        <is>
          <t>M02-F01</t>
        </is>
      </c>
      <c r="D4" s="23" t="inlineStr">
        <is>
          <t>Single Observation Entry</t>
        </is>
      </c>
      <c r="E4" s="23" t="inlineStr">
        <is>
          <t>Record Single Student Observation with Invalid Rating</t>
        </is>
      </c>
      <c r="F4" s="23" t="inlineStr">
        <is>
          <t>Verify that entering an invalid rating (other than G, S, NI, or Empty) is blocked by validation.</t>
        </is>
      </c>
      <c r="G4" s="23" t="inlineStr">
        <is>
          <t>Staff user is logged in. Batch PNV26A and student ST001 exist.</t>
        </is>
      </c>
      <c r="H4" s="23" t="inlineStr">
        <is>
          <t>Student=ST001; Date=2026-07-17; IT_Rating=A; IT_Notes=Invalid rating value</t>
        </is>
      </c>
      <c r="I4" s="23" t="inlineStr">
        <is>
          <t>1. Open Scan Management;
2. Select Batch PNV26A and Student ST001;
3. Enter Observation Date: 17/07/2026;
4. Attempt to input invalid rating 'A' for IT;
5. Observe UI or click Save</t>
        </is>
      </c>
      <c r="J4" s="23" t="inlineStr">
        <is>
          <t>The system prevents saving. The UI dropdown restricts selection to only G, S, NI, and '-', or displays a validation error if raw data is submitted.</t>
        </is>
      </c>
      <c r="K4" s="23" t="inlineStr"/>
      <c r="L4" s="24" t="inlineStr">
        <is>
          <t>Not Run</t>
        </is>
      </c>
      <c r="M4" s="25" t="inlineStr">
        <is>
          <t>High</t>
        </is>
      </c>
      <c r="N4" s="23" t="inlineStr">
        <is>
          <t>Related Requirement: M02-F01, Scenario: SC-01, Validation Rules</t>
        </is>
      </c>
    </row>
    <row r="5" ht="135" customHeight="1">
      <c r="A5" s="26" t="inlineStr">
        <is>
          <t>TC-M02-004</t>
        </is>
      </c>
      <c r="B5" s="26" t="inlineStr">
        <is>
          <t>Module 02</t>
        </is>
      </c>
      <c r="C5" s="27" t="inlineStr">
        <is>
          <t>M02-F02</t>
        </is>
      </c>
      <c r="D5" s="28" t="inlineStr">
        <is>
          <t>Auto Rating Suggestion</t>
        </is>
      </c>
      <c r="E5" s="28" t="inlineStr">
        <is>
          <t>Auto Rating Suggestion Triggered After Typing Notes</t>
        </is>
      </c>
      <c r="F5" s="28" t="inlineStr">
        <is>
          <t>Verify that the system suggests a performance rating (G, S, or NI) approximately 400ms after user stops typing notes.</t>
        </is>
      </c>
      <c r="G5" s="28" t="inlineStr">
        <is>
          <t>Staff user is logged in.</t>
        </is>
      </c>
      <c r="H5" s="28" t="inlineStr">
        <is>
          <t>Subject=IT; Notes='The student solved all problems quickly and helped other classmates.'</t>
        </is>
      </c>
      <c r="I5" s="28" t="inlineStr">
        <is>
          <t>1. Open observation entry for IT;
2. Start typing the notes: 'The student solved all problems quickly and helped other classmates.';
3. Stop typing and wait for 400 milliseconds;
4. Observe the rating selector</t>
        </is>
      </c>
      <c r="J5" s="28" t="inlineStr">
        <is>
          <t>An auto-rating suggestion (G/excellent) is automatically selected or suggested adjacent to the rating field after 400ms of inactivity.</t>
        </is>
      </c>
      <c r="K5" s="28" t="inlineStr"/>
      <c r="L5" s="24" t="inlineStr">
        <is>
          <t>Not Run</t>
        </is>
      </c>
      <c r="M5" s="25" t="inlineStr">
        <is>
          <t>High</t>
        </is>
      </c>
      <c r="N5" s="28" t="inlineStr">
        <is>
          <t>Related Requirement: M02-F02, Scenario: SC-02</t>
        </is>
      </c>
    </row>
    <row r="6" ht="120" customHeight="1">
      <c r="A6" s="21" t="inlineStr">
        <is>
          <t>TC-M02-005</t>
        </is>
      </c>
      <c r="B6" s="21" t="inlineStr">
        <is>
          <t>Module 02</t>
        </is>
      </c>
      <c r="C6" s="22" t="inlineStr">
        <is>
          <t>M02-F02</t>
        </is>
      </c>
      <c r="D6" s="23" t="inlineStr">
        <is>
          <t>Auto Rating Suggestion</t>
        </is>
      </c>
      <c r="E6" s="23" t="inlineStr">
        <is>
          <t>Overwrite Auto Rating Suggestion</t>
        </is>
      </c>
      <c r="F6" s="23" t="inlineStr">
        <is>
          <t>Verify that staff members can manually overwrite an auto-suggested rating.</t>
        </is>
      </c>
      <c r="G6" s="23" t="inlineStr">
        <is>
          <t>Staff user is logged in. System has suggested rating 'G' after notes were typed.</t>
        </is>
      </c>
      <c r="H6" s="23" t="inlineStr">
        <is>
          <t>Subject=IT; Notes='Good work but missed classes'; SuggestedRating=G; OverwrittenRating=S</t>
        </is>
      </c>
      <c r="I6" s="23" t="inlineStr">
        <is>
          <t>1. Type notes that trigger a 'G' suggestion;
2. Wait for the suggestion to appear;
3. Click the rating dropdown and manually change the rating to 'S';
4. Click Save</t>
        </is>
      </c>
      <c r="J6" s="23" t="inlineStr">
        <is>
          <t>The manually selected rating 'S' replaces the suggestion 'G'. The record is saved successfully with rating 'S'.</t>
        </is>
      </c>
      <c r="K6" s="23" t="inlineStr"/>
      <c r="L6" s="24" t="inlineStr">
        <is>
          <t>Not Run</t>
        </is>
      </c>
      <c r="M6" s="25" t="inlineStr">
        <is>
          <t>High</t>
        </is>
      </c>
      <c r="N6" s="23" t="inlineStr">
        <is>
          <t>Related Requirement: M02-F02, Scenario: SC-02</t>
        </is>
      </c>
    </row>
    <row r="7" ht="150" customHeight="1">
      <c r="A7" s="26" t="inlineStr">
        <is>
          <t>TC-M02-006</t>
        </is>
      </c>
      <c r="B7" s="26" t="inlineStr">
        <is>
          <t>Module 02</t>
        </is>
      </c>
      <c r="C7" s="27" t="inlineStr">
        <is>
          <t>M02-F03</t>
        </is>
      </c>
      <c r="D7" s="28" t="inlineStr">
        <is>
          <t>Batch Entry – All Subjects</t>
        </is>
      </c>
      <c r="E7" s="28" t="inlineStr">
        <is>
          <t>Batch Entry for All Subjects simultaneously</t>
        </is>
      </c>
      <c r="F7" s="28" t="inlineStr">
        <is>
          <t>Verify that staff can record observations for multiple students across all subjects simultaneously using spreadsheet-style entry.</t>
        </is>
      </c>
      <c r="G7" s="28" t="inlineStr">
        <is>
          <t>Staff user is logged in. Batch PNV26A contains multiple active students (ST001, ST002).</t>
        </is>
      </c>
      <c r="H7" s="28" t="inlineStr">
        <is>
          <t>Grid of ratings and notes for ST001 and ST002.</t>
        </is>
      </c>
      <c r="I7" s="28" t="inlineStr">
        <is>
          <t>1. Open Scan Management and choose Batch Entry - All Subjects;
2. Select Batch PNV26A and Date: 17/07/2026;
3. On the grid, enter ratings and notes for ST001 (IT=G, PLT=S, English=S, DA=S) and ST002 (IT=S, PLT=NI, English=S, DA=S);
4. Click Save All</t>
        </is>
      </c>
      <c r="J7" s="28" t="inlineStr">
        <is>
          <t>System save successfully toan bo du lieu nhan xet cung mot luc. Hien thi notification save successfully (e.g.: "Saved 2 students"). Du lieu display chinh xac trong danh sach.</t>
        </is>
      </c>
      <c r="K7" s="28" t="inlineStr"/>
      <c r="L7" s="24" t="inlineStr">
        <is>
          <t>Not Run</t>
        </is>
      </c>
      <c r="M7" s="25" t="inlineStr">
        <is>
          <t>High</t>
        </is>
      </c>
      <c r="N7" s="28" t="inlineStr">
        <is>
          <t>Related Requirement: M02-F03, Scenario: SC-03</t>
        </is>
      </c>
    </row>
    <row r="8" ht="135" customHeight="1">
      <c r="A8" s="21" t="inlineStr">
        <is>
          <t>TC-M02-007</t>
        </is>
      </c>
      <c r="B8" s="21" t="inlineStr">
        <is>
          <t>Module 02</t>
        </is>
      </c>
      <c r="C8" s="22" t="inlineStr">
        <is>
          <t>M02-F04</t>
        </is>
      </c>
      <c r="D8" s="23" t="inlineStr">
        <is>
          <t>Batch Entry – By Subject</t>
        </is>
      </c>
      <c r="E8" s="23" t="inlineStr">
        <is>
          <t>Batch Entry by Subject</t>
        </is>
      </c>
      <c r="F8" s="23" t="inlineStr">
        <is>
          <t>Verify that teachers can enter observations for a single subject for multiple students in batch mode.</t>
        </is>
      </c>
      <c r="G8" s="23" t="inlineStr">
        <is>
          <t>Staff user is logged in.</t>
        </is>
      </c>
      <c r="H8" s="23" t="inlineStr">
        <is>
          <t>Subject=English; Ratings and notes for ST001, ST002, ST003.</t>
        </is>
      </c>
      <c r="I8" s="23" t="inlineStr">
        <is>
          <t>1. Open Scan Management and choose Batch Entry - By Subject;
2. Select Batch PNV26A, Date: 17/07/2026, and Subject: English;
3. Fill ratings and notes for English for ST001, ST002, and ST003;
4. Click Save</t>
        </is>
      </c>
      <c r="J8" s="23" t="inlineStr">
        <is>
          <t>English observations are saved successfully for all selected students. Other subjects (IT, PLT, DA) for these students remain unaffected.</t>
        </is>
      </c>
      <c r="K8" s="23" t="inlineStr"/>
      <c r="L8" s="24" t="inlineStr">
        <is>
          <t>Not Run</t>
        </is>
      </c>
      <c r="M8" s="25" t="inlineStr">
        <is>
          <t>High</t>
        </is>
      </c>
      <c r="N8" s="23" t="inlineStr">
        <is>
          <t>Related Requirement: M02-F04, Scenario: SC-04</t>
        </is>
      </c>
    </row>
    <row r="9" ht="120" customHeight="1">
      <c r="A9" s="26" t="inlineStr">
        <is>
          <t>TC-M02-008</t>
        </is>
      </c>
      <c r="B9" s="26" t="inlineStr">
        <is>
          <t>Module 02</t>
        </is>
      </c>
      <c r="C9" s="27" t="inlineStr">
        <is>
          <t>M02-F05</t>
        </is>
      </c>
      <c r="D9" s="28" t="inlineStr">
        <is>
          <t>Observation Editing</t>
        </is>
      </c>
      <c r="E9" s="28" t="inlineStr">
        <is>
          <t>Edit Existing Observation Ratings and Notes</t>
        </is>
      </c>
      <c r="F9" s="28" t="inlineStr">
        <is>
          <t>Verify that staff can edit the ratings and notes of an existing observation record (before the session is complete).</t>
        </is>
      </c>
      <c r="G9" s="28" t="inlineStr">
        <is>
          <t>Staff user is logged in. Student ST001 has an observation on 17/07/2026.</t>
        </is>
      </c>
      <c r="H9" s="28" t="inlineStr">
        <is>
          <t>Student=ST001; Date=2026-07-17; NewITRating=S; NewITNotes=Needs some improvements.</t>
        </is>
      </c>
      <c r="I9" s="28" t="inlineStr">
        <is>
          <t>1. Open Scan Management;
2. Search for ST001 and click Edit on observation for 17/07/2026;
3. Change IT rating to 'S' and notes to 'Needs some improvements.';
4. Click Save</t>
        </is>
      </c>
      <c r="J9" s="28" t="inlineStr">
        <is>
          <t>Observation is updated successfully. A success notification is displayed. The new rating 'S' and notes display correctly.</t>
        </is>
      </c>
      <c r="K9" s="28" t="inlineStr"/>
      <c r="L9" s="24" t="inlineStr">
        <is>
          <t>Not Run</t>
        </is>
      </c>
      <c r="M9" s="25" t="inlineStr">
        <is>
          <t>High</t>
        </is>
      </c>
      <c r="N9" s="28" t="inlineStr">
        <is>
          <t>Related Requirement: M02-F05, Scenario: SC-05</t>
        </is>
      </c>
    </row>
    <row r="10" ht="105" customHeight="1">
      <c r="A10" s="21" t="inlineStr">
        <is>
          <t>TC-M02-009</t>
        </is>
      </c>
      <c r="B10" s="21" t="inlineStr">
        <is>
          <t>Module 02</t>
        </is>
      </c>
      <c r="C10" s="22" t="inlineStr">
        <is>
          <t>M02-F05</t>
        </is>
      </c>
      <c r="D10" s="23" t="inlineStr">
        <is>
          <t>Observation Editing</t>
        </is>
      </c>
      <c r="E10" s="23" t="inlineStr">
        <is>
          <t>Observation Date Locked and Cannot Be Changed</t>
        </is>
      </c>
      <c r="F10" s="23" t="inlineStr">
        <is>
          <t>Verify that the observation date of an existing record is locked and cannot be edited.</t>
        </is>
      </c>
      <c r="G10" s="23" t="inlineStr">
        <is>
          <t>Staff user is logged in. Student ST001 has an observation on 17/07/2026.</t>
        </is>
      </c>
      <c r="H10" s="23" t="inlineStr">
        <is>
          <t>Student=ST001; Date=2026-07-17</t>
        </is>
      </c>
      <c r="I10" s="23" t="inlineStr">
        <is>
          <t>1. Open Scan Management;
2. Select ST001 observation on 17/07/2026 and click Edit;
3. Check the Observation Date field;
4. Attempt to modify the date</t>
        </is>
      </c>
      <c r="J10" s="23" t="inlineStr">
        <is>
          <t>The Observation Date field is disabled (read-only) and cannot be interacted with or modified.</t>
        </is>
      </c>
      <c r="K10" s="23" t="inlineStr"/>
      <c r="L10" s="24" t="inlineStr">
        <is>
          <t>Not Run</t>
        </is>
      </c>
      <c r="M10" s="25" t="inlineStr">
        <is>
          <t>High</t>
        </is>
      </c>
      <c r="N10" s="23" t="inlineStr">
        <is>
          <t>Related Requirement: M02-F05, Scenario: SC-05, Business Rules</t>
        </is>
      </c>
    </row>
    <row r="11" ht="75" customHeight="1">
      <c r="A11" s="26" t="inlineStr">
        <is>
          <t>TC-M02-010</t>
        </is>
      </c>
      <c r="B11" s="26" t="inlineStr">
        <is>
          <t>Module 02</t>
        </is>
      </c>
      <c r="C11" s="27" t="inlineStr">
        <is>
          <t>M02-F06</t>
        </is>
      </c>
      <c r="D11" s="28" t="inlineStr">
        <is>
          <t>Duplicate Detection &amp; Merge</t>
        </is>
      </c>
      <c r="E11" s="28" t="inlineStr">
        <is>
          <t>Duplicate Observation Merged - Less Than 3 Subjects Completed</t>
        </is>
      </c>
      <c r="F11" s="28" t="inlineStr">
        <is>
          <t>Verify that a duplicate student/date observation is merged into the existing record if less than 3 subjects are completed in the existing record.</t>
        </is>
      </c>
      <c r="G11" s="28" t="inlineStr">
        <is>
          <t>Staff user is logged in. Student ST001 has an observation on 17/07/2026 with only IT and PLT completed.</t>
        </is>
      </c>
      <c r="H11" s="28" t="inlineStr">
        <is>
          <t>Student=ST001; Date=2026-07-17; English_Rating=S; English_Notes=Good English vocabulary; DA_Rating=S</t>
        </is>
      </c>
      <c r="I11" s="28" t="inlineStr">
        <is>
          <t>1. Submit a new observation for ST001 on 17/07/2026 with English rating 'S', notes 'Good English vocabulary', and DA rating 'S';
2. Click Save</t>
        </is>
      </c>
      <c r="J11" s="28" t="inlineStr">
        <is>
          <t>Save is accepted. English and DA ratings are merged into the existing ST001 row. Message displays: "Added to existing session.".</t>
        </is>
      </c>
      <c r="K11" s="28" t="inlineStr"/>
      <c r="L11" s="24" t="inlineStr">
        <is>
          <t>Not Run</t>
        </is>
      </c>
      <c r="M11" s="25" t="inlineStr">
        <is>
          <t>High</t>
        </is>
      </c>
      <c r="N11" s="28" t="inlineStr">
        <is>
          <t>Related Requirement: M02-F06, Scenario: SC-06, Rule 1</t>
        </is>
      </c>
    </row>
    <row r="12" ht="60" customHeight="1">
      <c r="A12" s="21" t="inlineStr">
        <is>
          <t>TC-M02-011</t>
        </is>
      </c>
      <c r="B12" s="21" t="inlineStr">
        <is>
          <t>Module 02</t>
        </is>
      </c>
      <c r="C12" s="22" t="inlineStr">
        <is>
          <t>M02-F06</t>
        </is>
      </c>
      <c r="D12" s="23" t="inlineStr">
        <is>
          <t>Duplicate Detection &amp; Merge</t>
        </is>
      </c>
      <c r="E12" s="23" t="inlineStr">
        <is>
          <t>Duplicate Observation Rejected - 3 or More Subjects Completed</t>
        </is>
      </c>
      <c r="F12" s="23" t="inlineStr">
        <is>
          <t>Verify that a duplicate student/date observation is rejected if 3 or more subjects are already completed in the existing record.</t>
        </is>
      </c>
      <c r="G12" s="23" t="inlineStr">
        <is>
          <t>Staff user is logged in. Student ST001 has an observation on 17/07/2026 with IT, PLT, and English completed.</t>
        </is>
      </c>
      <c r="H12" s="23" t="inlineStr">
        <is>
          <t>Student=ST001; Date=2026-07-17; DA_Rating=G; DA_Notes=Excellent design work</t>
        </is>
      </c>
      <c r="I12" s="23" t="inlineStr">
        <is>
          <t>1. Attempt to save a new observation for ST001 on 17/07/2026 containing DA rating 'G';
2. Click Save</t>
        </is>
      </c>
      <c r="J12" s="23" t="inlineStr">
        <is>
          <t>Save is rejected. Error message displays: "A feedback record for this date already exists.". New record is not saved.</t>
        </is>
      </c>
      <c r="K12" s="23" t="inlineStr"/>
      <c r="L12" s="24" t="inlineStr">
        <is>
          <t>Not Run</t>
        </is>
      </c>
      <c r="M12" s="25" t="inlineStr">
        <is>
          <t>High</t>
        </is>
      </c>
      <c r="N12" s="23" t="inlineStr">
        <is>
          <t>Related Requirement: M02-F06, Scenario: SC-07, Rule 2</t>
        </is>
      </c>
    </row>
    <row r="13" ht="90" customHeight="1">
      <c r="A13" s="26" t="inlineStr">
        <is>
          <t>TC-M02-012</t>
        </is>
      </c>
      <c r="B13" s="26" t="inlineStr">
        <is>
          <t>Module 02</t>
        </is>
      </c>
      <c r="C13" s="27" t="inlineStr">
        <is>
          <t>M02-F07</t>
        </is>
      </c>
      <c r="D13" s="28" t="inlineStr">
        <is>
          <t>Session Management</t>
        </is>
      </c>
      <c r="E13" s="28" t="inlineStr">
        <is>
          <t>Mark Session Complete - Auto-fill N/A for Unassessed Students</t>
        </is>
      </c>
      <c r="F13" s="28" t="inlineStr">
        <is>
          <t>Verify that marking a session complete automatically fills ratings for unassessed students with N/A and closes the session.</t>
        </is>
      </c>
      <c r="G13" s="28" t="inlineStr">
        <is>
          <t>Staff user is logged in. Batch PNV26A session on 17/07/2026 is complete for ST001 but ST002 has no observations.</t>
        </is>
      </c>
      <c r="H13" s="28" t="inlineStr">
        <is>
          <t>Batch=PNV26A; Date=2026-07-17</t>
        </is>
      </c>
      <c r="I13" s="28" t="inlineStr">
        <is>
          <t>1. Open progress dashboard for PNV26A on 17/07/2026;
2. Click Mark Session Complete;
3. Check session status and ST002 record</t>
        </is>
      </c>
      <c r="J13" s="28" t="inlineStr">
        <is>
          <t>Session status becomes 'Complete'. Student ST002 is automatically filled with 'N/A' for all subjects. No unassessed students remain.</t>
        </is>
      </c>
      <c r="K13" s="28" t="inlineStr"/>
      <c r="L13" s="24" t="inlineStr">
        <is>
          <t>Not Run</t>
        </is>
      </c>
      <c r="M13" s="25" t="inlineStr">
        <is>
          <t>High</t>
        </is>
      </c>
      <c r="N13" s="28" t="inlineStr">
        <is>
          <t>Related Requirement: M02-F07, Scenario: SC-08</t>
        </is>
      </c>
    </row>
    <row r="14" ht="90" customHeight="1">
      <c r="A14" s="21" t="inlineStr">
        <is>
          <t>TC-M02-013</t>
        </is>
      </c>
      <c r="B14" s="21" t="inlineStr">
        <is>
          <t>Module 02</t>
        </is>
      </c>
      <c r="C14" s="22" t="inlineStr">
        <is>
          <t>M02-F07</t>
        </is>
      </c>
      <c r="D14" s="23" t="inlineStr">
        <is>
          <t>Session Management</t>
        </is>
      </c>
      <c r="E14" s="23" t="inlineStr">
        <is>
          <t>Block Edits on Completed Session</t>
        </is>
      </c>
      <c r="F14" s="23" t="inlineStr">
        <is>
          <t>Verify that staff cannot edit or create observations once a session is marked Complete.</t>
        </is>
      </c>
      <c r="G14" s="23" t="inlineStr">
        <is>
          <t>Staff user is logged in. Batch PNV26A session on 17/07/2026 is marked Complete.</t>
        </is>
      </c>
      <c r="H14" s="23" t="inlineStr">
        <is>
          <t>Batch=PNV26A; Date=2026-07-17</t>
        </is>
      </c>
      <c r="I14" s="23" t="inlineStr">
        <is>
          <t>1. Open completed session for PNV26A on 17/07/2026;
2. Try clicking Edit or Add Observation for this date;
3. Observe UI and server response if save is sent</t>
        </is>
      </c>
      <c r="J14" s="23" t="inlineStr">
        <is>
          <t>Edit/Add buttons are hidden or disabled. Server rejects any manual save attempts with error "Form may be outdated." or "Session outdated.".</t>
        </is>
      </c>
      <c r="K14" s="23" t="inlineStr"/>
      <c r="L14" s="24" t="inlineStr">
        <is>
          <t>Not Run</t>
        </is>
      </c>
      <c r="M14" s="25" t="inlineStr">
        <is>
          <t>High</t>
        </is>
      </c>
      <c r="N14" s="23" t="inlineStr">
        <is>
          <t>Related Requirement: M02-F07, Scenario: SC-08, Business Rules</t>
        </is>
      </c>
    </row>
    <row r="15" ht="90" customHeight="1">
      <c r="A15" s="26" t="inlineStr">
        <is>
          <t>TC-M02-014</t>
        </is>
      </c>
      <c r="B15" s="26" t="inlineStr">
        <is>
          <t>Module 02</t>
        </is>
      </c>
      <c r="C15" s="27" t="inlineStr">
        <is>
          <t>M02-F08</t>
        </is>
      </c>
      <c r="D15" s="28" t="inlineStr">
        <is>
          <t>Session Progress</t>
        </is>
      </c>
      <c r="E15" s="28" t="inlineStr">
        <is>
          <t>Verify Session Progress Dashboard Indicators</t>
        </is>
      </c>
      <c r="F15" s="28" t="inlineStr">
        <is>
          <t>Verify that the progress dashboard shows accurate completion rate and lists unassessed students.</t>
        </is>
      </c>
      <c r="G15" s="28" t="inlineStr">
        <is>
          <t>Staff user is logged in. Batch PNV26A has 10 students; 4 have observations, 6 do not.</t>
        </is>
      </c>
      <c r="H15" s="28" t="inlineStr">
        <is>
          <t>Batch=PNV26A; Date=2026-07-17</t>
        </is>
      </c>
      <c r="I15" s="28" t="inlineStr">
        <is>
          <t>1. Open Scan Management;
2. Navigate to progress details for PNV26A on 17/07/2026;
3. Check percentage and unassessed student list</t>
        </is>
      </c>
      <c r="J15" s="28" t="inlineStr">
        <is>
          <t>Dashboard displays '40% Complete' (or '4/10 students assessed'). Status is 'Incomplete'. Names of the 6 unassessed students are listed.</t>
        </is>
      </c>
      <c r="K15" s="28" t="inlineStr"/>
      <c r="L15" s="24" t="inlineStr">
        <is>
          <t>Not Run</t>
        </is>
      </c>
      <c r="M15" s="29" t="inlineStr">
        <is>
          <t>Medium</t>
        </is>
      </c>
      <c r="N15" s="28" t="inlineStr">
        <is>
          <t>Related Requirement: M02-F08, Scenario: SC-09</t>
        </is>
      </c>
    </row>
    <row r="16" ht="150" customHeight="1">
      <c r="A16" s="21" t="inlineStr">
        <is>
          <t>TC-M02-015</t>
        </is>
      </c>
      <c r="B16" s="21" t="inlineStr">
        <is>
          <t>Module 02</t>
        </is>
      </c>
      <c r="C16" s="22" t="inlineStr">
        <is>
          <t>M02-F09</t>
        </is>
      </c>
      <c r="D16" s="23" t="inlineStr">
        <is>
          <t>Concurrent Edit Handling</t>
        </is>
      </c>
      <c r="E16" s="23" t="inlineStr">
        <is>
          <t>Three-Way Merge - Non-conflicting Concurrent Edits</t>
        </is>
      </c>
      <c r="F16" s="23" t="inlineStr">
        <is>
          <t>Verify that when two staff members edit different subjects on the same observation record simultaneously, changes are merged.</t>
        </is>
      </c>
      <c r="G16" s="23" t="inlineStr">
        <is>
          <t>Staff Teacher A and Teacher B are logged in. Student ST001 has IT Comment 'Good performance', English is blank.</t>
        </is>
      </c>
      <c r="H16" s="23" t="inlineStr">
        <is>
          <t>ST001 observation details on 17/07/2026</t>
        </is>
      </c>
      <c r="I16" s="23" t="inlineStr">
        <is>
          <t>1. Teacher A opens ST001 edit form;
2. Teacher B opens ST001 edit form;
3. Teacher B updates IT Comment to 'Excellent performance' and clicks Save first;
4. Teacher A updates English Comment to 'Good English speaking' (keeping IT comment original) and clicks Save</t>
        </is>
      </c>
      <c r="J16" s="23" t="inlineStr">
        <is>
          <t>Three-way merge is successful. Saved record has IT Comment 'Excellent performance' and English Comment 'Good English speaking'. Teacher A receives warning: "Saved, but some fields were updated by another teacher."</t>
        </is>
      </c>
      <c r="K16" s="23" t="inlineStr"/>
      <c r="L16" s="24" t="inlineStr">
        <is>
          <t>Not Run</t>
        </is>
      </c>
      <c r="M16" s="25" t="inlineStr">
        <is>
          <t>High</t>
        </is>
      </c>
      <c r="N16" s="23" t="inlineStr">
        <is>
          <t>Related Requirement: M02-F09, Scenario: SC-10, Three-Way Merge</t>
        </is>
      </c>
    </row>
    <row r="17" ht="135" customHeight="1">
      <c r="A17" s="26" t="inlineStr">
        <is>
          <t>TC-M02-016</t>
        </is>
      </c>
      <c r="B17" s="26" t="inlineStr">
        <is>
          <t>Module 02</t>
        </is>
      </c>
      <c r="C17" s="27" t="inlineStr">
        <is>
          <t>M02-F09</t>
        </is>
      </c>
      <c r="D17" s="28" t="inlineStr">
        <is>
          <t>Concurrent Edit Handling</t>
        </is>
      </c>
      <c r="E17" s="28" t="inlineStr">
        <is>
          <t>Three-Way Merge - Conflicting Concurrent Edits</t>
        </is>
      </c>
      <c r="F17" s="28" t="inlineStr">
        <is>
          <t>Verify that when two staff members edit the same field of an observation record simultaneously, the system flags a conflict and alerts the user.</t>
        </is>
      </c>
      <c r="G17" s="28" t="inlineStr">
        <is>
          <t>Teacher A and Teacher B are logged in. Student ST001 has IT Comment 'Good performance'.</t>
        </is>
      </c>
      <c r="H17" s="28" t="inlineStr">
        <is>
          <t>ST001 observation details on 17/07/2026</t>
        </is>
      </c>
      <c r="I17" s="28" t="inlineStr">
        <is>
          <t>1. Teacher A opens ST001 edit form;
2. Teacher B opens ST001 edit form;
3. Teacher B updates IT Comment to 'Excellent performance' and clicks Save;
4. Teacher A updates IT Comment to 'Very good performance' and clicks Save after Teacher B</t>
        </is>
      </c>
      <c r="J17" s="28" t="inlineStr">
        <is>
          <t>Teacher A's save triggers a conflict warning. The system flags that the IT Comment field has a conflict. Teacher A receives warning message: "Saved, but some fields were updated by another teacher." or "Form may be outdated.", and Teacher B's value 'Excellent performance' is kept (or conflict resolution UI is shown).</t>
        </is>
      </c>
      <c r="K17" s="28" t="inlineStr"/>
      <c r="L17" s="24" t="inlineStr">
        <is>
          <t>Not Run</t>
        </is>
      </c>
      <c r="M17" s="25" t="inlineStr">
        <is>
          <t>High</t>
        </is>
      </c>
      <c r="N17" s="28" t="inlineStr">
        <is>
          <t>Related Requirement: M02-F09, Scenario: SC-10, Three-Way Merge</t>
        </is>
      </c>
    </row>
    <row r="18" ht="105" customHeight="1">
      <c r="A18" s="21" t="inlineStr">
        <is>
          <t>TC-M02-017</t>
        </is>
      </c>
      <c r="B18" s="21" t="inlineStr">
        <is>
          <t>Module 02</t>
        </is>
      </c>
      <c r="C18" s="22" t="inlineStr">
        <is>
          <t>M02-F10</t>
        </is>
      </c>
      <c r="D18" s="23" t="inlineStr">
        <is>
          <t>Search, Filter &amp; Sorting</t>
        </is>
      </c>
      <c r="E18" s="23" t="inlineStr">
        <is>
          <t>Search Student by Full or Partial Name</t>
        </is>
      </c>
      <c r="F18" s="23" t="inlineStr">
        <is>
          <t>Verify that searching student list by full or partial name correctly filters the observation records.</t>
        </is>
      </c>
      <c r="G18" s="23" t="inlineStr">
        <is>
          <t>Staff user is logged in. Student list contains 'Nguyen Van A' and 'Tran Thi B'.</t>
        </is>
      </c>
      <c r="H18" s="23" t="inlineStr">
        <is>
          <t>SearchQuery1=Nguyen Van A; SearchQuery2=Thi</t>
        </is>
      </c>
      <c r="I18" s="23" t="inlineStr">
        <is>
          <t>1. Open Scan Management;
2. Enter 'Nguyen Van A' in the Search box and observe the student list;
3. Clear the search and enter 'Thi' in the search box; 4. Observe the student list</t>
        </is>
      </c>
      <c r="J18" s="23" t="inlineStr">
        <is>
          <t>Searching 'Nguyen Van A' displays only Nguyen Van A. Searching 'Thi' displays only Tran Thi B (matching partial name 'Thi'). List updates in real-time.</t>
        </is>
      </c>
      <c r="K18" s="23" t="inlineStr"/>
      <c r="L18" s="24" t="inlineStr">
        <is>
          <t>Not Run</t>
        </is>
      </c>
      <c r="M18" s="29" t="inlineStr">
        <is>
          <t>Medium</t>
        </is>
      </c>
      <c r="N18" s="23" t="inlineStr">
        <is>
          <t>Related Requirement: M02-F10, Scenario: SC-11</t>
        </is>
      </c>
    </row>
    <row r="19" ht="105" customHeight="1">
      <c r="A19" s="26" t="inlineStr">
        <is>
          <t>TC-M02-018</t>
        </is>
      </c>
      <c r="B19" s="26" t="inlineStr">
        <is>
          <t>Module 02</t>
        </is>
      </c>
      <c r="C19" s="27" t="inlineStr">
        <is>
          <t>M02-F10</t>
        </is>
      </c>
      <c r="D19" s="28" t="inlineStr">
        <is>
          <t>Search, Filter &amp; Sorting</t>
        </is>
      </c>
      <c r="E19" s="28" t="inlineStr">
        <is>
          <t>Filter Observations by Status</t>
        </is>
      </c>
      <c r="F19" s="28" t="inlineStr">
        <is>
          <t>Verify that staff can filter the student list by observation status (Complete / Incomplete).</t>
        </is>
      </c>
      <c r="G19" s="28" t="inlineStr">
        <is>
          <t>Staff user is logged in. Batch PNV26A contains some students with complete observations and others incomplete.</t>
        </is>
      </c>
      <c r="H19" s="28" t="inlineStr">
        <is>
          <t>StatusFilter=Incomplete</t>
        </is>
      </c>
      <c r="I19" s="28" t="inlineStr">
        <is>
          <t>1. Open Scan Management;
2. Select Batch PNV26A;
3. In the Status filter dropdown, select Incomplete;
4. Observe the filtered list</t>
        </is>
      </c>
      <c r="J19" s="28" t="inlineStr">
        <is>
          <t>The student list displays only students who do not have all 4 subjects completed. Students with fully completed observations are hidden.</t>
        </is>
      </c>
      <c r="K19" s="28" t="inlineStr"/>
      <c r="L19" s="24" t="inlineStr">
        <is>
          <t>Not Run</t>
        </is>
      </c>
      <c r="M19" s="29" t="inlineStr">
        <is>
          <t>Medium</t>
        </is>
      </c>
      <c r="N19" s="28" t="inlineStr">
        <is>
          <t>Related Requirement: M02-F10, Scenario: SC-11</t>
        </is>
      </c>
    </row>
    <row r="20" ht="150" customHeight="1">
      <c r="A20" s="21" t="inlineStr">
        <is>
          <t>TC-M02-019</t>
        </is>
      </c>
      <c r="B20" s="21" t="inlineStr">
        <is>
          <t>Module 02</t>
        </is>
      </c>
      <c r="C20" s="22" t="inlineStr">
        <is>
          <t>M02-F10</t>
        </is>
      </c>
      <c r="D20" s="23" t="inlineStr">
        <is>
          <t>Search, Filter &amp; Sorting</t>
        </is>
      </c>
      <c r="E20" s="23" t="inlineStr">
        <is>
          <t>Sort Students Alphabetically and by Completion Progress</t>
        </is>
      </c>
      <c r="F20" s="23" t="inlineStr">
        <is>
          <t>Verify that the student list can be sorted alphabetically or by observation completion progress.</t>
        </is>
      </c>
      <c r="G20" s="23" t="inlineStr">
        <is>
          <t>Staff user is logged in. Batch PNV26A exists.</t>
        </is>
      </c>
      <c r="H20" s="23" t="inlineStr">
        <is>
          <t>SortOptions=Alphabetical, CompletionProgress</t>
        </is>
      </c>
      <c r="I20" s="23" t="inlineStr">
        <is>
          <t>1. Open Scan Management;
2. Click the Sort dropdown and select Alphabetical (A-Z);
3. Verify list sorting;
4. Click Sort dropdown and select Completion Progress (Lowest to Highest);
5. Verify list sorting</t>
        </is>
      </c>
      <c r="J20" s="23" t="inlineStr">
        <is>
          <t>The student list rearranges correctly. Alphabetical sorting orders students by name A-Z. Completion sorting displays students with fewer completed subjects first.</t>
        </is>
      </c>
      <c r="K20" s="23" t="inlineStr"/>
      <c r="L20" s="24" t="inlineStr">
        <is>
          <t>Not Run</t>
        </is>
      </c>
      <c r="M20" s="29" t="inlineStr">
        <is>
          <t>Medium</t>
        </is>
      </c>
      <c r="N20" s="23" t="inlineStr">
        <is>
          <t>Related Requirement: M02-F10, Scenario: SC-11</t>
        </is>
      </c>
    </row>
    <row r="21" ht="75" customHeight="1">
      <c r="A21" s="26" t="inlineStr">
        <is>
          <t>TC-M02-020</t>
        </is>
      </c>
      <c r="B21" s="26" t="inlineStr">
        <is>
          <t>Module 02</t>
        </is>
      </c>
      <c r="C21" s="27" t="inlineStr">
        <is>
          <t>M02-F11</t>
        </is>
      </c>
      <c r="D21" s="28" t="inlineStr">
        <is>
          <t>Dashboard Overview</t>
        </is>
      </c>
      <c r="E21" s="28" t="inlineStr">
        <is>
          <t>Verify Dashboard Stats and Observation Completion Rate</t>
        </is>
      </c>
      <c r="F21" s="28" t="inlineStr">
        <is>
          <t>Verify that the dashboard displays correct metrics for active sessions, completed sessions, and completion rate.</t>
        </is>
      </c>
      <c r="G21" s="28" t="inlineStr">
        <is>
          <t>Staff user is logged in. System has 3 active sessions (2 complete, 1 incomplete). Total 30 observation records possible, 24 completed.</t>
        </is>
      </c>
      <c r="H21" s="28" t="inlineStr">
        <is>
          <t>None</t>
        </is>
      </c>
      <c r="I21" s="28" t="inlineStr">
        <is>
          <t>1. Navigate to the Dashboard Overview page;
2. Observe the observation-related statistics cards</t>
        </is>
      </c>
      <c r="J21" s="28" t="inlineStr">
        <is>
          <t>The dashboard displays: Active Observation Sessions = 3, Completed Sessions = 2, Incomplete Sessions = 1, Observation Completion Rate = 80% (24/30). Metrics are calculated accurately.</t>
        </is>
      </c>
      <c r="K21" s="28" t="inlineStr"/>
      <c r="L21" s="24" t="inlineStr">
        <is>
          <t>Not Run</t>
        </is>
      </c>
      <c r="M21" s="29" t="inlineStr">
        <is>
          <t>Medium</t>
        </is>
      </c>
      <c r="N21" s="28" t="inlineStr">
        <is>
          <t>Related Requirement: M02-F11, Scenario: SC-12</t>
        </is>
      </c>
    </row>
    <row r="22" ht="105" customHeight="1">
      <c r="A22" s="21" t="inlineStr">
        <is>
          <t>TC-M02-021</t>
        </is>
      </c>
      <c r="B22" s="21" t="inlineStr">
        <is>
          <t>Module 02</t>
        </is>
      </c>
      <c r="C22" s="22" t="inlineStr">
        <is>
          <t>M02-F11</t>
        </is>
      </c>
      <c r="D22" s="23" t="inlineStr">
        <is>
          <t>Dashboard Overview</t>
        </is>
      </c>
      <c r="E22" s="23" t="inlineStr">
        <is>
          <t>Verify Dashboard Auto-refresh after Observation Data Updates</t>
        </is>
      </c>
      <c r="F22" s="23" t="inlineStr">
        <is>
          <t>Verify that observation dashboard statistics update immediately when observations are completed or edited.</t>
        </is>
      </c>
      <c r="G22" s="23" t="inlineStr">
        <is>
          <t>Staff user is logged in. Dashboard currently displays Completion Rate = 80%.</t>
        </is>
      </c>
      <c r="H22" s="23" t="inlineStr">
        <is>
          <t>New observation saved for ST005.</t>
        </is>
      </c>
      <c r="I22" s="23" t="inlineStr">
        <is>
          <t>1. Open Scan Management and record a new observation for ST005 (completing all remaining subjects for that day);
2. Go to Dashboard immediately;
3. Observe the Completion Rate statistic</t>
        </is>
      </c>
      <c r="J22" s="23" t="inlineStr">
        <is>
          <t>The Completion Rate percentage card on the dashboard updates immediately to a higher percentage (e.g. 83%) without requiring a browser refresh.</t>
        </is>
      </c>
      <c r="K22" s="23" t="inlineStr"/>
      <c r="L22" s="24" t="inlineStr">
        <is>
          <t>Not Run</t>
        </is>
      </c>
      <c r="M22" s="29" t="inlineStr">
        <is>
          <t>Medium</t>
        </is>
      </c>
      <c r="N22" s="23" t="inlineStr">
        <is>
          <t>Related Requirement: M02-F11, Scenario: SC-12</t>
        </is>
      </c>
    </row>
    <row r="23" ht="120" customHeight="1">
      <c r="A23" s="26" t="inlineStr">
        <is>
          <t>TC-M02-022</t>
        </is>
      </c>
      <c r="B23" s="26" t="inlineStr">
        <is>
          <t>Module 02</t>
        </is>
      </c>
      <c r="C23" s="27" t="inlineStr">
        <is>
          <t>M02-F01</t>
        </is>
      </c>
      <c r="D23" s="28" t="inlineStr">
        <is>
          <t>Single Observation Entry</t>
        </is>
      </c>
      <c r="E23" s="28" t="inlineStr">
        <is>
          <t>Record Observation Blocked with Empty Date</t>
        </is>
      </c>
      <c r="F23" s="28" t="inlineStr">
        <is>
          <t>Verify that the system blocks saving an observation if the date field is empty.</t>
        </is>
      </c>
      <c r="G23" s="28" t="inlineStr">
        <is>
          <t>Staff user is logged in.</t>
        </is>
      </c>
      <c r="H23" s="28" t="inlineStr">
        <is>
          <t>Student=ST001; Date=Empty; IT_Rating=S; IT_Notes=Good progress</t>
        </is>
      </c>
      <c r="I23" s="28" t="inlineStr">
        <is>
          <t>1. Open Scan Management;
2. Select Student ST001;
3. Leave Observation Date empty;
4. Enter IT rating 'S' and notes 'Good progress';
5. Click Save</t>
        </is>
      </c>
      <c r="J23" s="28" t="inlineStr">
        <is>
          <t>Saving is blocked. A validation error message requires Observation Date to be selected. No record is saved.</t>
        </is>
      </c>
      <c r="K23" s="28" t="inlineStr"/>
      <c r="L23" s="24" t="inlineStr">
        <is>
          <t>Not Run</t>
        </is>
      </c>
      <c r="M23" s="25" t="inlineStr">
        <is>
          <t>High</t>
        </is>
      </c>
      <c r="N23" s="28" t="inlineStr">
        <is>
          <t>Related Requirement: M02-F01, Scenario: SC-01, Validation Rules</t>
        </is>
      </c>
    </row>
    <row r="24" ht="120" customHeight="1">
      <c r="A24" s="21" t="inlineStr">
        <is>
          <t>TC-M02-023</t>
        </is>
      </c>
      <c r="B24" s="21" t="inlineStr">
        <is>
          <t>Module 02</t>
        </is>
      </c>
      <c r="C24" s="22" t="inlineStr">
        <is>
          <t>M02-F01</t>
        </is>
      </c>
      <c r="D24" s="23" t="inlineStr">
        <is>
          <t>Single Observation Entry</t>
        </is>
      </c>
      <c r="E24" s="23" t="inlineStr">
        <is>
          <t>Record Observation Blocked with Empty Student</t>
        </is>
      </c>
      <c r="F24" s="23" t="inlineStr">
        <is>
          <t>Verify that the system blocks saving an observation if no student is selected.</t>
        </is>
      </c>
      <c r="G24" s="23" t="inlineStr">
        <is>
          <t>Staff user is logged in.</t>
        </is>
      </c>
      <c r="H24" s="23" t="inlineStr">
        <is>
          <t>Student=Empty; Date=2026-07-17; IT_Rating=S; IT_Notes=Good progress</t>
        </is>
      </c>
      <c r="I24" s="23" t="inlineStr">
        <is>
          <t>1. Open Scan Management;
2. Select Date: 17/07/2026;
3. Leave Student dropdown empty;
4. Enter IT rating 'S' and notes 'Good progress';
5. Click Save</t>
        </is>
      </c>
      <c r="J24" s="23" t="inlineStr">
        <is>
          <t>Saving is blocked. A validation error message requires a student to be selected. No record is saved.</t>
        </is>
      </c>
      <c r="K24" s="23" t="inlineStr"/>
      <c r="L24" s="24" t="inlineStr">
        <is>
          <t>Not Run</t>
        </is>
      </c>
      <c r="M24" s="25" t="inlineStr">
        <is>
          <t>High</t>
        </is>
      </c>
      <c r="N24" s="23" t="inlineStr">
        <is>
          <t>Related Requirement: M02-F01, Scenario: SC-01, Validation Rules</t>
        </is>
      </c>
    </row>
    <row r="25" ht="150" customHeight="1">
      <c r="A25" s="26" t="inlineStr">
        <is>
          <t>TC-M02-024</t>
        </is>
      </c>
      <c r="B25" s="26" t="inlineStr">
        <is>
          <t>Module 02</t>
        </is>
      </c>
      <c r="C25" s="27" t="inlineStr">
        <is>
          <t>M02-F03</t>
        </is>
      </c>
      <c r="D25" s="28" t="inlineStr">
        <is>
          <t>Batch Entry – All Subjects</t>
        </is>
      </c>
      <c r="E25" s="28" t="inlineStr">
        <is>
          <t>Batch Entry All Subjects Skips Empty Student Rows</t>
        </is>
      </c>
      <c r="F25" s="28" t="inlineStr">
        <is>
          <t>Verify that batch entry for all subjects skips students with completely empty inputs and reports skipped counts.</t>
        </is>
      </c>
      <c r="G25" s="28" t="inlineStr">
        <is>
          <t>Staff user is logged in. Batch PNV26A contains active students ST001 to ST005.</t>
        </is>
      </c>
      <c r="H25" s="28" t="inlineStr">
        <is>
          <t>Batch=PNV26A; Date=2026-07-17; Inputs for ST001, ST002, ST003; ST004 and ST005 are left blank.</t>
        </is>
      </c>
      <c r="I25" s="28" t="inlineStr">
        <is>
          <t>1. Open Scan Management and choose Batch Entry - All Subjects;
2. Select Batch PNV26A and Date 17/07/2026;
3. Enter ratings and notes for ST001, ST002, and ST003;
4. Leave rows for ST004 and ST005 completely empty;
5. Click Save All</t>
        </is>
      </c>
      <c r="J25" s="28" t="inlineStr">
        <is>
          <t>Records are saved successfully for ST001, ST002, and ST003. A message displays: "Saved 3 students, Skipped 2 students". No empty records are created for ST004 and ST005.</t>
        </is>
      </c>
      <c r="K25" s="28" t="inlineStr"/>
      <c r="L25" s="24" t="inlineStr">
        <is>
          <t>Not Run</t>
        </is>
      </c>
      <c r="M25" s="25" t="inlineStr">
        <is>
          <t>High</t>
        </is>
      </c>
      <c r="N25" s="28" t="inlineStr">
        <is>
          <t>Related Requirement: M02-F03, Scenario: SC-03, Batch Entry</t>
        </is>
      </c>
    </row>
    <row r="26" ht="135" customHeight="1">
      <c r="A26" s="21" t="inlineStr">
        <is>
          <t>TC-M02-025</t>
        </is>
      </c>
      <c r="B26" s="21" t="inlineStr">
        <is>
          <t>Module 02</t>
        </is>
      </c>
      <c r="C26" s="22" t="inlineStr">
        <is>
          <t>M02-F02</t>
        </is>
      </c>
      <c r="D26" s="23" t="inlineStr">
        <is>
          <t>Auto Rating Suggestion</t>
        </is>
      </c>
      <c r="E26" s="23" t="inlineStr">
        <is>
          <t>Auto Rating Cleared When Notes Are Erased</t>
        </is>
      </c>
      <c r="F26" s="23" t="inlineStr">
        <is>
          <t>Verify that if a user types notes to trigger a rating, then erases the notes, the suggested rating is reset.</t>
        </is>
      </c>
      <c r="G26" s="23" t="inlineStr">
        <is>
          <t>Staff user is logged in. System has suggested rating 'G' after notes were typed.</t>
        </is>
      </c>
      <c r="H26" s="23" t="inlineStr">
        <is>
          <t>Subject=PLT; Initial Notes='Excellent student'; Erased Notes=''</t>
        </is>
      </c>
      <c r="I26" s="23" t="inlineStr">
        <is>
          <t>1. Open observation entry for PLT;
2. Type notes: 'Excellent student';
3. Wait 400ms for suggestion 'G' to appear;
4. Clear the notes text area completely;
5. Observe rating dropdown</t>
        </is>
      </c>
      <c r="J26" s="23" t="inlineStr">
        <is>
          <t>The suggested rating 'G' is cleared, and the rating dropdown resets to the default '-' (Not Yet Assessed).</t>
        </is>
      </c>
      <c r="K26" s="23" t="inlineStr"/>
      <c r="L26" s="24" t="inlineStr">
        <is>
          <t>Not Run</t>
        </is>
      </c>
      <c r="M26" s="29" t="inlineStr">
        <is>
          <t>Medium</t>
        </is>
      </c>
      <c r="N26" s="23" t="inlineStr">
        <is>
          <t>Related Requirement: M02-F02, Scenario: SC-02, Auto Rating Suggestion</t>
        </is>
      </c>
    </row>
    <row r="27" ht="120" customHeight="1">
      <c r="A27" s="26" t="inlineStr">
        <is>
          <t>TC-M02-026</t>
        </is>
      </c>
      <c r="B27" s="26" t="inlineStr">
        <is>
          <t>Module 02</t>
        </is>
      </c>
      <c r="C27" s="27" t="inlineStr">
        <is>
          <t>M02-F02</t>
        </is>
      </c>
      <c r="D27" s="28" t="inlineStr">
        <is>
          <t>Auto Rating Suggestion</t>
        </is>
      </c>
      <c r="E27" s="28" t="inlineStr">
        <is>
          <t>Auto Rating Suggestion Debounced During Continuous Typing</t>
        </is>
      </c>
      <c r="F27" s="28" t="inlineStr">
        <is>
          <t>Verify that the 400ms auto-rating suggestion timer is reset (debounced) as long as typing continues.</t>
        </is>
      </c>
      <c r="G27" s="28" t="inlineStr">
        <is>
          <t>Staff user is logged in.</t>
        </is>
      </c>
      <c r="H27" s="28" t="inlineStr">
        <is>
          <t>Subject=IT; Notes='The student is trying very hard to solve the logic problems' typed with 200ms key pauses.</t>
        </is>
      </c>
      <c r="I27" s="28" t="inlineStr">
        <is>
          <t>1. Open observation entry for IT;
2. Type notes continuously, pausing only 200ms between words;
3. Observe the rating dropdown during typing;
4. Stop typing completely and wait 400ms</t>
        </is>
      </c>
      <c r="J27" s="28" t="inlineStr">
        <is>
          <t>No rating suggestion is selected or triggered while the user is actively typing. The suggestion only triggers 400ms after the user stops typing completely.</t>
        </is>
      </c>
      <c r="K27" s="28" t="inlineStr"/>
      <c r="L27" s="24" t="inlineStr">
        <is>
          <t>Not Run</t>
        </is>
      </c>
      <c r="M27" s="29" t="inlineStr">
        <is>
          <t>Medium</t>
        </is>
      </c>
      <c r="N27" s="28" t="inlineStr">
        <is>
          <t>Related Requirement: M02-F02, Scenario: SC-02, Auto Rating Suggestion</t>
        </is>
      </c>
    </row>
    <row r="28" ht="105" customHeight="1">
      <c r="A28" s="21" t="inlineStr">
        <is>
          <t>TC-M02-027</t>
        </is>
      </c>
      <c r="B28" s="21" t="inlineStr">
        <is>
          <t>Module 02</t>
        </is>
      </c>
      <c r="C28" s="22" t="inlineStr">
        <is>
          <t>M02-F04</t>
        </is>
      </c>
      <c r="D28" s="23" t="inlineStr">
        <is>
          <t>Batch Entry – By Subject</t>
        </is>
      </c>
      <c r="E28" s="23" t="inlineStr">
        <is>
          <t>Batch Entry By Subject Blocks Save for Students Exceeding Merge Limit</t>
        </is>
      </c>
      <c r="F28" s="23" t="inlineStr">
        <is>
          <t>Verify that Batch Entry by Subject rejects saving a student's observation if that student already has 3 or more completed subjects, while saving other students.</t>
        </is>
      </c>
      <c r="G28" s="23" t="inlineStr">
        <is>
          <t>Staff user is logged in. Student ST001 has 3 completed subjects (IT, PLT, English) for date 17/07/2026. ST002 has 1 completed subject.</t>
        </is>
      </c>
      <c r="H28" s="23" t="inlineStr">
        <is>
          <t>Batch=PNV26A; Subject=English; Date=2026-07-17; ST001 English=G; ST002 English=S</t>
        </is>
      </c>
      <c r="I28" s="23" t="inlineStr">
        <is>
          <t>1. Open Batch Entry - By Subject;
2. Select Batch PNV26A, Date: 17/07/2026, and Subject: English;
3. Enter ratings/notes for ST001 and ST002;
4. Click Save</t>
        </is>
      </c>
      <c r="J28" s="23" t="inlineStr">
        <is>
          <t>ST002 English observation is saved. ST001 save is rejected with a warning/error that a record for this date already exists/exceeds merge limit. The existing ST001 record is preserved.</t>
        </is>
      </c>
      <c r="K28" s="23" t="inlineStr"/>
      <c r="L28" s="24" t="inlineStr">
        <is>
          <t>Not Run</t>
        </is>
      </c>
      <c r="M28" s="25" t="inlineStr">
        <is>
          <t>High</t>
        </is>
      </c>
      <c r="N28" s="23" t="inlineStr">
        <is>
          <t>Related Requirement: M02-F04, Scenario: SC-04, Rule 2</t>
        </is>
      </c>
    </row>
    <row r="29" ht="90" customHeight="1">
      <c r="A29" s="26" t="inlineStr">
        <is>
          <t>TC-M02-028</t>
        </is>
      </c>
      <c r="B29" s="26" t="inlineStr">
        <is>
          <t>Module 02</t>
        </is>
      </c>
      <c r="C29" s="27" t="inlineStr">
        <is>
          <t>M02-SEC</t>
        </is>
      </c>
      <c r="D29" s="28" t="inlineStr">
        <is>
          <t>Access Control &amp; Security</t>
        </is>
      </c>
      <c r="E29" s="28" t="inlineStr">
        <is>
          <t>Block Student Access to Scan Management</t>
        </is>
      </c>
      <c r="F29" s="28" t="inlineStr">
        <is>
          <t>Verify that a user logged in with a Student email cannot access the Scan Management page or endpoints.</t>
        </is>
      </c>
      <c r="G29" s="28" t="inlineStr">
        <is>
          <t>User has student email account student01@student.passerellesnumeriques.org.</t>
        </is>
      </c>
      <c r="H29" s="28" t="inlineStr">
        <is>
          <t>Email=student01@student.passerellesnumeriques.org</t>
        </is>
      </c>
      <c r="I29" s="28" t="inlineStr">
        <is>
          <t>1. Log in to the application as student;
2. Attempt to navigate to the Scan Management page directly via URL;
3. Observe the system response</t>
        </is>
      </c>
      <c r="J29" s="28" t="inlineStr">
        <is>
          <t>The Scan Management option is not available in the menu. Direct URL access is blocked, displaying "Access Denied" or redirecting to the Student Portal home page.</t>
        </is>
      </c>
      <c r="K29" s="28" t="inlineStr"/>
      <c r="L29" s="24" t="inlineStr">
        <is>
          <t>Not Run</t>
        </is>
      </c>
      <c r="M29" s="25" t="inlineStr">
        <is>
          <t>High</t>
        </is>
      </c>
      <c r="N29" s="28" t="inlineStr">
        <is>
          <t>Related Requirement: General Rules, Scenario: SC-01, User Roles</t>
        </is>
      </c>
    </row>
    <row r="30" ht="105" customHeight="1">
      <c r="A30" s="21" t="inlineStr">
        <is>
          <t>TC-M02-029</t>
        </is>
      </c>
      <c r="B30" s="21" t="inlineStr">
        <is>
          <t>Module 02</t>
        </is>
      </c>
      <c r="C30" s="22" t="inlineStr">
        <is>
          <t>M02-F09</t>
        </is>
      </c>
      <c r="D30" s="23" t="inlineStr">
        <is>
          <t>Concurrent Edit Handling</t>
        </is>
      </c>
      <c r="E30" s="23" t="inlineStr">
        <is>
          <t>Concurrent Edit Saving Blocked When Session Closed</t>
        </is>
      </c>
      <c r="F30" s="23" t="inlineStr">
        <is>
          <t>Verify that if a staff member attempts to save a student observation while another staff member completes the session, the save is blocked.</t>
        </is>
      </c>
      <c r="G30" s="23" t="inlineStr">
        <is>
          <t>Staff Teacher A and Teacher B are logged in. Batch PNV26A session on 17/07/2026 is Incomplete. Student ST001 has an observation.</t>
        </is>
      </c>
      <c r="H30" s="23" t="inlineStr">
        <is>
          <t>Session on 17/07/2026</t>
        </is>
      </c>
      <c r="I30" s="23" t="inlineStr">
        <is>
          <t>1. Teacher A opens ST001 edit form;
2. Teacher B goes to progress dashboard and clicks Mark Session Complete (session status becomes Complete);
3. Teacher A edits ST001 PLT comment and clicks Save</t>
        </is>
      </c>
      <c r="J30" s="23" t="inlineStr">
        <is>
          <t>Teacher A's save is rejected by the server because the session has been closed. An error message "Form may be outdated." or "Session outdated." is displayed. Changes are not saved.</t>
        </is>
      </c>
      <c r="K30" s="23" t="inlineStr"/>
      <c r="L30" s="24" t="inlineStr">
        <is>
          <t>Not Run</t>
        </is>
      </c>
      <c r="M30" s="25" t="inlineStr">
        <is>
          <t>High</t>
        </is>
      </c>
      <c r="N30" s="23" t="inlineStr">
        <is>
          <t>Related Requirement: M02-F09, Scenario: SC-10, Session Completion &amp; Concurrency</t>
        </is>
      </c>
    </row>
    <row r="31" ht="105" customHeight="1">
      <c r="A31" s="26" t="inlineStr">
        <is>
          <t>TC-M02-030</t>
        </is>
      </c>
      <c r="B31" s="26" t="inlineStr">
        <is>
          <t>Module 02</t>
        </is>
      </c>
      <c r="C31" s="27" t="inlineStr">
        <is>
          <t>M02-F07</t>
        </is>
      </c>
      <c r="D31" s="28" t="inlineStr">
        <is>
          <t>Session Management</t>
        </is>
      </c>
      <c r="E31" s="28" t="inlineStr">
        <is>
          <t>Mark Session Complete with Empty Student List</t>
        </is>
      </c>
      <c r="F31" s="28" t="inlineStr">
        <is>
          <t>Verify that marking a session complete on a batch with no active students behaves gracefully and completes.</t>
        </is>
      </c>
      <c r="G31" s="28" t="inlineStr">
        <is>
          <t>Staff user is logged in. Batch PNV26B is active but has no active students.</t>
        </is>
      </c>
      <c r="H31" s="28" t="inlineStr">
        <is>
          <t>Batch=PNV26B; Date=2026-07-17</t>
        </is>
      </c>
      <c r="I31" s="28" t="inlineStr">
        <is>
          <t>1. Navigate to progress dashboard of PNV26B on 17/07/2026;
2. Verify student list is empty;
3. Click Mark Session Complete;
4. Observe the session status</t>
        </is>
      </c>
      <c r="J31" s="28" t="inlineStr">
        <is>
          <t>Session status transitions to Complete successfully. Auto-filled N/A count is 0. No errors or crashes occur.</t>
        </is>
      </c>
      <c r="K31" s="28" t="inlineStr"/>
      <c r="L31" s="24" t="inlineStr">
        <is>
          <t>Not Run</t>
        </is>
      </c>
      <c r="M31" s="29" t="inlineStr">
        <is>
          <t>Medium</t>
        </is>
      </c>
      <c r="N31" s="28" t="inlineStr">
        <is>
          <t>Related Requirement: M02-F07, Scenario: SC-08, Session Completion</t>
        </is>
      </c>
    </row>
    <row r="32" ht="120" customHeight="1">
      <c r="A32" s="21" t="inlineStr">
        <is>
          <t>TC-M02-031</t>
        </is>
      </c>
      <c r="B32" s="21" t="inlineStr">
        <is>
          <t>Module 02</t>
        </is>
      </c>
      <c r="C32" s="22" t="inlineStr">
        <is>
          <t>M02-F07</t>
        </is>
      </c>
      <c r="D32" s="23" t="inlineStr">
        <is>
          <t>Session Management</t>
        </is>
      </c>
      <c r="E32" s="23" t="inlineStr">
        <is>
          <t>Block Editing of Auto-filled N/A Observations</t>
        </is>
      </c>
      <c r="F32" s="23" t="inlineStr">
        <is>
          <t>Verify that once a session is completed, the auto-filled N/A observations are locked and cannot be edited.</t>
        </is>
      </c>
      <c r="G32" s="23" t="inlineStr">
        <is>
          <t>Staff user is logged in. Batch PNV26A session on 17/07/2026 has been completed. Student ST002 was auto-filled with N/A.</t>
        </is>
      </c>
      <c r="H32" s="23" t="inlineStr">
        <is>
          <t>Student=ST002; Date=2026-07-17</t>
        </is>
      </c>
      <c r="I32" s="23" t="inlineStr">
        <is>
          <t>1. Open observation list for PNV26A on 17/07/2026;
2. Select ST002 (showing N/A for all subjects);
3. Search for Edit button or click fields to modify rating/notes;
4. Attempt to save modifications</t>
        </is>
      </c>
      <c r="J32" s="23" t="inlineStr">
        <is>
          <t>Rating select boxes and comments are read-only. Edit controls are hidden or disabled. No changes can be saved.</t>
        </is>
      </c>
      <c r="K32" s="23" t="inlineStr"/>
      <c r="L32" s="24" t="inlineStr">
        <is>
          <t>Not Run</t>
        </is>
      </c>
      <c r="M32" s="25" t="inlineStr">
        <is>
          <t>High</t>
        </is>
      </c>
      <c r="N32" s="23" t="inlineStr">
        <is>
          <t>Related Requirement: M02-F07, Scenario: SC-08, Session Completion</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35" customHeight="1">
      <c r="A2" s="21" t="inlineStr">
        <is>
          <t>TC-M03-001</t>
        </is>
      </c>
      <c r="B2" s="21" t="inlineStr">
        <is>
          <t>Module 03</t>
        </is>
      </c>
      <c r="C2" s="22" t="inlineStr">
        <is>
          <t>M03-F01</t>
        </is>
      </c>
      <c r="D2" s="23" t="inlineStr">
        <is>
          <t>Course / Subject Creation</t>
        </is>
      </c>
      <c r="E2" s="23" t="inlineStr">
        <is>
          <t>Create New Subject Manually</t>
        </is>
      </c>
      <c r="F2" s="23" t="inlineStr">
        <is>
          <t>Verify that staff can create a new subject manually by choosing a batch and semester.</t>
        </is>
      </c>
      <c r="G2" s="23" t="inlineStr">
        <is>
          <t>Staff user is logged in. Batch PNV26A and Semester 1 exist.</t>
        </is>
      </c>
      <c r="H2" s="23" t="inlineStr">
        <is>
          <t>SubjectName=Programming; Batch=PNV26A; Semester=Semester 1</t>
        </is>
      </c>
      <c r="I2" s="23" t="inlineStr">
        <is>
          <t>1. Navigate to Academic Management;
2. Click Create Subject;
3. Enter subject name 'Programming';
4. Select Batch 'PNV26A' and Semester 'Semester 1';
5. Click Save</t>
        </is>
      </c>
      <c r="J2" s="23" t="inlineStr">
        <is>
          <t>Subject is created successfully. Success notification appears. 'Programming' belongs to PNV26A, Semester 1 in subject list.</t>
        </is>
      </c>
      <c r="K2" s="23" t="inlineStr"/>
      <c r="L2" s="24" t="inlineStr">
        <is>
          <t>Not Run</t>
        </is>
      </c>
      <c r="M2" s="25" t="inlineStr">
        <is>
          <t>High</t>
        </is>
      </c>
      <c r="N2" s="23" t="inlineStr">
        <is>
          <t>Related Requirement: M03-F01</t>
        </is>
      </c>
    </row>
    <row r="3" ht="90" customHeight="1">
      <c r="A3" s="26" t="inlineStr">
        <is>
          <t>TC-M03-002</t>
        </is>
      </c>
      <c r="B3" s="26" t="inlineStr">
        <is>
          <t>Module 03</t>
        </is>
      </c>
      <c r="C3" s="27" t="inlineStr">
        <is>
          <t>M03-F01</t>
        </is>
      </c>
      <c r="D3" s="28" t="inlineStr">
        <is>
          <t>Course / Subject Creation</t>
        </is>
      </c>
      <c r="E3" s="28" t="inlineStr">
        <is>
          <t>Bulk Subject Creation via Valid CSV</t>
        </is>
      </c>
      <c r="F3" s="28" t="inlineStr">
        <is>
          <t>Verify that staff can create multiple subjects simultaneously by importing a valid CSV file.</t>
        </is>
      </c>
      <c r="G3" s="28" t="inlineStr">
        <is>
          <t>Staff user is logged in. Batch PNV26A and Semester 1 exist.</t>
        </is>
      </c>
      <c r="H3" s="28" t="inlineStr">
        <is>
          <t>CSV containing: SubjectName, Batch, Semester columns with 'Programming,PNV26A,Semester 1' and 'English,PNV26A,Semester 1'</t>
        </is>
      </c>
      <c r="I3" s="28" t="inlineStr">
        <is>
          <t>1. Navigate to Academic Management;
2. Click Import Subjects via CSV;
3. Select valid CSV file;
4. Click Import</t>
        </is>
      </c>
      <c r="J3" s="28" t="inlineStr">
        <is>
          <t>Subjects are imported successfully. Message displays 'Imported 2 subjects'. Programming and English appear in subject list.</t>
        </is>
      </c>
      <c r="K3" s="28" t="inlineStr"/>
      <c r="L3" s="24" t="inlineStr">
        <is>
          <t>Not Run</t>
        </is>
      </c>
      <c r="M3" s="25" t="inlineStr">
        <is>
          <t>High</t>
        </is>
      </c>
      <c r="N3" s="28" t="inlineStr">
        <is>
          <t>Related Requirement: M03-F01</t>
        </is>
      </c>
    </row>
    <row r="4" ht="120" customHeight="1">
      <c r="A4" s="21" t="inlineStr">
        <is>
          <t>TC-M03-003</t>
        </is>
      </c>
      <c r="B4" s="21" t="inlineStr">
        <is>
          <t>Module 03</t>
        </is>
      </c>
      <c r="C4" s="22" t="inlineStr">
        <is>
          <t>M03-F01</t>
        </is>
      </c>
      <c r="D4" s="23" t="inlineStr">
        <is>
          <t>Course / Subject Creation</t>
        </is>
      </c>
      <c r="E4" s="23" t="inlineStr">
        <is>
          <t>Create Subject Fails due to Empty Subject Name</t>
        </is>
      </c>
      <c r="F4" s="23" t="inlineStr">
        <is>
          <t>Verify that the system blocks subject creation and warns if the subject name is empty.</t>
        </is>
      </c>
      <c r="G4" s="23" t="inlineStr">
        <is>
          <t>Staff user is logged in.</t>
        </is>
      </c>
      <c r="H4" s="23" t="inlineStr">
        <is>
          <t>SubjectName=Empty; Batch=PNV26A; Semester=Semester 1</t>
        </is>
      </c>
      <c r="I4" s="23" t="inlineStr">
        <is>
          <t>1. Navigate to Academic Management;
2. Click Create Subject;
3. Leave Subject Name blank;
4. Select Batch PNV26A and Semester 1;
5. Click Save</t>
        </is>
      </c>
      <c r="J4" s="23" t="inlineStr">
        <is>
          <t>Saving is blocked. Error message 'Subject Name is required' displays. Name field is highlighted in red.</t>
        </is>
      </c>
      <c r="K4" s="23" t="inlineStr"/>
      <c r="L4" s="24" t="inlineStr">
        <is>
          <t>Not Run</t>
        </is>
      </c>
      <c r="M4" s="25" t="inlineStr">
        <is>
          <t>High</t>
        </is>
      </c>
      <c r="N4" s="23" t="inlineStr">
        <is>
          <t>Related Requirement: M03-F01, Validation Rules</t>
        </is>
      </c>
    </row>
    <row r="5" ht="135" customHeight="1">
      <c r="A5" s="26" t="inlineStr">
        <is>
          <t>TC-M03-004</t>
        </is>
      </c>
      <c r="B5" s="26" t="inlineStr">
        <is>
          <t>Module 03</t>
        </is>
      </c>
      <c r="C5" s="27" t="inlineStr">
        <is>
          <t>M03-F02</t>
        </is>
      </c>
      <c r="D5" s="28" t="inlineStr">
        <is>
          <t>Grade Entry Structure</t>
        </is>
      </c>
      <c r="E5" s="28" t="inlineStr">
        <is>
          <t>Single Student Grade Entry</t>
        </is>
      </c>
      <c r="F5" s="28" t="inlineStr">
        <is>
          <t>Verify that staff can input periodic and regular test grades for a specific student in a subject.</t>
        </is>
      </c>
      <c r="G5" s="28" t="inlineStr">
        <is>
          <t>Programming subject of batch PNV26A exists. Student ST001 belongs to batch PNV26A.</t>
        </is>
      </c>
      <c r="H5" s="28" t="inlineStr">
        <is>
          <t>StudentID=ST001; Subject=Programming; KT_TX=7.5; DK1=8.0</t>
        </is>
      </c>
      <c r="I5" s="28" t="inlineStr">
        <is>
          <t>1. Open Academic Management and select subject 'Programming';
2. Find student ST001 in grade list;
3. Click KT TX cell and enter '7.5';
4. Click DK1 cell and enter '8.0';
5. Click Save</t>
        </is>
      </c>
      <c r="J5" s="28" t="inlineStr">
        <is>
          <t>Grades are saved successfully. Success message displays. '7.5' and '8.0' appear on ST001's grade row.</t>
        </is>
      </c>
      <c r="K5" s="28" t="inlineStr"/>
      <c r="L5" s="24" t="inlineStr">
        <is>
          <t>Not Run</t>
        </is>
      </c>
      <c r="M5" s="25" t="inlineStr">
        <is>
          <t>High</t>
        </is>
      </c>
      <c r="N5" s="28" t="inlineStr">
        <is>
          <t>Related Requirement: M03-F02</t>
        </is>
      </c>
    </row>
    <row r="6" ht="105" customHeight="1">
      <c r="A6" s="21" t="inlineStr">
        <is>
          <t>TC-M03-005</t>
        </is>
      </c>
      <c r="B6" s="21" t="inlineStr">
        <is>
          <t>Module 03</t>
        </is>
      </c>
      <c r="C6" s="22" t="inlineStr">
        <is>
          <t>M03-F03</t>
        </is>
      </c>
      <c r="D6" s="23" t="inlineStr">
        <is>
          <t>Automatic TBKT Calculation</t>
        </is>
      </c>
      <c r="E6" s="23" t="inlineStr">
        <is>
          <t>Auto TBKT Calculation and Exam Eligibility (TBKT &gt;= 5.0)</t>
        </is>
      </c>
      <c r="F6" s="23" t="inlineStr">
        <is>
          <t>Verify that the system automatically calculates average grade (TBKT) based on weighted formula and grants exam eligibility (Eligible = YES) if TBKT &gt;= 5.0.</t>
        </is>
      </c>
      <c r="G6" s="23" t="inlineStr">
        <is>
          <t>Programming subject has 1 periodic test weight. Student ST001 has grades.</t>
        </is>
      </c>
      <c r="H6" s="23" t="inlineStr">
        <is>
          <t>KT_TX=7.0; DK1=8.0</t>
        </is>
      </c>
      <c r="I6" s="23" t="inlineStr">
        <is>
          <t>1. Select subject 'Programming';
2. Input KT_TX=7.0 and DK1=8.0 for ST001;
3. Click Save;
4. Observe TBKT column and Eligible status for ST001</t>
        </is>
      </c>
      <c r="J6" s="23" t="inlineStr">
        <is>
          <t>TBKT is calculated as 7.67 (formula: (7.0*1 + 8.0*2)/3 = 7.67). Exam eligibility displays 'YES'.</t>
        </is>
      </c>
      <c r="K6" s="23" t="inlineStr"/>
      <c r="L6" s="24" t="inlineStr">
        <is>
          <t>Not Run</t>
        </is>
      </c>
      <c r="M6" s="25" t="inlineStr">
        <is>
          <t>High</t>
        </is>
      </c>
      <c r="N6" s="23" t="inlineStr">
        <is>
          <t>Related Requirement: M03-F03</t>
        </is>
      </c>
    </row>
    <row r="7" ht="105" customHeight="1">
      <c r="A7" s="26" t="inlineStr">
        <is>
          <t>TC-M03-006</t>
        </is>
      </c>
      <c r="B7" s="26" t="inlineStr">
        <is>
          <t>Module 03</t>
        </is>
      </c>
      <c r="C7" s="27" t="inlineStr">
        <is>
          <t>M03-F03</t>
        </is>
      </c>
      <c r="D7" s="28" t="inlineStr">
        <is>
          <t>Automatic TBKT Calculation</t>
        </is>
      </c>
      <c r="E7" s="28" t="inlineStr">
        <is>
          <t>Auto TBKT Calculation and Exam Ineligibility (TBKT &lt; 5.0)</t>
        </is>
      </c>
      <c r="F7" s="28" t="inlineStr">
        <is>
          <t>Verify that the system automatically calculates TBKT and blocks exam eligibility (Eligible = NO) if TBKT &lt; 5.0.</t>
        </is>
      </c>
      <c r="G7" s="28" t="inlineStr">
        <is>
          <t>Programming subject has 1 periodic test weight. Student ST002 has grades.</t>
        </is>
      </c>
      <c r="H7" s="28" t="inlineStr">
        <is>
          <t>KT_TX=3.0; DK1=5.0</t>
        </is>
      </c>
      <c r="I7" s="28" t="inlineStr">
        <is>
          <t>1. Select subject 'Programming';
2. Input KT_TX=3.0 and DK1=5.0 for ST002;
3. Click Save;
4. Observe TBKT column and Eligible status for ST002</t>
        </is>
      </c>
      <c r="J7" s="28" t="inlineStr">
        <is>
          <t>TBKT is calculated as 4.33 (formula: (3.0*1 + 5.0*2)/3 = 4.33). Exam eligibility displays 'NO'.</t>
        </is>
      </c>
      <c r="K7" s="28" t="inlineStr"/>
      <c r="L7" s="24" t="inlineStr">
        <is>
          <t>Not Run</t>
        </is>
      </c>
      <c r="M7" s="25" t="inlineStr">
        <is>
          <t>High</t>
        </is>
      </c>
      <c r="N7" s="28" t="inlineStr">
        <is>
          <t>Related Requirement: M03-F03</t>
        </is>
      </c>
    </row>
    <row r="8" ht="105" customHeight="1">
      <c r="A8" s="21" t="inlineStr">
        <is>
          <t>TC-M03-007</t>
        </is>
      </c>
      <c r="B8" s="21" t="inlineStr">
        <is>
          <t>Module 03</t>
        </is>
      </c>
      <c r="C8" s="22" t="inlineStr">
        <is>
          <t>M03-F03</t>
        </is>
      </c>
      <c r="D8" s="23" t="inlineStr">
        <is>
          <t>Automatic TBKT Calculation</t>
        </is>
      </c>
      <c r="E8" s="23" t="inlineStr">
        <is>
          <t>Block Final Exam Grade Entry When Ineligible (TBKT &lt; 5.0)</t>
        </is>
      </c>
      <c r="F8" s="23" t="inlineStr">
        <is>
          <t>Verify that final exam grade input is disabled and blocked for students with status Eligible = NO.</t>
        </is>
      </c>
      <c r="G8" s="23" t="inlineStr">
        <is>
          <t>Student ST002 has TBKT = 4.33 (Eligible = NO) in Programming.</t>
        </is>
      </c>
      <c r="H8" s="23" t="inlineStr">
        <is>
          <t>TCK=6.0</t>
        </is>
      </c>
      <c r="I8" s="23" t="inlineStr">
        <is>
          <t>1. Open Programming grade list;
2. Locate final exam grade (TCK) cell for ST002;
3. Try clicking or typing '6.0' in the TCK cell;
4. Observe the UI</t>
        </is>
      </c>
      <c r="J8" s="23" t="inlineStr">
        <is>
          <t>The TCK cell for ST002 is disabled (read-only). Hovering displays 'Not eligible for final exam'. Any backend save attempt returns validation error.</t>
        </is>
      </c>
      <c r="K8" s="23" t="inlineStr"/>
      <c r="L8" s="24" t="inlineStr">
        <is>
          <t>Not Run</t>
        </is>
      </c>
      <c r="M8" s="25" t="inlineStr">
        <is>
          <t>High</t>
        </is>
      </c>
      <c r="N8" s="23" t="inlineStr">
        <is>
          <t>Related Requirement: M03-F03, Business Rules 7.4</t>
        </is>
      </c>
    </row>
    <row r="9" ht="105" customHeight="1">
      <c r="A9" s="26" t="inlineStr">
        <is>
          <t>TC-M03-008</t>
        </is>
      </c>
      <c r="B9" s="26" t="inlineStr">
        <is>
          <t>Module 03</t>
        </is>
      </c>
      <c r="C9" s="27" t="inlineStr">
        <is>
          <t>M03-F03</t>
        </is>
      </c>
      <c r="D9" s="28" t="inlineStr">
        <is>
          <t>Automatic TBKT Calculation</t>
        </is>
      </c>
      <c r="E9" s="28" t="inlineStr">
        <is>
          <t>Allow Final Exam Grade Entry When Eligible (TBKT &gt;= 5.0)</t>
        </is>
      </c>
      <c r="F9" s="28" t="inlineStr">
        <is>
          <t>Verify that final exam grade input is enabled and saved successfully for students with status Eligible = YES.</t>
        </is>
      </c>
      <c r="G9" s="28" t="inlineStr">
        <is>
          <t>Student ST001 has TBKT = 7.67 (Eligible = YES) in Programming.</t>
        </is>
      </c>
      <c r="H9" s="28" t="inlineStr">
        <is>
          <t>TCK=8.5</t>
        </is>
      </c>
      <c r="I9" s="28" t="inlineStr">
        <is>
          <t>1. Open Programming grade list;
2. Locate final exam grade (TCK) cell for ST001;
3. Click the cell and enter '8.5';
4. Click Save</t>
        </is>
      </c>
      <c r="J9" s="28" t="inlineStr">
        <is>
          <t>Grade input behaves normally. Final exam grade '8.5' is saved successfully in database and displayed in UI.</t>
        </is>
      </c>
      <c r="K9" s="28" t="inlineStr"/>
      <c r="L9" s="24" t="inlineStr">
        <is>
          <t>Not Run</t>
        </is>
      </c>
      <c r="M9" s="25" t="inlineStr">
        <is>
          <t>High</t>
        </is>
      </c>
      <c r="N9" s="28" t="inlineStr">
        <is>
          <t>Related Requirement: M03-F03, Business Rules 7.4</t>
        </is>
      </c>
    </row>
    <row r="10" ht="75" customHeight="1">
      <c r="A10" s="21" t="inlineStr">
        <is>
          <t>TC-M03-009</t>
        </is>
      </c>
      <c r="B10" s="21" t="inlineStr">
        <is>
          <t>Module 03</t>
        </is>
      </c>
      <c r="C10" s="22" t="inlineStr">
        <is>
          <t>M03-F03</t>
        </is>
      </c>
      <c r="D10" s="23" t="inlineStr">
        <is>
          <t>Automatic TBKT Calculation</t>
        </is>
      </c>
      <c r="E10" s="23" t="inlineStr">
        <is>
          <t>Input Retake Exam Grade for Student</t>
        </is>
      </c>
      <c r="F10" s="23" t="inlineStr">
        <is>
          <t>Verify that staff can enter a retake exam grade (TLCK) manually and optionally for a student.</t>
        </is>
      </c>
      <c r="G10" s="23" t="inlineStr">
        <is>
          <t>Student ST001 has a final exam grade (TCK) recorded.</t>
        </is>
      </c>
      <c r="H10" s="23" t="inlineStr">
        <is>
          <t>TLCK=7.0</t>
        </is>
      </c>
      <c r="I10" s="23" t="inlineStr">
        <is>
          <t>1. Open Programming grade list;
2. Click the retake exam grade (TLCK) cell for ST001;
3. Enter '7.0' and click Save</t>
        </is>
      </c>
      <c r="J10" s="23" t="inlineStr">
        <is>
          <t>Retake grade is recorded successfully and displayed in student's grade row. Other grades remain intact.</t>
        </is>
      </c>
      <c r="K10" s="23" t="inlineStr"/>
      <c r="L10" s="24" t="inlineStr">
        <is>
          <t>Not Run</t>
        </is>
      </c>
      <c r="M10" s="25" t="inlineStr">
        <is>
          <t>High</t>
        </is>
      </c>
      <c r="N10" s="23" t="inlineStr">
        <is>
          <t>Related Requirement: M03-F03, Business Rules 7.2</t>
        </is>
      </c>
    </row>
    <row r="11" ht="105" customHeight="1">
      <c r="A11" s="26" t="inlineStr">
        <is>
          <t>TC-M03-010</t>
        </is>
      </c>
      <c r="B11" s="26" t="inlineStr">
        <is>
          <t>Module 03</t>
        </is>
      </c>
      <c r="C11" s="27" t="inlineStr">
        <is>
          <t>M03-F04</t>
        </is>
      </c>
      <c r="D11" s="28" t="inlineStr">
        <is>
          <t>Grade Upload via CSV</t>
        </is>
      </c>
      <c r="E11" s="28" t="inlineStr">
        <is>
          <t>Bulk Grade Upload via CSV (Overwrite Mode)</t>
        </is>
      </c>
      <c r="F11" s="28" t="inlineStr">
        <is>
          <t>Verify that CSV grade import overwrites all existing grades of students in the subject with the new values.</t>
        </is>
      </c>
      <c r="G11" s="28" t="inlineStr">
        <is>
          <t>Subject English has existing grades for ST001 (KT_TX=5.0) and ST002 (KT_TX=6.0).</t>
        </is>
      </c>
      <c r="H11" s="28" t="inlineStr">
        <is>
          <t>CSV containing: StudentID, KT_TX, DK1. Rows: 'ST001,8.0,9.0' and 'ST002,7.5,8.0'</t>
        </is>
      </c>
      <c r="I11" s="28" t="inlineStr">
        <is>
          <t>1. Select subject 'English';
2. Click Upload Grades via CSV;
3. Select new CSV file and confirm upload;
4. Observe grade list</t>
        </is>
      </c>
      <c r="J11" s="28" t="inlineStr">
        <is>
          <t>Upload succeeds. Grades for ST001 update to KT_TX=8.0, DK1=9.0 (TBKT=8.67), and ST002 update to KT_TX=7.5, DK1=8.0 (TBKT=7.83). Old grades are overwritten.</t>
        </is>
      </c>
      <c r="K11" s="28" t="inlineStr"/>
      <c r="L11" s="24" t="inlineStr">
        <is>
          <t>Not Run</t>
        </is>
      </c>
      <c r="M11" s="25" t="inlineStr">
        <is>
          <t>High</t>
        </is>
      </c>
      <c r="N11" s="28" t="inlineStr">
        <is>
          <t>Related Requirement: M03-F04, Business Rules 7.5</t>
        </is>
      </c>
    </row>
    <row r="12" ht="75" customHeight="1">
      <c r="A12" s="21" t="inlineStr">
        <is>
          <t>TC-M03-011</t>
        </is>
      </c>
      <c r="B12" s="21" t="inlineStr">
        <is>
          <t>Module 03</t>
        </is>
      </c>
      <c r="C12" s="22" t="inlineStr">
        <is>
          <t>M03-F04</t>
        </is>
      </c>
      <c r="D12" s="23" t="inlineStr">
        <is>
          <t>Grade Upload via CSV</t>
        </is>
      </c>
      <c r="E12" s="23" t="inlineStr">
        <is>
          <t>CSV Grade Upload with Blank Cells Clears Existing Grades</t>
        </is>
      </c>
      <c r="F12" s="23" t="inlineStr">
        <is>
          <t>Verify that blank cells in CSV file are interpreted as NULL/Empty and clear corresponding old grades.</t>
        </is>
      </c>
      <c r="G12" s="23" t="inlineStr">
        <is>
          <t>Student ST001 has grades (KT_TX=8.0, DK1=9.0).</t>
        </is>
      </c>
      <c r="H12" s="23" t="inlineStr">
        <is>
          <t>CSV row: ST001,,9.0 (empty KT_TX value between commas)</t>
        </is>
      </c>
      <c r="I12" s="23" t="inlineStr">
        <is>
          <t>1. Select subject, click Upload Grades via CSV;
2. Select CSV containing empty KT_TX for ST001;
3. Confirm import</t>
        </is>
      </c>
      <c r="J12" s="23" t="inlineStr">
        <is>
          <t>Grade list is updated. Regular test grade (KT_TX) for ST001 (previously 8.0) is cleared/empty. DK1 remains 9.0.</t>
        </is>
      </c>
      <c r="K12" s="23" t="inlineStr"/>
      <c r="L12" s="24" t="inlineStr">
        <is>
          <t>Not Run</t>
        </is>
      </c>
      <c r="M12" s="25" t="inlineStr">
        <is>
          <t>High</t>
        </is>
      </c>
      <c r="N12" s="23" t="inlineStr">
        <is>
          <t>Related Requirement: M03-F04, CSV Import Rules 8</t>
        </is>
      </c>
    </row>
    <row r="13" ht="90" customHeight="1">
      <c r="A13" s="26" t="inlineStr">
        <is>
          <t>TC-M03-012</t>
        </is>
      </c>
      <c r="B13" s="26" t="inlineStr">
        <is>
          <t>Module 03</t>
        </is>
      </c>
      <c r="C13" s="27" t="inlineStr">
        <is>
          <t>M03-F04</t>
        </is>
      </c>
      <c r="D13" s="28" t="inlineStr">
        <is>
          <t>Grade Upload via CSV</t>
        </is>
      </c>
      <c r="E13" s="28" t="inlineStr">
        <is>
          <t>CSV Grade Upload Fails due to Missing StudentID Column</t>
        </is>
      </c>
      <c r="F13" s="28" t="inlineStr">
        <is>
          <t>Verify that CSV grade import rejects files missing the StudentID column and does not modify any data.</t>
        </is>
      </c>
      <c r="G13" s="28" t="inlineStr">
        <is>
          <t>Staff user is logged in.</t>
        </is>
      </c>
      <c r="H13" s="28" t="inlineStr">
        <is>
          <t>CSV with KT_TX, DK1, TCK columns (no StudentID column)</t>
        </is>
      </c>
      <c r="I13" s="28" t="inlineStr">
        <is>
          <t>1. Select subject, click Upload Grades via CSV;
2. Select CSV missing StudentID column and upload;
3. Observe error message</t>
        </is>
      </c>
      <c r="J13" s="28" t="inlineStr">
        <is>
          <t>System rejects the CSV file and displays error: 'Missing required column StudentID'. No grades are modified.</t>
        </is>
      </c>
      <c r="K13" s="28" t="inlineStr"/>
      <c r="L13" s="24" t="inlineStr">
        <is>
          <t>Not Run</t>
        </is>
      </c>
      <c r="M13" s="25" t="inlineStr">
        <is>
          <t>High</t>
        </is>
      </c>
      <c r="N13" s="28" t="inlineStr">
        <is>
          <t>Related Requirement: M03-F04, Error Handling 10</t>
        </is>
      </c>
    </row>
    <row r="14" ht="75" customHeight="1">
      <c r="A14" s="21" t="inlineStr">
        <is>
          <t>TC-M03-013</t>
        </is>
      </c>
      <c r="B14" s="21" t="inlineStr">
        <is>
          <t>Module 03</t>
        </is>
      </c>
      <c r="C14" s="22" t="inlineStr">
        <is>
          <t>M03-F04</t>
        </is>
      </c>
      <c r="D14" s="23" t="inlineStr">
        <is>
          <t>Grade Upload via CSV</t>
        </is>
      </c>
      <c r="E14" s="23" t="inlineStr">
        <is>
          <t>CSV Grade Upload Fails due to Decimal Comma Format (8,5)</t>
        </is>
      </c>
      <c r="F14" s="23" t="inlineStr">
        <is>
          <t>Verify that decimal grades formatted with commas (e.g. 8,5) instead of dots (8.5) trigger error.</t>
        </is>
      </c>
      <c r="G14" s="23" t="inlineStr">
        <is>
          <t>Staff user is logged in.</t>
        </is>
      </c>
      <c r="H14" s="23" t="inlineStr">
        <is>
          <t>CSV row: ST001,8,5,9.0 (or double quoted ST001,\8</t>
        </is>
      </c>
      <c r="I14" s="23" t="inlineStr">
        <is>
          <t>5\"</t>
        </is>
      </c>
      <c r="J14" s="23" t="inlineStr">
        <is>
          <t>9.0)"</t>
        </is>
      </c>
      <c r="K14" s="23" t="inlineStr"/>
      <c r="L14" s="24" t="inlineStr">
        <is>
          <t>Not Run</t>
        </is>
      </c>
      <c r="M14" s="21" t="inlineStr">
        <is>
          <t>1. Click Upload Grades via CSV;
2. Select CSV containing '8,5' for ST001;
3. Observe response</t>
        </is>
      </c>
      <c r="N14" s="23" t="inlineStr">
        <is>
          <t>System blocks import or warns of invalid decimal format requiring dot '.'. Grade is not saved incorrectly.</t>
        </is>
      </c>
    </row>
    <row r="15" ht="75" customHeight="1">
      <c r="A15" s="26" t="inlineStr">
        <is>
          <t>TC-M03-014</t>
        </is>
      </c>
      <c r="B15" s="26" t="inlineStr">
        <is>
          <t>Module 03</t>
        </is>
      </c>
      <c r="C15" s="27" t="inlineStr">
        <is>
          <t>M03-F04</t>
        </is>
      </c>
      <c r="D15" s="28" t="inlineStr">
        <is>
          <t>Grade Upload via CSV</t>
        </is>
      </c>
      <c r="E15" s="28" t="inlineStr">
        <is>
          <t>CSV Grade Upload Fails due to Out of Range Grades (0-10)</t>
        </is>
      </c>
      <c r="F15" s="28" t="inlineStr">
        <is>
          <t>Verify that grades outside the 0-10 scale in CSV are rejected.</t>
        </is>
      </c>
      <c r="G15" s="28" t="inlineStr">
        <is>
          <t>Staff user is logged in.</t>
        </is>
      </c>
      <c r="H15" s="28" t="inlineStr">
        <is>
          <t>CSV row: ST001,11.0,8.0 (KT_TX = 11.0)</t>
        </is>
      </c>
      <c r="I15" s="28" t="inlineStr">
        <is>
          <t>1. Click Upload Grades via CSV;
2. Select CSV with invalid grade '11.0';
3. Observe error message</t>
        </is>
      </c>
      <c r="J15" s="28" t="inlineStr">
        <is>
          <t>System blocks import and displays validation error: 'Grade must be between 0 and 10.' at the corresponding row. No grades are saved.</t>
        </is>
      </c>
      <c r="K15" s="28" t="inlineStr"/>
      <c r="L15" s="24" t="inlineStr">
        <is>
          <t>Not Run</t>
        </is>
      </c>
      <c r="M15" s="25" t="inlineStr">
        <is>
          <t>High</t>
        </is>
      </c>
      <c r="N15" s="28" t="inlineStr">
        <is>
          <t>Related Requirement: M03-F04, Validation Rules 9</t>
        </is>
      </c>
    </row>
    <row r="16" ht="90" customHeight="1">
      <c r="A16" s="21" t="inlineStr">
        <is>
          <t>TC-M03-015</t>
        </is>
      </c>
      <c r="B16" s="21" t="inlineStr">
        <is>
          <t>Module 03</t>
        </is>
      </c>
      <c r="C16" s="22" t="inlineStr">
        <is>
          <t>M03-F07</t>
        </is>
      </c>
      <c r="D16" s="23" t="inlineStr">
        <is>
          <t>Manual GPA &amp; Letter Grade Entry</t>
        </is>
      </c>
      <c r="E16" s="23" t="inlineStr">
        <is>
          <t>Manually Upload Semester GPA and Letter Grade via CSV</t>
        </is>
      </c>
      <c r="F16" s="23" t="inlineStr">
        <is>
          <t>Verify that final score, GPA, and letter grades can be manually imported from CSV and preserved without automatic recalculation.</t>
        </is>
      </c>
      <c r="G16" s="23" t="inlineStr">
        <is>
          <t>Student ST001 has semester grade record.</t>
        </is>
      </c>
      <c r="H16" s="23" t="inlineStr">
        <is>
          <t>CSV with StudentID, FinalScore, GPA, LetterGrade. Row: ST001,8.5,3.6,A</t>
        </is>
      </c>
      <c r="I16" s="23" t="inlineStr">
        <is>
          <t>1. Navigate to GPA &amp; Letter Grade CSV import;
2. Select CSV containing GPA=3.6 and LetterGrade=A for ST001;
3. View ST001 semester transcript details</t>
        </is>
      </c>
      <c r="J16" s="23" t="inlineStr">
        <is>
          <t>GPA=3.6 and LetterGrade=A are saved and displayed exactly. No auto-recalculations are performed on these fields.</t>
        </is>
      </c>
      <c r="K16" s="23" t="inlineStr"/>
      <c r="L16" s="24" t="inlineStr">
        <is>
          <t>Not Run</t>
        </is>
      </c>
      <c r="M16" s="25" t="inlineStr">
        <is>
          <t>High</t>
        </is>
      </c>
      <c r="N16" s="23" t="inlineStr">
        <is>
          <t>Related Requirement: M03-F07, Business Rules 7.7</t>
        </is>
      </c>
    </row>
    <row r="17" ht="120" customHeight="1">
      <c r="A17" s="26" t="inlineStr">
        <is>
          <t>TC-M03-016</t>
        </is>
      </c>
      <c r="B17" s="26" t="inlineStr">
        <is>
          <t>Module 03</t>
        </is>
      </c>
      <c r="C17" s="27" t="inlineStr">
        <is>
          <t>M03-F05</t>
        </is>
      </c>
      <c r="D17" s="28" t="inlineStr">
        <is>
          <t>Subject Deletion</t>
        </is>
      </c>
      <c r="E17" s="28" t="inlineStr">
        <is>
          <t>Subject Deletion Confirmation and Grade Cleanup</t>
        </is>
      </c>
      <c r="F17" s="28" t="inlineStr">
        <is>
          <t>Verify that subject deletion requires confirmation and permanently purges all associated grades.</t>
        </is>
      </c>
      <c r="G17" s="28" t="inlineStr">
        <is>
          <t>English subject exists with grades entered for students.</t>
        </is>
      </c>
      <c r="H17" s="28" t="inlineStr">
        <is>
          <t>None</t>
        </is>
      </c>
      <c r="I17" s="28" t="inlineStr">
        <is>
          <t>1. Navigate to subject list;
2. Click Delete icon next to English;
3. Click Cancel on confirmation popup; verify subject exists;
4. Click Delete again, click Confirm/Delete; verify list and DB</t>
        </is>
      </c>
      <c r="J17" s="28" t="inlineStr">
        <is>
          <t>Cancel keeps subject and grades intact. Confirm deletes English from subject list. All associated student grades for English are permanently purged from database.</t>
        </is>
      </c>
      <c r="K17" s="28" t="inlineStr"/>
      <c r="L17" s="24" t="inlineStr">
        <is>
          <t>Not Run</t>
        </is>
      </c>
      <c r="M17" s="25" t="inlineStr">
        <is>
          <t>High</t>
        </is>
      </c>
      <c r="N17" s="28" t="inlineStr">
        <is>
          <t>Related Requirement: M03-F05, Subject Deletion 7.8</t>
        </is>
      </c>
    </row>
    <row r="18" ht="105" customHeight="1">
      <c r="A18" s="21" t="inlineStr">
        <is>
          <t>TC-M03-017</t>
        </is>
      </c>
      <c r="B18" s="21" t="inlineStr">
        <is>
          <t>Module 03</t>
        </is>
      </c>
      <c r="C18" s="22" t="inlineStr">
        <is>
          <t>M03-F06</t>
        </is>
      </c>
      <c r="D18" s="23" t="inlineStr">
        <is>
          <t>PDF Transcript Export</t>
        </is>
      </c>
      <c r="E18" s="23" t="inlineStr">
        <is>
          <t>Export Single Student PDF Transcript</t>
        </is>
      </c>
      <c r="F18" s="23" t="inlineStr">
        <is>
          <t>Verify that staff can generate and download a formal PDF transcript containing academic info for a specific student.</t>
        </is>
      </c>
      <c r="G18" s="23" t="inlineStr">
        <is>
          <t>Student ST001 has grades, GPA, and letter grades entered.</t>
        </is>
      </c>
      <c r="H18" s="23" t="inlineStr">
        <is>
          <t>StudentID=ST001</t>
        </is>
      </c>
      <c r="I18" s="23" t="inlineStr">
        <is>
          <t>1. Open Student list or Export Transcripts page;
2. Find student ST001;
3. Click Export PDF Transcript for ST001;
4. Open the downloaded PDF file</t>
        </is>
      </c>
      <c r="J18" s="23" t="inlineStr">
        <is>
          <t>PDF downloaded successfully. Content displays ST001 info, list of subjects, grades, TBKT, GPA, and Letter Grade.</t>
        </is>
      </c>
      <c r="K18" s="23" t="inlineStr"/>
      <c r="L18" s="24" t="inlineStr">
        <is>
          <t>Not Run</t>
        </is>
      </c>
      <c r="M18" s="25" t="inlineStr">
        <is>
          <t>High</t>
        </is>
      </c>
      <c r="N18" s="23" t="inlineStr">
        <is>
          <t>Related Requirement: M03-F06</t>
        </is>
      </c>
    </row>
    <row r="19" ht="105" customHeight="1">
      <c r="A19" s="26" t="inlineStr">
        <is>
          <t>TC-M03-018</t>
        </is>
      </c>
      <c r="B19" s="26" t="inlineStr">
        <is>
          <t>Module 03</t>
        </is>
      </c>
      <c r="C19" s="27" t="inlineStr">
        <is>
          <t>M03-F06</t>
        </is>
      </c>
      <c r="D19" s="28" t="inlineStr">
        <is>
          <t>PDF Transcript Export</t>
        </is>
      </c>
      <c r="E19" s="28" t="inlineStr">
        <is>
          <t>Bulk Export PDF Transcripts for Multiple Students</t>
        </is>
      </c>
      <c r="F19" s="28" t="inlineStr">
        <is>
          <t>Verify that staff can export transcripts in batch for selected students.</t>
        </is>
      </c>
      <c r="G19" s="28" t="inlineStr">
        <is>
          <t>Multiple students in batch PNV26A have grades.</t>
        </is>
      </c>
      <c r="H19" s="28" t="inlineStr">
        <is>
          <t>Batch=PNV26A; Selected: ST001, ST002, ST003</t>
        </is>
      </c>
      <c r="I19" s="28" t="inlineStr">
        <is>
          <t>1. Open Export Transcripts page;
2. Select Batch PNV26A;
3. Check checkboxes for ST001, ST002, and ST003;
4. Click Export Selected transcripts to PDF</t>
        </is>
      </c>
      <c r="J19" s="28" t="inlineStr">
        <is>
          <t>Export succeeds. A combined PDF file or ZIP file containing individual PDFs is downloaded.</t>
        </is>
      </c>
      <c r="K19" s="28" t="inlineStr"/>
      <c r="L19" s="24" t="inlineStr">
        <is>
          <t>Not Run</t>
        </is>
      </c>
      <c r="M19" s="25" t="inlineStr">
        <is>
          <t>High</t>
        </is>
      </c>
      <c r="N19" s="28" t="inlineStr">
        <is>
          <t>Related Requirement: M03-F06</t>
        </is>
      </c>
    </row>
    <row r="20" ht="75" customHeight="1">
      <c r="A20" s="21" t="inlineStr">
        <is>
          <t>TC-M03-019</t>
        </is>
      </c>
      <c r="B20" s="21" t="inlineStr">
        <is>
          <t>Module 03</t>
        </is>
      </c>
      <c r="C20" s="22" t="inlineStr">
        <is>
          <t>M03-F06</t>
        </is>
      </c>
      <c r="D20" s="23" t="inlineStr">
        <is>
          <t>PDF Transcript Export</t>
        </is>
      </c>
      <c r="E20" s="23" t="inlineStr">
        <is>
          <t>Verify Grade Color Rules on Reports (Green, Orange, Red)</t>
        </is>
      </c>
      <c r="F20" s="23" t="inlineStr">
        <is>
          <t>Verify that final grades (/10) are colored dynamically on reports according to specified ranges.</t>
        </is>
      </c>
      <c r="G20" s="23" t="inlineStr">
        <is>
          <t>ST001 final grade is 8.5; ST002 is 7.0; ST003 is 4.5.</t>
        </is>
      </c>
      <c r="H20" s="23" t="inlineStr">
        <is>
          <t>None</t>
        </is>
      </c>
      <c r="I20" s="23" t="inlineStr">
        <is>
          <t>1. Open Batch Transcript report;
2. Locate final grades for ST001, ST002, and ST003;
3. Observe color of grades</t>
        </is>
      </c>
      <c r="J20" s="23" t="inlineStr">
        <is>
          <t>ST001 final grade (8.5) is Green (🟢) (grade &gt;= 8.0). ST002 final grade (7.0) is Orange (🟡) (grade 5.5 - 7.9). ST003 final grade (4.5) is Red (🔴) (grade &lt; 5.5).</t>
        </is>
      </c>
      <c r="K20" s="23" t="inlineStr"/>
      <c r="L20" s="24" t="inlineStr">
        <is>
          <t>Not Run</t>
        </is>
      </c>
      <c r="M20" s="29" t="inlineStr">
        <is>
          <t>Medium</t>
        </is>
      </c>
      <c r="N20" s="23" t="inlineStr">
        <is>
          <t>Related Requirement: Grade Color Rules 5</t>
        </is>
      </c>
    </row>
    <row r="21" ht="75" customHeight="1">
      <c r="A21" s="26" t="inlineStr">
        <is>
          <t>TC-M03-020</t>
        </is>
      </c>
      <c r="B21" s="26" t="inlineStr">
        <is>
          <t>Module 03</t>
        </is>
      </c>
      <c r="C21" s="27" t="inlineStr">
        <is>
          <t>M03-F06</t>
        </is>
      </c>
      <c r="D21" s="28" t="inlineStr">
        <is>
          <t>PDF Transcript Export</t>
        </is>
      </c>
      <c r="E21" s="28" t="inlineStr">
        <is>
          <t>Verify GPA Color Rules on Reports (Green, Orange, Red)</t>
        </is>
      </c>
      <c r="F21" s="28" t="inlineStr">
        <is>
          <t>Verify that GPA scores (/4) are colored dynamically on reports according to specified ranges.</t>
        </is>
      </c>
      <c r="G21" s="28" t="inlineStr">
        <is>
          <t>ST001 GPA is 3.6; ST002 GPA is 3.0; ST003 GPA is 1.8.</t>
        </is>
      </c>
      <c r="H21" s="28" t="inlineStr">
        <is>
          <t>None</t>
        </is>
      </c>
      <c r="I21" s="28" t="inlineStr">
        <is>
          <t>1. Open Batch Transcript report;
2. Locate GPA scores for ST001, ST002, and ST003;
3. Observe color of GPA</t>
        </is>
      </c>
      <c r="J21" s="28" t="inlineStr">
        <is>
          <t>ST001 GPA (3.6) is Green (🟢) (GPA &gt;= 3.5). ST002 GPA (3.0) is Orange (🟡) (GPA 2.0 - 3.4). ST003 GPA (1.8) is Red (🔴) (GPA &lt; 2.0).</t>
        </is>
      </c>
      <c r="K21" s="28" t="inlineStr"/>
      <c r="L21" s="24" t="inlineStr">
        <is>
          <t>Not Run</t>
        </is>
      </c>
      <c r="M21" s="29" t="inlineStr">
        <is>
          <t>Medium</t>
        </is>
      </c>
      <c r="N21" s="28" t="inlineStr">
        <is>
          <t>Related Requirement: Grade Color Rules 5</t>
        </is>
      </c>
    </row>
    <row r="22" ht="90" customHeight="1">
      <c r="A22" s="21" t="inlineStr">
        <is>
          <t>TC-M03-021</t>
        </is>
      </c>
      <c r="B22" s="21" t="inlineStr">
        <is>
          <t>Module 03</t>
        </is>
      </c>
      <c r="C22" s="22" t="inlineStr">
        <is>
          <t>M03-SEC</t>
        </is>
      </c>
      <c r="D22" s="23" t="inlineStr">
        <is>
          <t>Access Control &amp; Security</t>
        </is>
      </c>
      <c r="E22" s="23" t="inlineStr">
        <is>
          <t>Block Student Access to Academic Management</t>
        </is>
      </c>
      <c r="F22" s="23" t="inlineStr">
        <is>
          <t>Verify that a student user cannot access Academic Management features.</t>
        </is>
      </c>
      <c r="G22" s="23" t="inlineStr">
        <is>
          <t>User logged in with student email student01@student.passerellesnumeriques.org.</t>
        </is>
      </c>
      <c r="H22" s="23" t="inlineStr">
        <is>
          <t>Email=student01@student.passerellesnumeriques.org</t>
        </is>
      </c>
      <c r="I22" s="23" t="inlineStr">
        <is>
          <t>1. Sign in via Google OAuth with student account;
2. Attempt direct URL navigation to Academic Management page;
3. Observe result</t>
        </is>
      </c>
      <c r="J22" s="23" t="inlineStr">
        <is>
          <t>Access is blocked. 'Access Denied' message displays or user is redirected to student home page. Academic Management menu is hidden.</t>
        </is>
      </c>
      <c r="K22" s="23" t="inlineStr"/>
      <c r="L22" s="24" t="inlineStr">
        <is>
          <t>Not Run</t>
        </is>
      </c>
      <c r="M22" s="25" t="inlineStr">
        <is>
          <t>High</t>
        </is>
      </c>
      <c r="N22" s="23" t="inlineStr">
        <is>
          <t>Related Requirement: User Roles</t>
        </is>
      </c>
    </row>
    <row r="23" ht="105" customHeight="1">
      <c r="A23" s="26" t="inlineStr">
        <is>
          <t>TC-M03-022</t>
        </is>
      </c>
      <c r="B23" s="26" t="inlineStr">
        <is>
          <t>Module 03</t>
        </is>
      </c>
      <c r="C23" s="27" t="inlineStr">
        <is>
          <t>M03-F03</t>
        </is>
      </c>
      <c r="D23" s="28" t="inlineStr">
        <is>
          <t>Automatic TBKT Calculation</t>
        </is>
      </c>
      <c r="E23" s="28" t="inlineStr">
        <is>
          <t>TBKT Calculation Independence with Varying Periodic Test Counts (n)</t>
        </is>
      </c>
      <c r="F23" s="28" t="inlineStr">
        <is>
          <t>Verify that TBKT formula calculates correctly for subjects with different numbers of periodic tests (n from 1 to 6).</t>
        </is>
      </c>
      <c r="G23" s="28" t="inlineStr">
        <is>
          <t>Subject A has 1 periodic test (DK1); Subject B has 3 periodic tests (DK1, DK2, DK3).</t>
        </is>
      </c>
      <c r="H23" s="28" t="inlineStr">
        <is>
          <t>Subject A: KT_TX=6.0; DK1=7.0. Subject B: KT_TX=6.0; DK1=7.0; DK2=8.0; DK3=9.0.</t>
        </is>
      </c>
      <c r="I23" s="28" t="inlineStr">
        <is>
          <t>1. Under Subject A, enter KT_TX=6.0 and DK1=7.0 for ST001, save;
2. Under Subject B, enter KT_TX=6.0, DK1=7.0, DK2=8.0, DK3=9.0 for ST001, save;
3. Compare TBKT scores for ST001</t>
        </is>
      </c>
      <c r="J23" s="28" t="inlineStr">
        <is>
          <t>Subject A TBKT is 6.67 (formula: (6.0*1 + 7.0*2)/3 = 6.67). Subject B TBKT is 7.71 (formula: (6.0*1 + 7.0*2 + 8.0*2 + 9.0*2)/7 = 7.71). Both are calculated independently and correctly.</t>
        </is>
      </c>
      <c r="K23" s="28" t="inlineStr"/>
      <c r="L23" s="24" t="inlineStr">
        <is>
          <t>Not Run</t>
        </is>
      </c>
      <c r="M23" s="25" t="inlineStr">
        <is>
          <t>High</t>
        </is>
      </c>
      <c r="N23" s="28" t="inlineStr">
        <is>
          <t>Related Requirement: TBKT Calculation Formula</t>
        </is>
      </c>
    </row>
  </sheetData>
  <autoFilter ref="A1:N23"/>
  <dataValidations count="2">
    <dataValidation sqref="L2:L123" showDropDown="0" showInputMessage="0" showErrorMessage="0" allowBlank="1" errorTitle="Invalid Status" error="Please select a valid state: Passed, Failed, or Not Run" type="list">
      <formula1>"Passed,Failed,Not Run"</formula1>
    </dataValidation>
    <dataValidation sqref="M2:M123"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TC-M04-001</t>
        </is>
      </c>
      <c r="B2" s="21" t="inlineStr">
        <is>
          <t>Module 04</t>
        </is>
      </c>
      <c r="C2" s="22" t="inlineStr">
        <is>
          <t>M04-F01</t>
        </is>
      </c>
      <c r="D2" s="23" t="inlineStr">
        <is>
          <t>Council Feedback Record</t>
        </is>
      </c>
      <c r="E2" s="23" t="inlineStr">
        <is>
          <t>Record Council Feedback Successful</t>
        </is>
      </c>
      <c r="F2" s="23" t="inlineStr">
        <is>
          <t>Verify that staff can successfully record a Class Council record with comments from all departments.</t>
        </is>
      </c>
      <c r="G2" s="23" t="inlineStr">
        <is>
          <t>Staff user is logged in. Student ST001 and Semester 1 exist. No council record exists for ST001 in Semester 1.</t>
        </is>
      </c>
      <c r="H2" s="23" t="inlineStr">
        <is>
          <t>Student=ST001; Semester=Semester 1; GeneralComment=Strong learning attitude; ITComment=Excellent coding skills; EnglishComment=Fluent communicator; PLTComment=Highly cooperative; EducatorComment=Good behavior</t>
        </is>
      </c>
      <c r="I2" s="23" t="inlineStr">
        <is>
          <t>1. Navigate to Class Council Management;
2. Click Create Council Record;
3. Select Student ST001 and Semester 'Semester 1';
4. Enter General Comment 'Strong learning attitude';
5. Enter IT Comment 'Excellent coding skills';
6. Enter English Comment 'Fluent communicator';
7. Enter PLT Comment 'Highly cooperative';
8. Enter Educator Comment 'Good behavior';
9. Click Save</t>
        </is>
      </c>
      <c r="J2" s="23" t="inlineStr">
        <is>
          <t>The record is saved successfully. A success message appears. The student's record is displayed in the list with all comments.</t>
        </is>
      </c>
      <c r="K2" s="23" t="inlineStr"/>
      <c r="L2" s="24" t="inlineStr">
        <is>
          <t>Not Run</t>
        </is>
      </c>
      <c r="M2" s="25" t="inlineStr">
        <is>
          <t>High</t>
        </is>
      </c>
      <c r="N2" s="23" t="inlineStr">
        <is>
          <t>Related Requirement: M04-F01</t>
        </is>
      </c>
    </row>
    <row r="3" ht="165" customHeight="1">
      <c r="A3" s="26" t="inlineStr">
        <is>
          <t>TC-M04-002</t>
        </is>
      </c>
      <c r="B3" s="26" t="inlineStr">
        <is>
          <t>Module 04</t>
        </is>
      </c>
      <c r="C3" s="27" t="inlineStr">
        <is>
          <t>M04-F01</t>
        </is>
      </c>
      <c r="D3" s="28" t="inlineStr">
        <is>
          <t>Council Feedback Record</t>
        </is>
      </c>
      <c r="E3" s="28" t="inlineStr">
        <is>
          <t>Record Council Feedback with Empty Optional Fields</t>
        </is>
      </c>
      <c r="F3" s="28" t="inlineStr">
        <is>
          <t>Verify that saving a completely empty council feedback record is allowed without validation errors.</t>
        </is>
      </c>
      <c r="G3" s="28" t="inlineStr">
        <is>
          <t>Staff user is logged in. Student ST002 and Semester 1 exist. No record exists for ST002 in Semester 1.</t>
        </is>
      </c>
      <c r="H3" s="28" t="inlineStr">
        <is>
          <t>Student=ST002; Semester=Semester 1; AllComments=Empty; Warning=False; WarningReason=Empty</t>
        </is>
      </c>
      <c r="I3" s="28" t="inlineStr">
        <is>
          <t>1. Navigate to Class Council Management;
2. Click Create Council Record;
3. Select Student ST002 and Semester 'Semester 1';
4. Leave all comment fields empty;
5. Ensure Warning is unchecked and Warning Reason is blank;
6. Click Save</t>
        </is>
      </c>
      <c r="J3" s="28" t="inlineStr">
        <is>
          <t>The record is saved successfully. No validation errors occur. No badges appear on the list for student ST002.</t>
        </is>
      </c>
      <c r="K3" s="28" t="inlineStr"/>
      <c r="L3" s="24" t="inlineStr">
        <is>
          <t>Not Run</t>
        </is>
      </c>
      <c r="M3" s="25" t="inlineStr">
        <is>
          <t>High</t>
        </is>
      </c>
      <c r="N3" s="28" t="inlineStr">
        <is>
          <t>Related Requirement: M04-F01, Optional Fields 6.2</t>
        </is>
      </c>
    </row>
    <row r="4" ht="120" customHeight="1">
      <c r="A4" s="21" t="inlineStr">
        <is>
          <t>TC-M04-003</t>
        </is>
      </c>
      <c r="B4" s="21" t="inlineStr">
        <is>
          <t>Module 04</t>
        </is>
      </c>
      <c r="C4" s="22" t="inlineStr">
        <is>
          <t>M04-F02</t>
        </is>
      </c>
      <c r="D4" s="23" t="inlineStr">
        <is>
          <t>Academic Warning Flag</t>
        </is>
      </c>
      <c r="E4" s="23" t="inlineStr">
        <is>
          <t>Set Academic Warning Flag and Warning Reason</t>
        </is>
      </c>
      <c r="F4" s="23" t="inlineStr">
        <is>
          <t>Verify that staff can set an academic warning flag and input a warning reason.</t>
        </is>
      </c>
      <c r="G4" s="23" t="inlineStr">
        <is>
          <t>Staff user is logged in. Student ST001 and Semester 1 exist.</t>
        </is>
      </c>
      <c r="H4" s="23" t="inlineStr">
        <is>
          <t>Student=ST001; Semester=Semester 1; Warning=True; WarningReason=Attendance below required level</t>
        </is>
      </c>
      <c r="I4" s="23" t="inlineStr">
        <is>
          <t>1. Open the council record for ST001 in Semester 1;
2. Check the 'Academic Warning' checkbox;
3. Enter Warning Reason: 'Attendance below required level';
4. Click Save</t>
        </is>
      </c>
      <c r="J4" s="23" t="inlineStr">
        <is>
          <t>The record is saved successfully. The warning badge (⚠) appears next to the student's name in the list.</t>
        </is>
      </c>
      <c r="K4" s="23" t="inlineStr"/>
      <c r="L4" s="24" t="inlineStr">
        <is>
          <t>Not Run</t>
        </is>
      </c>
      <c r="M4" s="25" t="inlineStr">
        <is>
          <t>High</t>
        </is>
      </c>
      <c r="N4" s="23" t="inlineStr">
        <is>
          <t>Related Requirement: M04-F02, Academic Warning 6.3</t>
        </is>
      </c>
    </row>
    <row r="5" ht="105" customHeight="1">
      <c r="A5" s="26" t="inlineStr">
        <is>
          <t>TC-M04-004</t>
        </is>
      </c>
      <c r="B5" s="26" t="inlineStr">
        <is>
          <t>Module 04</t>
        </is>
      </c>
      <c r="C5" s="27" t="inlineStr">
        <is>
          <t>M04-F02</t>
        </is>
      </c>
      <c r="D5" s="28" t="inlineStr">
        <is>
          <t>Academic Warning Flag</t>
        </is>
      </c>
      <c r="E5" s="28" t="inlineStr">
        <is>
          <t>Set Academic Warning Flag with Empty Warning Reason</t>
        </is>
      </c>
      <c r="F5" s="28" t="inlineStr">
        <is>
          <t>Verify that warning reason is optional and saving warning flag without a reason is allowed.</t>
        </is>
      </c>
      <c r="G5" s="28" t="inlineStr">
        <is>
          <t>Staff user is logged in.</t>
        </is>
      </c>
      <c r="H5" s="28" t="inlineStr">
        <is>
          <t>Student=ST001; Semester=Semester 1; Warning=True; WarningReason=Empty</t>
        </is>
      </c>
      <c r="I5" s="28" t="inlineStr">
        <is>
          <t>1. Open the council record for ST001 in Semester 1;
2. Check the 'Academic Warning' checkbox;
3. Leave 'Warning Reason' empty;
4. Click Save</t>
        </is>
      </c>
      <c r="J5" s="28" t="inlineStr">
        <is>
          <t>The record is saved successfully. No validation errors occur. The warning badge (⚠) is displayed on the student list.</t>
        </is>
      </c>
      <c r="K5" s="28" t="inlineStr"/>
      <c r="L5" s="24" t="inlineStr">
        <is>
          <t>Not Run</t>
        </is>
      </c>
      <c r="M5" s="25" t="inlineStr">
        <is>
          <t>High</t>
        </is>
      </c>
      <c r="N5" s="28" t="inlineStr">
        <is>
          <t>Related Requirement: M04-F02, Optional Fields 6.2, Validation Rules 7</t>
        </is>
      </c>
    </row>
    <row r="6" ht="75" customHeight="1">
      <c r="A6" s="21" t="inlineStr">
        <is>
          <t>TC-M04-005</t>
        </is>
      </c>
      <c r="B6" s="21" t="inlineStr">
        <is>
          <t>Module 04</t>
        </is>
      </c>
      <c r="C6" s="22" t="inlineStr">
        <is>
          <t>M04-F03</t>
        </is>
      </c>
      <c r="D6" s="23" t="inlineStr">
        <is>
          <t>Duplicate Record Prevention</t>
        </is>
      </c>
      <c r="E6" s="23" t="inlineStr">
        <is>
          <t>Block Duplicate Council Record for Same Student and Semester</t>
        </is>
      </c>
      <c r="F6" s="23" t="inlineStr">
        <is>
          <t>Verify that the system blocks creating a second Class Council record for the same student in the same semester.</t>
        </is>
      </c>
      <c r="G6" s="23" t="inlineStr">
        <is>
          <t>Staff user is logged in. A Class Council record already exists for ST001 in Semester 1.</t>
        </is>
      </c>
      <c r="H6" s="23" t="inlineStr">
        <is>
          <t>Student=ST001; Semester=Semester 1</t>
        </is>
      </c>
      <c r="I6" s="23" t="inlineStr">
        <is>
          <t>1. Open Create Council Record;
2. Select Student ST001 and Semester 'Semester 1';
3. Enter any comment and click Save</t>
        </is>
      </c>
      <c r="J6" s="23" t="inlineStr">
        <is>
          <t>The system rejects saving and displays error: 'Duplicate record error'. No duplicate record is created.</t>
        </is>
      </c>
      <c r="K6" s="23" t="inlineStr"/>
      <c r="L6" s="24" t="inlineStr">
        <is>
          <t>Not Run</t>
        </is>
      </c>
      <c r="M6" s="25" t="inlineStr">
        <is>
          <t>High</t>
        </is>
      </c>
      <c r="N6" s="23" t="inlineStr">
        <is>
          <t>Related Requirement: M04-F03, One Record per Student per Semester 6.1</t>
        </is>
      </c>
    </row>
    <row r="7" ht="120" customHeight="1">
      <c r="A7" s="26" t="inlineStr">
        <is>
          <t>TC-M04-006</t>
        </is>
      </c>
      <c r="B7" s="26" t="inlineStr">
        <is>
          <t>Module 04</t>
        </is>
      </c>
      <c r="C7" s="27" t="inlineStr">
        <is>
          <t>M04-F04</t>
        </is>
      </c>
      <c r="D7" s="28" t="inlineStr">
        <is>
          <t>Auto Draft Saving</t>
        </is>
      </c>
      <c r="E7" s="28" t="inlineStr">
        <is>
          <t>Verify Automatic Draft Saving in Browser Local Storage</t>
        </is>
      </c>
      <c r="F7" s="28" t="inlineStr">
        <is>
          <t>Verify that the system automatically saves typed comments into local storage in the background.</t>
        </is>
      </c>
      <c r="G7" s="28" t="inlineStr">
        <is>
          <t>Staff user is logged in. Bi-directional sync/save has not been initiated.</t>
        </is>
      </c>
      <c r="H7" s="28" t="inlineStr">
        <is>
          <t>Student=ST003; Semester=Semester 1; ITComment=Draft comment for IT department</t>
        </is>
      </c>
      <c r="I7" s="28" t="inlineStr">
        <is>
          <t>1. Open the council record for ST003 in Semester 1;
2. Type IT Comment 'Draft comment for IT department';
3. Do NOT click Save;
4. Open Developer Tools -&gt; Application -&gt; Local Storage</t>
        </is>
      </c>
      <c r="J7" s="28" t="inlineStr">
        <is>
          <t>The text 'Draft comment for IT department' is saved automatically to browser Local Storage under a key representing ST003/Semester 1 as typing occurs.</t>
        </is>
      </c>
      <c r="K7" s="28" t="inlineStr"/>
      <c r="L7" s="24" t="inlineStr">
        <is>
          <t>Not Run</t>
        </is>
      </c>
      <c r="M7" s="25" t="inlineStr">
        <is>
          <t>High</t>
        </is>
      </c>
      <c r="N7" s="28" t="inlineStr">
        <is>
          <t>Related Requirement: M04-F04, Automatic Draft Saving 6.5</t>
        </is>
      </c>
    </row>
    <row r="8" ht="120" customHeight="1">
      <c r="A8" s="21" t="inlineStr">
        <is>
          <t>TC-M04-007</t>
        </is>
      </c>
      <c r="B8" s="21" t="inlineStr">
        <is>
          <t>Module 04</t>
        </is>
      </c>
      <c r="C8" s="22" t="inlineStr">
        <is>
          <t>M04-F05</t>
        </is>
      </c>
      <c r="D8" s="23" t="inlineStr">
        <is>
          <t>Draft Recovery / Discard</t>
        </is>
      </c>
      <c r="E8" s="23" t="inlineStr">
        <is>
          <t>Recover Unsaved Draft after Unexpected Browser Closure</t>
        </is>
      </c>
      <c r="F8" s="23" t="inlineStr">
        <is>
          <t>Verify that the system detects unsaved local drafts and displays a prompt to restore them.</t>
        </is>
      </c>
      <c r="G8" s="23" t="inlineStr">
        <is>
          <t>Unsaved draft for ST003 with ITComment='Draft comment for IT department' exists in Local Storage. Sheets database does not have this comment.</t>
        </is>
      </c>
      <c r="H8" s="23" t="inlineStr">
        <is>
          <t>Student=ST003; Semester=Semester 1</t>
        </is>
      </c>
      <c r="I8" s="23" t="inlineStr">
        <is>
          <t>1. Close browser and reopen it (simulating crash);
2. Navigate back to the council record for ST003 in Semester 1;
3. Verify prompt;
4. Select 'Continue editing'</t>
        </is>
      </c>
      <c r="J8" s="23" t="inlineStr">
        <is>
          <t>An 'Unsaved Draft' warning/prompt is shown. Selecting 'Continue editing' restores the draft text 'Draft comment for IT department' to the IT Comment text box.</t>
        </is>
      </c>
      <c r="K8" s="23" t="inlineStr"/>
      <c r="L8" s="24" t="inlineStr">
        <is>
          <t>Not Run</t>
        </is>
      </c>
      <c r="M8" s="25" t="inlineStr">
        <is>
          <t>High</t>
        </is>
      </c>
      <c r="N8" s="23" t="inlineStr">
        <is>
          <t>Related Requirement: M04-F05, Draft Recovery 6.6</t>
        </is>
      </c>
    </row>
    <row r="9" ht="90" customHeight="1">
      <c r="A9" s="26" t="inlineStr">
        <is>
          <t>TC-M04-008</t>
        </is>
      </c>
      <c r="B9" s="26" t="inlineStr">
        <is>
          <t>Module 04</t>
        </is>
      </c>
      <c r="C9" s="27" t="inlineStr">
        <is>
          <t>M04-F05</t>
        </is>
      </c>
      <c r="D9" s="28" t="inlineStr">
        <is>
          <t>Draft Recovery / Discard</t>
        </is>
      </c>
      <c r="E9" s="28" t="inlineStr">
        <is>
          <t>Discard Unsaved Draft to Restore Last Saved Data</t>
        </is>
      </c>
      <c r="F9" s="28" t="inlineStr">
        <is>
          <t>Verify that choosing to discard an unsaved draft removes it and restores the last saved data from database.</t>
        </is>
      </c>
      <c r="G9" s="28" t="inlineStr">
        <is>
          <t>Official database record for ST003 has ITComment='Good student'. Unsaved draft in Local Storage has ITComment='Draft edit'.</t>
        </is>
      </c>
      <c r="H9" s="28" t="inlineStr">
        <is>
          <t>Student=ST003; Semester=Semester 1</t>
        </is>
      </c>
      <c r="I9" s="28" t="inlineStr">
        <is>
          <t>1. Open council record for ST003 in Semester 1;
2. When 'Unsaved Draft' prompt appears, select 'Discard draft';
3. Check the IT Comment text box</t>
        </is>
      </c>
      <c r="J9" s="28" t="inlineStr">
        <is>
          <t>Local Storage draft is cleared. The IT Comment reverts to the database value 'Good student'. Draft edits are discarded.</t>
        </is>
      </c>
      <c r="K9" s="28" t="inlineStr"/>
      <c r="L9" s="24" t="inlineStr">
        <is>
          <t>Not Run</t>
        </is>
      </c>
      <c r="M9" s="25" t="inlineStr">
        <is>
          <t>High</t>
        </is>
      </c>
      <c r="N9" s="28" t="inlineStr">
        <is>
          <t>Related Requirement: M04-F05, Draft Recovery 6.6</t>
        </is>
      </c>
    </row>
    <row r="10" ht="135" customHeight="1">
      <c r="A10" s="21" t="inlineStr">
        <is>
          <t>TC-M04-009</t>
        </is>
      </c>
      <c r="B10" s="21" t="inlineStr">
        <is>
          <t>Module 04</t>
        </is>
      </c>
      <c r="C10" s="22" t="inlineStr">
        <is>
          <t>M04-F06</t>
        </is>
      </c>
      <c r="D10" s="23" t="inlineStr">
        <is>
          <t>Batch Feedback Entry</t>
        </is>
      </c>
      <c r="E10" s="23" t="inlineStr">
        <is>
          <t>Batch Feedback Entry by Comment Type</t>
        </is>
      </c>
      <c r="F10" s="23" t="inlineStr">
        <is>
          <t>Verify that staff can enter the same feedback type for multiple students simultaneously in batch mode.</t>
        </is>
      </c>
      <c r="G10" s="23" t="inlineStr">
        <is>
          <t>Staff user is logged in. Students ST001, ST002, and ST003 exist in Batch PNV26A.</t>
        </is>
      </c>
      <c r="H10" s="23" t="inlineStr">
        <is>
          <t>Batch=PNV26A; Semester=Semester 1; FeedbackType=IT Comment; Comments='Active performance in programming project' for ST001, ST002, and ST003</t>
        </is>
      </c>
      <c r="I10" s="23" t="inlineStr">
        <is>
          <t>1. Open Batch Feedback page;
2. Select Batch PNV26A, Semester 'Semester 1', and Feedback Type 'IT Comment';
3. In the grid, type 'Active performance in programming project' for ST001, ST002, and ST003;
4. Click Save All</t>
        </is>
      </c>
      <c r="J10" s="23" t="inlineStr">
        <is>
          <t>All three records are saved successfully. Success message 'Saved 3 students' is shown. Selected students have the new IT comment.</t>
        </is>
      </c>
      <c r="K10" s="23" t="inlineStr"/>
      <c r="L10" s="24" t="inlineStr">
        <is>
          <t>Not Run</t>
        </is>
      </c>
      <c r="M10" s="25" t="inlineStr">
        <is>
          <t>High</t>
        </is>
      </c>
      <c r="N10" s="23" t="inlineStr">
        <is>
          <t>Related Requirement: M04-F06, Batch Feedback 6.7</t>
        </is>
      </c>
    </row>
    <row r="11" ht="120" customHeight="1">
      <c r="A11" s="26" t="inlineStr">
        <is>
          <t>TC-M04-010</t>
        </is>
      </c>
      <c r="B11" s="26" t="inlineStr">
        <is>
          <t>Module 04</t>
        </is>
      </c>
      <c r="C11" s="27" t="inlineStr">
        <is>
          <t>M04-F06</t>
        </is>
      </c>
      <c r="D11" s="28" t="inlineStr">
        <is>
          <t>Batch Feedback Entry</t>
        </is>
      </c>
      <c r="E11" s="28" t="inlineStr">
        <is>
          <t>Batch Feedback Entry Does Not Overwrite Other Comment Fields</t>
        </is>
      </c>
      <c r="F11" s="28" t="inlineStr">
        <is>
          <t>Verify that entering batch feedback for one field does not erase other existing comment fields for that student.</t>
        </is>
      </c>
      <c r="G11" s="28" t="inlineStr">
        <is>
          <t>Student ST001 has existing ITComment='Excellent coding' and EnglishComment='Good speaking'.</t>
        </is>
      </c>
      <c r="H11" s="28" t="inlineStr">
        <is>
          <t>FeedbackType=English Comment; NewEnglishComment='Excellent communication'</t>
        </is>
      </c>
      <c r="I11" s="28" t="inlineStr">
        <is>
          <t>1. Open Batch Feedback page;
2. Select Feedback Type 'English Comment';
3. Input 'Excellent communication' for ST001 and click Save;
4. Navigate to ST001's council record details</t>
        </is>
      </c>
      <c r="J11" s="28" t="inlineStr">
        <is>
          <t>English Comment is updated to 'Excellent communication'. The existing IT Comment is preserved as 'Excellent coding' (not cleared).</t>
        </is>
      </c>
      <c r="K11" s="28" t="inlineStr"/>
      <c r="L11" s="24" t="inlineStr">
        <is>
          <t>Not Run</t>
        </is>
      </c>
      <c r="M11" s="25" t="inlineStr">
        <is>
          <t>High</t>
        </is>
      </c>
      <c r="N11" s="28" t="inlineStr">
        <is>
          <t>Related Requirement: M04-F06, Batch Feedback 6.7</t>
        </is>
      </c>
    </row>
    <row r="12" ht="150" customHeight="1">
      <c r="A12" s="21" t="inlineStr">
        <is>
          <t>TC-M04-011</t>
        </is>
      </c>
      <c r="B12" s="21" t="inlineStr">
        <is>
          <t>Module 04</t>
        </is>
      </c>
      <c r="C12" s="22" t="inlineStr">
        <is>
          <t>M04-F07</t>
        </is>
      </c>
      <c r="D12" s="23" t="inlineStr">
        <is>
          <t>Concurrent Edit Conflict Handling</t>
        </is>
      </c>
      <c r="E12" s="23" t="inlineStr">
        <is>
          <t>Three-Way Merge for Non-conflicting Concurrent Edits</t>
        </is>
      </c>
      <c r="F12" s="23" t="inlineStr">
        <is>
          <t>Verify that concurrent edits on different fields of the same record are merged successfully using 3-way merge.</t>
        </is>
      </c>
      <c r="G12" s="23" t="inlineStr">
        <is>
          <t>Teacher A and Teacher B are logged in. The database record for ST001 has GeneralComment='Good student', other fields are empty.</t>
        </is>
      </c>
      <c r="H12" s="23" t="inlineStr">
        <is>
          <t>ST001 record in Semester 1; Teacher B saves ITComment='Excellent'; Teacher A saves EnglishComment='Fluent'</t>
        </is>
      </c>
      <c r="I12" s="23" t="inlineStr">
        <is>
          <t>1. Teacher A opens ST001 council edit form;
2. Teacher B opens ST001 council edit form;
3. Teacher B updates IT Comment to 'Excellent' and clicks Save first;
4. Teacher A updates English Comment to 'Fluent' (IT Comment remains empty on their screen) and clicks Save</t>
        </is>
      </c>
      <c r="J12" s="23" t="inlineStr">
        <is>
          <t>Save succeeds. The final record on Sheets is merged: GeneralComment='Good student', ITComment='Excellent', and EnglishComment='Fluent'. Teacher A receives notification of updates by another teacher.</t>
        </is>
      </c>
      <c r="K12" s="23" t="inlineStr"/>
      <c r="L12" s="24" t="inlineStr">
        <is>
          <t>Not Run</t>
        </is>
      </c>
      <c r="M12" s="25" t="inlineStr">
        <is>
          <t>High</t>
        </is>
      </c>
      <c r="N12" s="23" t="inlineStr">
        <is>
          <t>Related Requirement: M04-F07, Concurrent Editing 6.8</t>
        </is>
      </c>
    </row>
    <row r="13" ht="135" customHeight="1">
      <c r="A13" s="26" t="inlineStr">
        <is>
          <t>TC-M04-012</t>
        </is>
      </c>
      <c r="B13" s="26" t="inlineStr">
        <is>
          <t>Module 04</t>
        </is>
      </c>
      <c r="C13" s="27" t="inlineStr">
        <is>
          <t>M04-F07</t>
        </is>
      </c>
      <c r="D13" s="28" t="inlineStr">
        <is>
          <t>Concurrent Edit Conflict Handling</t>
        </is>
      </c>
      <c r="E13" s="28" t="inlineStr">
        <is>
          <t>Flag Conflict on Concurrent Edits of Same Field</t>
        </is>
      </c>
      <c r="F13" s="28" t="inlineStr">
        <is>
          <t>Verify that concurrent edits on the same field block the second user from overwriting first user's saved data and flag a conflict.</t>
        </is>
      </c>
      <c r="G13" s="28" t="inlineStr">
        <is>
          <t>Teacher A and Teacher B are logged in. ST001 has ITComment='Good'.</t>
        </is>
      </c>
      <c r="H13" s="28" t="inlineStr">
        <is>
          <t>ST001 record in Semester 1; Teacher B saves ITComment='Excellent'; Teacher A saves ITComment='Very Good'</t>
        </is>
      </c>
      <c r="I13" s="28" t="inlineStr">
        <is>
          <t>1. Teacher A opens ST001 edit form;
2. Teacher B opens ST001 edit form;
3. Teacher B changes IT Comment to 'Excellent' and clicks Save;
4. Teacher A changes IT Comment to 'Very Good' and clicks Save after Teacher B</t>
        </is>
      </c>
      <c r="J13" s="28" t="inlineStr">
        <is>
          <t>Teacher A's save is blocked or triggers a conflict. An error 'Saved, but these fields were updated by another teacher: IT Comment' is shown. Teacher B's value 'Excellent' is preserved in database.</t>
        </is>
      </c>
      <c r="K13" s="28" t="inlineStr"/>
      <c r="L13" s="24" t="inlineStr">
        <is>
          <t>Not Run</t>
        </is>
      </c>
      <c r="M13" s="25" t="inlineStr">
        <is>
          <t>High</t>
        </is>
      </c>
      <c r="N13" s="28" t="inlineStr">
        <is>
          <t>Related Requirement: M04-F07, Concurrent Editing 6.8</t>
        </is>
      </c>
    </row>
    <row r="14" ht="75" customHeight="1">
      <c r="A14" s="21" t="inlineStr">
        <is>
          <t>TC-M04-013</t>
        </is>
      </c>
      <c r="B14" s="21" t="inlineStr">
        <is>
          <t>Module 04</t>
        </is>
      </c>
      <c r="C14" s="22" t="inlineStr">
        <is>
          <t>M04-F08</t>
        </is>
      </c>
      <c r="D14" s="23" t="inlineStr">
        <is>
          <t>PDF Report Export</t>
        </is>
      </c>
      <c r="E14" s="23" t="inlineStr">
        <is>
          <t>Export Class Council Report to PDF</t>
        </is>
      </c>
      <c r="F14" s="23" t="inlineStr">
        <is>
          <t>Verify that staff can generate and download a PDF report containing student info, semester, comments, and warnings.</t>
        </is>
      </c>
      <c r="G14" s="23" t="inlineStr">
        <is>
          <t>Student ST001 has a complete council record in Semester 1.</t>
        </is>
      </c>
      <c r="H14" s="23" t="inlineStr">
        <is>
          <t>Student=ST001; Semester=Semester 1</t>
        </is>
      </c>
      <c r="I14" s="23" t="inlineStr">
        <is>
          <t>1. Open ST001's council record details page;
2. Click Export PDF;
3. Open the downloaded PDF file</t>
        </is>
      </c>
      <c r="J14" s="23" t="inlineStr">
        <is>
          <t>The PDF report downloads successfully. It contains student details, Semester 1, all teacher comments, and warning details formatted correctly.</t>
        </is>
      </c>
      <c r="K14" s="23" t="inlineStr"/>
      <c r="L14" s="24" t="inlineStr">
        <is>
          <t>Not Run</t>
        </is>
      </c>
      <c r="M14" s="25" t="inlineStr">
        <is>
          <t>High</t>
        </is>
      </c>
      <c r="N14" s="23" t="inlineStr">
        <is>
          <t>Related Requirement: M04-F08, PDF Export 6.9</t>
        </is>
      </c>
    </row>
    <row r="15" ht="60" customHeight="1">
      <c r="A15" s="26" t="inlineStr">
        <is>
          <t>TC-M04-014</t>
        </is>
      </c>
      <c r="B15" s="26" t="inlineStr">
        <is>
          <t>Module 04</t>
        </is>
      </c>
      <c r="C15" s="27" t="inlineStr">
        <is>
          <t>M04-F01</t>
        </is>
      </c>
      <c r="D15" s="28" t="inlineStr">
        <is>
          <t>Council Feedback Record</t>
        </is>
      </c>
      <c r="E15" s="28" t="inlineStr">
        <is>
          <t>Trend Chart Hidden for Semester 1</t>
        </is>
      </c>
      <c r="F15" s="28" t="inlineStr">
        <is>
          <t>Verify that the trend chart is hidden on the report when viewing/exporting Semester 1 results.</t>
        </is>
      </c>
      <c r="G15" s="28" t="inlineStr">
        <is>
          <t>Student ST001 has a council record in Semester 1.</t>
        </is>
      </c>
      <c r="H15" s="28" t="inlineStr">
        <is>
          <t>Student=ST001; Semester=Semester 1</t>
        </is>
      </c>
      <c r="I15" s="28" t="inlineStr">
        <is>
          <t>1. Open or export PDF report for ST001 in Semester 1;
2. Check the Trend Chart section</t>
        </is>
      </c>
      <c r="J15" s="28" t="inlineStr">
        <is>
          <t>No trend chart is displayed on the UI or PDF report for Semester 1 (since no prior semester history exists).</t>
        </is>
      </c>
      <c r="K15" s="28" t="inlineStr"/>
      <c r="L15" s="24" t="inlineStr">
        <is>
          <t>Not Run</t>
        </is>
      </c>
      <c r="M15" s="29" t="inlineStr">
        <is>
          <t>Medium</t>
        </is>
      </c>
      <c r="N15" s="28" t="inlineStr">
        <is>
          <t>Related Requirement: Business Rules, Trend Chart 6.10</t>
        </is>
      </c>
    </row>
    <row r="16" ht="60" customHeight="1">
      <c r="A16" s="21" t="inlineStr">
        <is>
          <t>TC-M04-015</t>
        </is>
      </c>
      <c r="B16" s="21" t="inlineStr">
        <is>
          <t>Module 04</t>
        </is>
      </c>
      <c r="C16" s="22" t="inlineStr">
        <is>
          <t>M04-F01</t>
        </is>
      </c>
      <c r="D16" s="23" t="inlineStr">
        <is>
          <t>Council Feedback Record</t>
        </is>
      </c>
      <c r="E16" s="23" t="inlineStr">
        <is>
          <t>Trend Chart Displayed for Semester 2 or Later</t>
        </is>
      </c>
      <c r="F16" s="23" t="inlineStr">
        <is>
          <t>Verify that the trend chart is shown when viewing/exporting results for Semester 2 or later.</t>
        </is>
      </c>
      <c r="G16" s="23" t="inlineStr">
        <is>
          <t>Student ST001 has council records and grade history in both Semester 1 and Semester 2.</t>
        </is>
      </c>
      <c r="H16" s="23" t="inlineStr">
        <is>
          <t>Student=ST001; Semester=Semester 2</t>
        </is>
      </c>
      <c r="I16" s="23" t="inlineStr">
        <is>
          <t>1. Open or export PDF report for ST001 in Semester 2;
2. Check the Trend Chart section</t>
        </is>
      </c>
      <c r="J16" s="23" t="inlineStr">
        <is>
          <t>The trend chart is displayed successfully in the UI and PDF, depicting ST001's performance trend from Semester 1 to Semester 2.</t>
        </is>
      </c>
      <c r="K16" s="23" t="inlineStr"/>
      <c r="L16" s="24" t="inlineStr">
        <is>
          <t>Not Run</t>
        </is>
      </c>
      <c r="M16" s="29" t="inlineStr">
        <is>
          <t>Medium</t>
        </is>
      </c>
      <c r="N16" s="23" t="inlineStr">
        <is>
          <t>Related Requirement: Business Rules, Trend Chart 6.10</t>
        </is>
      </c>
    </row>
    <row r="17" ht="120" customHeight="1">
      <c r="A17" s="26" t="inlineStr">
        <is>
          <t>TC-M04-016</t>
        </is>
      </c>
      <c r="B17" s="26" t="inlineStr">
        <is>
          <t>Module 04</t>
        </is>
      </c>
      <c r="C17" s="27" t="inlineStr">
        <is>
          <t>M04-F02</t>
        </is>
      </c>
      <c r="D17" s="28" t="inlineStr">
        <is>
          <t>Academic Warning Flag</t>
        </is>
      </c>
      <c r="E17" s="28" t="inlineStr">
        <is>
          <t>Badge Display Activation on Content Entry</t>
        </is>
      </c>
      <c r="F17" s="28" t="inlineStr">
        <is>
          <t>Verify that saving comments activates their corresponding badges (G, IT, EN, PLT, ED) on the student list.</t>
        </is>
      </c>
      <c r="G17" s="28" t="inlineStr">
        <is>
          <t>Staff user is logged in. ST001 has no comments in Semester 1.</t>
        </is>
      </c>
      <c r="H17" s="28" t="inlineStr">
        <is>
          <t>Student=ST001; Semester=Semester 1; ITComment='Good'; EducatorComment='Active'</t>
        </is>
      </c>
      <c r="I17" s="28" t="inlineStr">
        <is>
          <t>1. Create council record for ST001 in Semester 1;
2. Input IT Comment 'Good' and Educator Comment 'Active' (others left empty);
3. Click Save;
4. Go to student list and observe ST001 row</t>
        </is>
      </c>
      <c r="J17" s="28" t="inlineStr">
        <is>
          <t>Only 'IT' and 'ED' badges are activated/displayed next to ST001's name. Other badges (G, EN, PLT, ⚠) are hidden.</t>
        </is>
      </c>
      <c r="K17" s="28" t="inlineStr"/>
      <c r="L17" s="24" t="inlineStr">
        <is>
          <t>Not Run</t>
        </is>
      </c>
      <c r="M17" s="29" t="inlineStr">
        <is>
          <t>Medium</t>
        </is>
      </c>
      <c r="N17" s="28" t="inlineStr">
        <is>
          <t>Related Requirement: Business Rules, Badge Display 6.4</t>
        </is>
      </c>
    </row>
    <row r="18" ht="105" customHeight="1">
      <c r="A18" s="21" t="inlineStr">
        <is>
          <t>TC-M04-017</t>
        </is>
      </c>
      <c r="B18" s="21" t="inlineStr">
        <is>
          <t>Module 04</t>
        </is>
      </c>
      <c r="C18" s="22" t="inlineStr">
        <is>
          <t>M04-F02</t>
        </is>
      </c>
      <c r="D18" s="23" t="inlineStr">
        <is>
          <t>Academic Warning Flag</t>
        </is>
      </c>
      <c r="E18" s="23" t="inlineStr">
        <is>
          <t>Badge Display Deactivation on Content Removal</t>
        </is>
      </c>
      <c r="F18" s="23" t="inlineStr">
        <is>
          <t>Verify that removing comment content deactivates the corresponding badge on save.</t>
        </is>
      </c>
      <c r="G18" s="23" t="inlineStr">
        <is>
          <t>Student ST001 has an IT comment and the 'IT' badge is active.</t>
        </is>
      </c>
      <c r="H18" s="23" t="inlineStr">
        <is>
          <t>Student=ST001; Semester=Semester 1; ITComment=''</t>
        </is>
      </c>
      <c r="I18" s="23" t="inlineStr">
        <is>
          <t>1. Open ST001's Semester 1 council record;
2. Clear the IT Comment field completely;
3. Click Save;
4. Go to student list and observe badges</t>
        </is>
      </c>
      <c r="J18" s="23" t="inlineStr">
        <is>
          <t>The record is updated. The 'IT' badge disappears from ST001's name on the list since its comment was removed.</t>
        </is>
      </c>
      <c r="K18" s="23" t="inlineStr"/>
      <c r="L18" s="24" t="inlineStr">
        <is>
          <t>Not Run</t>
        </is>
      </c>
      <c r="M18" s="29" t="inlineStr">
        <is>
          <t>Medium</t>
        </is>
      </c>
      <c r="N18" s="23" t="inlineStr">
        <is>
          <t>Related Requirement: Business Rules, Badge Display 6.4</t>
        </is>
      </c>
    </row>
    <row r="19" ht="105" customHeight="1">
      <c r="A19" s="26" t="inlineStr">
        <is>
          <t>TC-M04-018</t>
        </is>
      </c>
      <c r="B19" s="26" t="inlineStr">
        <is>
          <t>Module 04</t>
        </is>
      </c>
      <c r="C19" s="27" t="inlineStr">
        <is>
          <t>M04-F01</t>
        </is>
      </c>
      <c r="D19" s="28" t="inlineStr">
        <is>
          <t>Council Feedback Record</t>
        </is>
      </c>
      <c r="E19" s="28" t="inlineStr">
        <is>
          <t>Record Saving Fails with Missing Student Selection</t>
        </is>
      </c>
      <c r="F19" s="28" t="inlineStr">
        <is>
          <t>Verify that the system blocks saving if the student selection is missing.</t>
        </is>
      </c>
      <c r="G19" s="28" t="inlineStr">
        <is>
          <t>Staff user is logged in.</t>
        </is>
      </c>
      <c r="H19" s="28" t="inlineStr">
        <is>
          <t>Student=Empty; Semester=Semester 1; GeneralComment=Good</t>
        </is>
      </c>
      <c r="I19" s="28" t="inlineStr">
        <is>
          <t>1. Navigate to Create Council Record;
2. Leave Student selection empty;
3. Select Semester 'Semester 1';
4. Enter General Comment 'Good' and click Save</t>
        </is>
      </c>
      <c r="J19" s="28" t="inlineStr">
        <is>
          <t>Saving is blocked. Validation error message requires student selection. The student field is highlighted in red.</t>
        </is>
      </c>
      <c r="K19" s="28" t="inlineStr"/>
      <c r="L19" s="24" t="inlineStr">
        <is>
          <t>Not Run</t>
        </is>
      </c>
      <c r="M19" s="25" t="inlineStr">
        <is>
          <t>High</t>
        </is>
      </c>
      <c r="N19" s="28" t="inlineStr">
        <is>
          <t>Related Requirement: Validation Rules 7</t>
        </is>
      </c>
    </row>
    <row r="20" ht="105" customHeight="1">
      <c r="A20" s="21" t="inlineStr">
        <is>
          <t>TC-M04-019</t>
        </is>
      </c>
      <c r="B20" s="21" t="inlineStr">
        <is>
          <t>Module 04</t>
        </is>
      </c>
      <c r="C20" s="22" t="inlineStr">
        <is>
          <t>M04-F01</t>
        </is>
      </c>
      <c r="D20" s="23" t="inlineStr">
        <is>
          <t>Council Feedback Record</t>
        </is>
      </c>
      <c r="E20" s="23" t="inlineStr">
        <is>
          <t>Record Saving Fails with Missing Semester Selection</t>
        </is>
      </c>
      <c r="F20" s="23" t="inlineStr">
        <is>
          <t>Verify that the system blocks saving if the semester selection is missing.</t>
        </is>
      </c>
      <c r="G20" s="23" t="inlineStr">
        <is>
          <t>Staff user is logged in.</t>
        </is>
      </c>
      <c r="H20" s="23" t="inlineStr">
        <is>
          <t>Student=ST001; Semester=Empty; GeneralComment=Good</t>
        </is>
      </c>
      <c r="I20" s="23" t="inlineStr">
        <is>
          <t>1. Navigate to Create Council Record;
2. Select Student ST001;
3. Leave Semester selection empty;
4. Enter General Comment 'Good' and click Save</t>
        </is>
      </c>
      <c r="J20" s="23" t="inlineStr">
        <is>
          <t>Saving is blocked. Validation error message requires semester selection. The semester field is highlighted in red.</t>
        </is>
      </c>
      <c r="K20" s="23" t="inlineStr"/>
      <c r="L20" s="24" t="inlineStr">
        <is>
          <t>Not Run</t>
        </is>
      </c>
      <c r="M20" s="25" t="inlineStr">
        <is>
          <t>High</t>
        </is>
      </c>
      <c r="N20" s="23" t="inlineStr">
        <is>
          <t>Related Requirement: Validation Rules 7</t>
        </is>
      </c>
    </row>
    <row r="21" ht="75" customHeight="1">
      <c r="A21" s="26" t="inlineStr">
        <is>
          <t>TC-M04-020</t>
        </is>
      </c>
      <c r="B21" s="26" t="inlineStr">
        <is>
          <t>Module 04</t>
        </is>
      </c>
      <c r="C21" s="27" t="inlineStr">
        <is>
          <t>M04-SEC</t>
        </is>
      </c>
      <c r="D21" s="28" t="inlineStr">
        <is>
          <t>Access Control &amp; Security</t>
        </is>
      </c>
      <c r="E21" s="28" t="inlineStr">
        <is>
          <t>Block Student Access to Class Council Management</t>
        </is>
      </c>
      <c r="F21" s="28" t="inlineStr">
        <is>
          <t>Verify that a user logged in with a Student email domain cannot access Class Council Management.</t>
        </is>
      </c>
      <c r="G21" s="28" t="inlineStr">
        <is>
          <t>User logged in with student email student01@student.passerellesnumeriques.org.</t>
        </is>
      </c>
      <c r="H21" s="28" t="inlineStr">
        <is>
          <t>Email=student01@student.passerellesnumeriques.org</t>
        </is>
      </c>
      <c r="I21" s="28" t="inlineStr">
        <is>
          <t>1. Log in with student account;
2. Attempt direct URL navigation to Class Council Management page;
3. Observe UI</t>
        </is>
      </c>
      <c r="J21" s="28" t="inlineStr">
        <is>
          <t>Access is denied. An 'Access Denied' message is shown, or user is redirected to student home page. Management menu is hidden.</t>
        </is>
      </c>
      <c r="K21" s="28" t="inlineStr"/>
      <c r="L21" s="24" t="inlineStr">
        <is>
          <t>Not Run</t>
        </is>
      </c>
      <c r="M21" s="25" t="inlineStr">
        <is>
          <t>High</t>
        </is>
      </c>
      <c r="N21" s="28" t="inlineStr">
        <is>
          <t>Related Requirement: General Rules, User Roles</t>
        </is>
      </c>
    </row>
    <row r="22" ht="45" customHeight="1">
      <c r="A22" s="21" t="inlineStr">
        <is>
          <t>TC-M04-021</t>
        </is>
      </c>
      <c r="B22" s="21" t="inlineStr">
        <is>
          <t>Module 04</t>
        </is>
      </c>
      <c r="C22" s="22" t="inlineStr">
        <is>
          <t>M04-SEC</t>
        </is>
      </c>
      <c r="D22" s="23" t="inlineStr">
        <is>
          <t>Access Control &amp; Security</t>
        </is>
      </c>
      <c r="E22" s="23" t="inlineStr">
        <is>
          <t>Block Unknown Email Domain Access</t>
        </is>
      </c>
      <c r="F22" s="23" t="inlineStr">
        <is>
          <t>Verify that users with unauthorized email domains (non-PNV/non-student) are completely blocked.</t>
        </is>
      </c>
      <c r="G22" s="23" t="inlineStr">
        <is>
          <t>User is authenticated with email testuser@gmail.com.</t>
        </is>
      </c>
      <c r="H22" s="23" t="inlineStr">
        <is>
          <t>Email=testuser@gmail.com</t>
        </is>
      </c>
      <c r="I22" s="23" t="inlineStr">
        <is>
          <t>1. Enter application URL;
2. Sign in via Google OAuth with testuser@gmail.com</t>
        </is>
      </c>
      <c r="J22" s="23" t="inlineStr">
        <is>
          <t>Login fails or 'Access Denied' message displays. User is blocked from accessing any management features.</t>
        </is>
      </c>
      <c r="K22" s="23" t="inlineStr"/>
      <c r="L22" s="24" t="inlineStr">
        <is>
          <t>Not Run</t>
        </is>
      </c>
      <c r="M22" s="25" t="inlineStr">
        <is>
          <t>High</t>
        </is>
      </c>
      <c r="N22" s="23" t="inlineStr">
        <is>
          <t>Related Requirement: General Rules, User Roles</t>
        </is>
      </c>
    </row>
    <row r="23" ht="135" customHeight="1">
      <c r="A23" s="26" t="inlineStr">
        <is>
          <t>TC-M04-022</t>
        </is>
      </c>
      <c r="B23" s="26" t="inlineStr">
        <is>
          <t>Module 04</t>
        </is>
      </c>
      <c r="C23" s="27" t="inlineStr">
        <is>
          <t>M04-F04</t>
        </is>
      </c>
      <c r="D23" s="28" t="inlineStr">
        <is>
          <t>Auto Draft Saving</t>
        </is>
      </c>
      <c r="E23" s="28" t="inlineStr">
        <is>
          <t>Verify Draft Storage Device Specificity</t>
        </is>
      </c>
      <c r="F23" s="28" t="inlineStr">
        <is>
          <t>Verify that local drafts are device-specific and not synchronized to other computers.</t>
        </is>
      </c>
      <c r="G23" s="28" t="inlineStr">
        <is>
          <t>Staff user logged in on Computer X and Computer Y.</t>
        </is>
      </c>
      <c r="H23" s="28" t="inlineStr">
        <is>
          <t>Computer X: input IT Comment 'Draft text on Computer X' for ST003.</t>
        </is>
      </c>
      <c r="I23" s="28" t="inlineStr">
        <is>
          <t>1. On Computer X, open ST003 council form and type IT comment 'Draft text on Computer X' (wait for auto-save, do NOT click Save);
2. On Computer Y, log in to same account and open ST003 Semester 1 council form;
3. Verify if draft warning appears</t>
        </is>
      </c>
      <c r="J23" s="28" t="inlineStr">
        <is>
          <t>No 'Unsaved Draft' warning appears on Computer Y, and the IT comment field is empty (or displays the saved Sheets value). Draft is device-specific.</t>
        </is>
      </c>
      <c r="K23" s="28" t="inlineStr"/>
      <c r="L23" s="24" t="inlineStr">
        <is>
          <t>Not Run</t>
        </is>
      </c>
      <c r="M23" s="29" t="inlineStr">
        <is>
          <t>Medium</t>
        </is>
      </c>
      <c r="N23" s="28" t="inlineStr">
        <is>
          <t>Related Requirement: M04-F04, Automatic Draft Saving 6.5, Out of Scope 12</t>
        </is>
      </c>
    </row>
    <row r="24" ht="105" customHeight="1">
      <c r="A24" s="21" t="inlineStr">
        <is>
          <t>TC-M04-023</t>
        </is>
      </c>
      <c r="B24" s="21" t="inlineStr">
        <is>
          <t>Module 04</t>
        </is>
      </c>
      <c r="C24" s="22" t="inlineStr">
        <is>
          <t>M04-F06</t>
        </is>
      </c>
      <c r="D24" s="23" t="inlineStr">
        <is>
          <t>Batch Feedback Entry</t>
        </is>
      </c>
      <c r="E24" s="23" t="inlineStr">
        <is>
          <t>Batch Feedback Entry with Empty Student List</t>
        </is>
      </c>
      <c r="F24" s="23" t="inlineStr">
        <is>
          <t>Verify that batch feedback entry behaves gracefully when the selected batch has no active students.</t>
        </is>
      </c>
      <c r="G24" s="23" t="inlineStr">
        <is>
          <t>Batch PNV26B is active but has no active students.</t>
        </is>
      </c>
      <c r="H24" s="23" t="inlineStr">
        <is>
          <t>Batch=PNV26B; Semester=Semester 1; FeedbackType=IT Comment</t>
        </is>
      </c>
      <c r="I24" s="23" t="inlineStr">
        <is>
          <t>1. Open Batch Feedback page;
2. Select Batch PNV26B, Semester 'Semester 1', and Feedback Type 'IT Comment';
3. Verify student list;
4. Click Save All</t>
        </is>
      </c>
      <c r="J24" s="23" t="inlineStr">
        <is>
          <t>The student grid is empty or shows 'No students in this batch'. Clicking Save All shows 'Saved 0 students' successfully with no crashes or errors.</t>
        </is>
      </c>
      <c r="K24" s="23" t="inlineStr"/>
      <c r="L24" s="24" t="inlineStr">
        <is>
          <t>Not Run</t>
        </is>
      </c>
      <c r="M24" s="29" t="inlineStr">
        <is>
          <t>Medium</t>
        </is>
      </c>
      <c r="N24" s="23" t="inlineStr">
        <is>
          <t>Related Requirement: M04-F06</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TC-M05-001</t>
        </is>
      </c>
      <c r="B2" s="21" t="inlineStr">
        <is>
          <t>Module 5 – Internship Management</t>
        </is>
      </c>
      <c r="C2" s="22" t="inlineStr">
        <is>
          <t>M05-F01</t>
        </is>
      </c>
      <c r="D2" s="23" t="inlineStr">
        <is>
          <t>Internship Group Creation</t>
        </is>
      </c>
      <c r="E2" s="23" t="inlineStr">
        <is>
          <t>Create new internship group voi thong tin hop le</t>
        </is>
      </c>
      <c r="F2" s="23" t="inlineStr">
        <is>
          <t>Verify functionality for create new internship group khi enter day du cac thong tin bat buoc va hop le.</t>
        </is>
      </c>
      <c r="G2" s="23" t="inlineStr">
        <is>
          <t>User is logged in as Staff.
Currently on Internship Management interface.
Cac lop hoc "PNV26A" va "PNV26B" da exist in system va chua duoc gan vao bat ky internship group nao trong cung nam hoc.</t>
        </is>
      </c>
      <c r="H2" s="23" t="inlineStr">
        <is>
          <t>GroupName="Nhom Thuc tap 2026 - Nam 2"; InternshipYear="Second Year"; Batches="PNV26A", "PNV26B"; StartDate="2026-08-01"</t>
        </is>
      </c>
      <c r="I2" s="23" t="inlineStr">
        <is>
          <t>1. Nhan nut "Create new internship group".
2. Enter Ten group la "Nhom Thuc tap 2026 - Nam 2".
3. Select Nam internship la "Second Year".
4. Tich select cac lop hoc "PNV26A" va "PNV26B".
5. Select Start Date la "2026-08-01".
6. Nhan nut "Save".</t>
        </is>
      </c>
      <c r="J2" s="23" t="inlineStr">
        <is>
          <t>System display notification create group successfully.
Nhom internship moi xuat hien trong danh sach display voi status la "On-going".
Cac lop hoc da select duoc lien ket chinh xac voi group nay.</t>
        </is>
      </c>
      <c r="K2" s="23" t="inlineStr"/>
      <c r="L2" s="24" t="inlineStr">
        <is>
          <t>Not Run</t>
        </is>
      </c>
      <c r="M2" s="25" t="inlineStr">
        <is>
          <t>High</t>
        </is>
      </c>
      <c r="N2" s="23" t="inlineStr">
        <is>
          <t>Related to M05-F01, Rule 6.1</t>
        </is>
      </c>
    </row>
    <row r="3" ht="135" customHeight="1">
      <c r="A3" s="26" t="inlineStr">
        <is>
          <t>TC-M05-002</t>
        </is>
      </c>
      <c r="B3" s="26" t="inlineStr">
        <is>
          <t>Module 5 – Internship Management</t>
        </is>
      </c>
      <c r="C3" s="27" t="inlineStr">
        <is>
          <t>M05-F01</t>
        </is>
      </c>
      <c r="D3" s="28" t="inlineStr">
        <is>
          <t>Internship Group Creation</t>
        </is>
      </c>
      <c r="E3" s="28" t="inlineStr">
        <is>
          <t>Internship group creation fails due to empty group name</t>
        </is>
      </c>
      <c r="F3" s="28" t="inlineStr">
        <is>
          <t>Verify system bao error va ngan chan create internship group neu blank ten group.</t>
        </is>
      </c>
      <c r="G3" s="28" t="inlineStr">
        <is>
          <t>User is logged in as Staff.
Currently on Create New Internship Group interface.
Lop hoc "PNV26A" chua duoc gan cho internship group nao trong nam hoc.</t>
        </is>
      </c>
      <c r="H3" s="28" t="inlineStr">
        <is>
          <t>GroupName=""; InternshipYear="Second Year"; Batches="PNV26A"; StartDate="2026-08-01"</t>
        </is>
      </c>
      <c r="I3" s="28" t="inlineStr">
        <is>
          <t>1. De trong truong Ten group.
2. Select Nam internship la "Second Year".
3. Tich select lop hoc "PNV26A".
4. Select Start Date la "2026-08-01".
5. Nhan nut "Save".</t>
        </is>
      </c>
      <c r="J3" s="28" t="inlineStr">
        <is>
          <t>System display notification error requires enter Ten group (e.g.: "Group Name is required.").
Nhom internship moi khong duoc save vao system.</t>
        </is>
      </c>
      <c r="K3" s="28" t="inlineStr"/>
      <c r="L3" s="24" t="inlineStr">
        <is>
          <t>Not Run</t>
        </is>
      </c>
      <c r="M3" s="25" t="inlineStr">
        <is>
          <t>High</t>
        </is>
      </c>
      <c r="N3" s="28" t="inlineStr">
        <is>
          <t>Related to Validation Rules (Section 7), Error Handling (Section 8)</t>
        </is>
      </c>
    </row>
    <row r="4" ht="135" customHeight="1">
      <c r="A4" s="21" t="inlineStr">
        <is>
          <t>TC-M05-003</t>
        </is>
      </c>
      <c r="B4" s="21" t="inlineStr">
        <is>
          <t>Module 5 – Internship Management</t>
        </is>
      </c>
      <c r="C4" s="22" t="inlineStr">
        <is>
          <t>M05-F01</t>
        </is>
      </c>
      <c r="D4" s="23" t="inlineStr">
        <is>
          <t>Internship Group Creation</t>
        </is>
      </c>
      <c r="E4" s="23" t="inlineStr">
        <is>
          <t>Create internship group failed do khong tich select lop hoc</t>
        </is>
      </c>
      <c r="F4" s="23" t="inlineStr">
        <is>
          <t>Verify system bao error va ngan chan create internship group neu khong select bat ky lop hoc nao.</t>
        </is>
      </c>
      <c r="G4" s="23" t="inlineStr">
        <is>
          <t>User is logged in as Staff.
Currently on Create New Internship Group interface.</t>
        </is>
      </c>
      <c r="H4" s="23" t="inlineStr">
        <is>
          <t>GroupName="Nhom Thuc tap 2026"; InternshipYear="Second Year"; Batches=None; StartDate="2026-08-01"</t>
        </is>
      </c>
      <c r="I4" s="23" t="inlineStr">
        <is>
          <t>1. Enter Ten group la "Nhom Thuc tap 2026".
2. Select Nam internship la "Second Year".
3. Khong select bat ky lop hoc nao trong danh sach.
4. Select Start Date la "2026-08-01".
5. Nhan nut "Save".</t>
        </is>
      </c>
      <c r="J4" s="23" t="inlineStr">
        <is>
          <t>System display notification error requires select it nhat mot lop hoc (e.g.: "At least one batch is required.").
Nhom internship moi khong duoc save vao system.</t>
        </is>
      </c>
      <c r="K4" s="23" t="inlineStr"/>
      <c r="L4" s="24" t="inlineStr">
        <is>
          <t>Not Run</t>
        </is>
      </c>
      <c r="M4" s="25" t="inlineStr">
        <is>
          <t>High</t>
        </is>
      </c>
      <c r="N4" s="23" t="inlineStr">
        <is>
          <t>Related to Validation Rules (Section 7), Error Handling (Section 8)</t>
        </is>
      </c>
    </row>
    <row r="5" ht="135" customHeight="1">
      <c r="A5" s="26" t="inlineStr">
        <is>
          <t>TC-M05-004</t>
        </is>
      </c>
      <c r="B5" s="26" t="inlineStr">
        <is>
          <t>Module 5 – Internship Management</t>
        </is>
      </c>
      <c r="C5" s="27" t="inlineStr">
        <is>
          <t>M05-F01</t>
        </is>
      </c>
      <c r="D5" s="28" t="inlineStr">
        <is>
          <t>Internship Group Creation</t>
        </is>
      </c>
      <c r="E5" s="28" t="inlineStr">
        <is>
          <t>Create internship group failed do blank start date</t>
        </is>
      </c>
      <c r="F5" s="28" t="inlineStr">
        <is>
          <t>Verify system bao error va ngan chan create internship group neu blank start date.</t>
        </is>
      </c>
      <c r="G5" s="28" t="inlineStr">
        <is>
          <t>User is logged in as Staff.
Currently on Create New Internship Group interface.</t>
        </is>
      </c>
      <c r="H5" s="28" t="inlineStr">
        <is>
          <t>GroupName="Nhom Thuc tap 2026"; InternshipYear="Second Year"; Batches="PNV26A"; StartDate=""</t>
        </is>
      </c>
      <c r="I5" s="28" t="inlineStr">
        <is>
          <t>1. Enter Ten group la "Nhom Thuc tap 2026".
2. Select Nam internship la "Second Year".
3. Tich select lop hoc "PNV26A".
4. De trong truong Start Date.
5. Nhan nut "Save".</t>
        </is>
      </c>
      <c r="J5" s="28" t="inlineStr">
        <is>
          <t>System display notification error requires select Start Date (e.g.: "Start Date is required.").
Nhom internship moi khong duoc save vao system.</t>
        </is>
      </c>
      <c r="K5" s="28" t="inlineStr"/>
      <c r="L5" s="24" t="inlineStr">
        <is>
          <t>Not Run</t>
        </is>
      </c>
      <c r="M5" s="25" t="inlineStr">
        <is>
          <t>High</t>
        </is>
      </c>
      <c r="N5" s="28" t="inlineStr">
        <is>
          <t>Related to Validation Rules (Section 7), Error Handling (Section 8)</t>
        </is>
      </c>
    </row>
    <row r="6" ht="135" customHeight="1">
      <c r="A6" s="21" t="inlineStr">
        <is>
          <t>TC-M05-005</t>
        </is>
      </c>
      <c r="B6" s="21" t="inlineStr">
        <is>
          <t>Module 5 – Internship Management</t>
        </is>
      </c>
      <c r="C6" s="22" t="inlineStr">
        <is>
          <t>M05-F01</t>
        </is>
      </c>
      <c r="D6" s="23" t="inlineStr">
        <is>
          <t>Internship Group Creation</t>
        </is>
      </c>
      <c r="E6" s="23" t="inlineStr">
        <is>
          <t>Create internship group failed do blank nam internship</t>
        </is>
      </c>
      <c r="F6" s="23" t="inlineStr">
        <is>
          <t>Verify system bao error va ngan chan create internship group neu nam internship khong duoc select.</t>
        </is>
      </c>
      <c r="G6" s="23" t="inlineStr">
        <is>
          <t>User is logged in as Staff.
Currently on Create New Internship Group interface.</t>
        </is>
      </c>
      <c r="H6" s="23" t="inlineStr">
        <is>
          <t>GroupName="Nhom Thuc tap 2026"; InternshipYear=""; Batches="PNV26A"; StartDate="2026-08-01"</t>
        </is>
      </c>
      <c r="I6" s="23" t="inlineStr">
        <is>
          <t>1. Enter Ten group la "Nhom Thuc tap 2026".
2. Khong select Nam internship (blank).
3. Tich select lop hoc "PNV26A".
4. Select Start Date la "2026-08-01".
5. Nhan nut "Save".</t>
        </is>
      </c>
      <c r="J6" s="23" t="inlineStr">
        <is>
          <t>System display notification error requires select Nam internship (e.g.: "Internship Year is required.").
Nhom internship moi khong duoc save vao system.</t>
        </is>
      </c>
      <c r="K6" s="23" t="inlineStr"/>
      <c r="L6" s="24" t="inlineStr">
        <is>
          <t>Not Run</t>
        </is>
      </c>
      <c r="M6" s="25" t="inlineStr">
        <is>
          <t>High</t>
        </is>
      </c>
      <c r="N6" s="23" t="inlineStr">
        <is>
          <t>Related to Validation Rules (Section 7)</t>
        </is>
      </c>
    </row>
    <row r="7" ht="165" customHeight="1">
      <c r="A7" s="26" t="inlineStr">
        <is>
          <t>TC-M05-006</t>
        </is>
      </c>
      <c r="B7" s="26" t="inlineStr">
        <is>
          <t>Module 5 – Internship Management</t>
        </is>
      </c>
      <c r="C7" s="27" t="inlineStr">
        <is>
          <t>M05-F01</t>
        </is>
      </c>
      <c r="D7" s="28" t="inlineStr">
        <is>
          <t>Internship Group Creation</t>
        </is>
      </c>
      <c r="E7" s="28" t="inlineStr">
        <is>
          <t>Create internship group failed do select lop hoc da duoc gan vao internship group khac trong cung nam hoc</t>
        </is>
      </c>
      <c r="F7" s="28" t="inlineStr">
        <is>
          <t>Verify system denies create new internship group chua lop hoc da duoc gan cho internship group khac trong cung nam hoc.</t>
        </is>
      </c>
      <c r="G7" s="28" t="inlineStr">
        <is>
          <t>User is logged in as Staff.
Da ton tai internship group "Nhom A" cho nam hoc "Second Year" chua lop "PNV26A".</t>
        </is>
      </c>
      <c r="H7" s="28" t="inlineStr">
        <is>
          <t>GroupName="Nhom B"; InternshipYear="Second Year"; Batches="PNV26A"; StartDate="2026-08-01"</t>
        </is>
      </c>
      <c r="I7" s="28" t="inlineStr">
        <is>
          <t>1. Nhan nut "Create new internship group".
2. Enter Ten group la "Nhom B".
3. Select Nam internship la "Second Year".
4. Select lop hoc la "PNV26A".
5. Select Start Date la "2026-08-01".
6. Nhan nut "Save".</t>
        </is>
      </c>
      <c r="J7" s="28" t="inlineStr">
        <is>
          <t>System denies save va display notification error (e.g.: lop PNV26A da duoc gan cho mot internship group khac trong nam hoc nay - "Batch already assigned").
Nhom internship "Nhom B" khong duoc create.</t>
        </is>
      </c>
      <c r="K7" s="28" t="inlineStr"/>
      <c r="L7" s="24" t="inlineStr">
        <is>
          <t>Not Run</t>
        </is>
      </c>
      <c r="M7" s="25" t="inlineStr">
        <is>
          <t>High</t>
        </is>
      </c>
      <c r="N7" s="28" t="inlineStr">
        <is>
          <t>Related to Batch Assignment Rule (Rule 6.2), Error Handling (Section 8)</t>
        </is>
      </c>
    </row>
    <row r="8" ht="165" customHeight="1">
      <c r="A8" s="21" t="inlineStr">
        <is>
          <t>TC-M05-007</t>
        </is>
      </c>
      <c r="B8" s="21" t="inlineStr">
        <is>
          <t>Module 5 – Internship Management</t>
        </is>
      </c>
      <c r="C8" s="22" t="inlineStr">
        <is>
          <t>M05-F01</t>
        </is>
      </c>
      <c r="D8" s="23" t="inlineStr">
        <is>
          <t>Internship Group Creation</t>
        </is>
      </c>
      <c r="E8" s="23" t="inlineStr">
        <is>
          <t>Create internship group successfully khi gan cung lop hoc vao internship group o cac nam hoc khac nhau</t>
        </is>
      </c>
      <c r="F8" s="23" t="inlineStr">
        <is>
          <t>Verify system allows gan cung mot lop hoc vao internship group o cac nam khac nhau (e.g.: nam 2 va nam 3).</t>
        </is>
      </c>
      <c r="G8" s="23" t="inlineStr">
        <is>
          <t>User is logged in as Staff.
Lop "PNV26A" da duoc gan vao internship group "Nhom Nam 2" thuoc nam internship "Second Year".</t>
        </is>
      </c>
      <c r="H8" s="23" t="inlineStr">
        <is>
          <t>GroupName="Nhom Nam 3"; InternshipYear="Third Year"; Batches="PNV26A"; StartDate="2027-08-01"</t>
        </is>
      </c>
      <c r="I8" s="23" t="inlineStr">
        <is>
          <t>1. Nhan nut "Create new internship group".
2. Enter Ten group la "Nhom Nam 3".
3. Select Nam internship la "Third Year".
4. Select lop hoc la "PNV26A".
5. Select Start Date la "2027-08-01".
6. Nhan nut "Save".</t>
        </is>
      </c>
      <c r="J8" s="23" t="inlineStr">
        <is>
          <t>System save successfully new internship group.
Lop PNV26A duoc gan vao group "Nhom Nam 3" ma khong co error.</t>
        </is>
      </c>
      <c r="K8" s="23" t="inlineStr"/>
      <c r="L8" s="24" t="inlineStr">
        <is>
          <t>Not Run</t>
        </is>
      </c>
      <c r="M8" s="25" t="inlineStr">
        <is>
          <t>High</t>
        </is>
      </c>
      <c r="N8" s="23" t="inlineStr">
        <is>
          <t>Related to Batch Assignment Rule (Rule 6.2)</t>
        </is>
      </c>
    </row>
    <row r="9" ht="105" customHeight="1">
      <c r="A9" s="26" t="inlineStr">
        <is>
          <t>TC-M05-008</t>
        </is>
      </c>
      <c r="B9" s="26" t="inlineStr">
        <is>
          <t>Module 5 – Internship Management</t>
        </is>
      </c>
      <c r="C9" s="27" t="inlineStr">
        <is>
          <t>M05-F02</t>
        </is>
      </c>
      <c r="D9" s="28" t="inlineStr">
        <is>
          <t>Group Archiving / Reactivation</t>
        </is>
      </c>
      <c r="E9" s="28" t="inlineStr">
        <is>
          <t>Archive internship group dang hoat dong</t>
        </is>
      </c>
      <c r="F9" s="28" t="inlineStr">
        <is>
          <t>Verify functionality for Archive (Archive) mot internship group dang o status On-going.</t>
        </is>
      </c>
      <c r="G9" s="28" t="inlineStr">
        <is>
          <t>User is logged in as Staff.
Da ton tai internship group "Nhom Thuc tap 2026" o status On-going.</t>
        </is>
      </c>
      <c r="H9" s="28" t="inlineStr">
        <is>
          <t>GroupName="Nhom Thuc tap 2026"</t>
        </is>
      </c>
      <c r="I9" s="28" t="inlineStr">
        <is>
          <t>1. Tim internship group "Nhom Thuc tap 2026" tren interface danh sach.
2. Nhan vao bieu tuong/nut "Archive" (Archive) cua group nay.
3. Xac nhan archive o hop thoai xac nhan.</t>
        </is>
      </c>
      <c r="J9" s="28" t="inlineStr">
        <is>
          <t>System display notification archive successfully.
Status cua internship group chuyen sang "Archived".
Nhom internship nay bi an khoi danh sach hoat dong binh thuong.</t>
        </is>
      </c>
      <c r="K9" s="28" t="inlineStr"/>
      <c r="L9" s="24" t="inlineStr">
        <is>
          <t>Not Run</t>
        </is>
      </c>
      <c r="M9" s="25" t="inlineStr">
        <is>
          <t>High</t>
        </is>
      </c>
      <c r="N9" s="28" t="inlineStr">
        <is>
          <t>Related to M05-F02, Rule 6.12</t>
        </is>
      </c>
    </row>
    <row r="10" ht="120" customHeight="1">
      <c r="A10" s="21" t="inlineStr">
        <is>
          <t>TC-M05-009</t>
        </is>
      </c>
      <c r="B10" s="21" t="inlineStr">
        <is>
          <t>Module 5 – Internship Management</t>
        </is>
      </c>
      <c r="C10" s="22" t="inlineStr">
        <is>
          <t>M05-F02</t>
        </is>
      </c>
      <c r="D10" s="23" t="inlineStr">
        <is>
          <t>Group Archiving / Reactivation</t>
        </is>
      </c>
      <c r="E10" s="23" t="inlineStr">
        <is>
          <t>Kich hoat lai internship group da archive</t>
        </is>
      </c>
      <c r="F10" s="23" t="inlineStr">
        <is>
          <t>Verify functionality for khoi phuc/kich hoat lai (Reactivate) mot internship group da bi archive.</t>
        </is>
      </c>
      <c r="G10" s="23" t="inlineStr">
        <is>
          <t>User is logged in as Staff.
Da co internship group "Nhom Thuc tap 2026" o status Archived.</t>
        </is>
      </c>
      <c r="H10" s="23" t="inlineStr">
        <is>
          <t>GroupName="Nhom Thuc tap 2026"</t>
        </is>
      </c>
      <c r="I10" s="23" t="inlineStr">
        <is>
          <t>1. Truy cap vao danh sach cac internship group da archive (Archived Groups).
2. Tim group "Nhom Thuc tap 2026".
3. Nhan vao nut "Khoi phuc" hoac "Kich hoat lai" (Reactivate).
4. Xac nhan o hop thoai.</t>
        </is>
      </c>
      <c r="J10" s="23" t="inlineStr">
        <is>
          <t>System display notification kich hoat lai successfully.
Status cua group chuyen tu "Archived" ve "On-going".
Nhom internship xuat hien tro lai trong danh sach group dang hoat dong.</t>
        </is>
      </c>
      <c r="K10" s="23" t="inlineStr"/>
      <c r="L10" s="24" t="inlineStr">
        <is>
          <t>Not Run</t>
        </is>
      </c>
      <c r="M10" s="25" t="inlineStr">
        <is>
          <t>High</t>
        </is>
      </c>
      <c r="N10" s="23" t="inlineStr">
        <is>
          <t>Related to M05-F02, Rule 6.12</t>
        </is>
      </c>
    </row>
    <row r="11" ht="75" customHeight="1">
      <c r="A11" s="26" t="inlineStr">
        <is>
          <t>TC-M05-010</t>
        </is>
      </c>
      <c r="B11" s="26" t="inlineStr">
        <is>
          <t>Module 5 – Internship Management</t>
        </is>
      </c>
      <c r="C11" s="27" t="inlineStr">
        <is>
          <t>M05-F03</t>
        </is>
      </c>
      <c r="D11" s="28" t="inlineStr">
        <is>
          <t>Company Management</t>
        </is>
      </c>
      <c r="E11" s="28" t="inlineStr">
        <is>
          <t>Add company doi tac moi with a valid name</t>
        </is>
      </c>
      <c r="F11" s="28" t="inlineStr">
        <is>
          <t>Verify functionality for add moi company doi tac with a valid name va chua ton tai.</t>
        </is>
      </c>
      <c r="G11" s="28" t="inlineStr">
        <is>
          <t>User is logged in as Staff.
Dang o interface Quan ly Cong ty (Company Management).</t>
        </is>
      </c>
      <c r="H11" s="28" t="inlineStr">
        <is>
          <t>CompanyName="TechCorp"</t>
        </is>
      </c>
      <c r="I11" s="28" t="inlineStr">
        <is>
          <t>1. Nhan nut "Add company moi".
2. Enter vao truong Ten company: "TechCorp".
3. Nhan nut "Save".</t>
        </is>
      </c>
      <c r="J11" s="28" t="inlineStr">
        <is>
          <t>System display notification add company successfully.
Cong ty "TechCorp" xuat hien trong danh sach cac company doi tac.</t>
        </is>
      </c>
      <c r="K11" s="28" t="inlineStr"/>
      <c r="L11" s="24" t="inlineStr">
        <is>
          <t>Not Run</t>
        </is>
      </c>
      <c r="M11" s="25" t="inlineStr">
        <is>
          <t>High</t>
        </is>
      </c>
      <c r="N11" s="28" t="inlineStr">
        <is>
          <t>Related to M05-F03, Rule 6.3</t>
        </is>
      </c>
    </row>
    <row r="12" ht="75" customHeight="1">
      <c r="A12" s="21" t="inlineStr">
        <is>
          <t>TC-M05-011</t>
        </is>
      </c>
      <c r="B12" s="21" t="inlineStr">
        <is>
          <t>Module 5 – Internship Management</t>
        </is>
      </c>
      <c r="C12" s="22" t="inlineStr">
        <is>
          <t>M05-F03</t>
        </is>
      </c>
      <c r="D12" s="23" t="inlineStr">
        <is>
          <t>Company Management</t>
        </is>
      </c>
      <c r="E12" s="23" t="inlineStr">
        <is>
          <t>Add company failed due to empty name company</t>
        </is>
      </c>
      <c r="F12" s="23" t="inlineStr">
        <is>
          <t>Verify system display notification error va ngan chan add company neu blank ten company.</t>
        </is>
      </c>
      <c r="G12" s="23" t="inlineStr">
        <is>
          <t>User is logged in as Staff.
Dang o interface Quan ly Cong ty.</t>
        </is>
      </c>
      <c r="H12" s="23" t="inlineStr">
        <is>
          <t>CompanyName=""</t>
        </is>
      </c>
      <c r="I12" s="23" t="inlineStr">
        <is>
          <t>1. Nhan nut "Add company moi".
2. De trong truong Ten company.
3. Nhan nut "Save".</t>
        </is>
      </c>
      <c r="J12" s="23" t="inlineStr">
        <is>
          <t>System display notification error requires enter ten company (e.g.: "Company Name is required.").
Cong ty moi khong duoc add vao danh sach.</t>
        </is>
      </c>
      <c r="K12" s="23" t="inlineStr"/>
      <c r="L12" s="24" t="inlineStr">
        <is>
          <t>Not Run</t>
        </is>
      </c>
      <c r="M12" s="25" t="inlineStr">
        <is>
          <t>High</t>
        </is>
      </c>
      <c r="N12" s="23" t="inlineStr">
        <is>
          <t>Related to Validation Rules (Section 7), Error Handling (Section 8)</t>
        </is>
      </c>
    </row>
    <row r="13" ht="75" customHeight="1">
      <c r="A13" s="26" t="inlineStr">
        <is>
          <t>TC-M05-012</t>
        </is>
      </c>
      <c r="B13" s="26" t="inlineStr">
        <is>
          <t>Module 5 – Internship Management</t>
        </is>
      </c>
      <c r="C13" s="27" t="inlineStr">
        <is>
          <t>M05-F03</t>
        </is>
      </c>
      <c r="D13" s="28" t="inlineStr">
        <is>
          <t>Company Management</t>
        </is>
      </c>
      <c r="E13" s="28" t="inlineStr">
        <is>
          <t>Add company failed do trung ten (phan biet hoa thuong)</t>
        </is>
      </c>
      <c r="F13" s="28" t="inlineStr">
        <is>
          <t>Verify system denies va bao error khi add company co ten viet hoa/thuong trung voi company da ton tai.</t>
        </is>
      </c>
      <c r="G13" s="28" t="inlineStr">
        <is>
          <t>User is logged in as Staff.
Da ton tai company "TechCorp" trong system.
Dang o interface Quan ly Cong ty.</t>
        </is>
      </c>
      <c r="H13" s="28" t="inlineStr">
        <is>
          <t>CompanyName="techcorp"</t>
        </is>
      </c>
      <c r="I13" s="28" t="inlineStr">
        <is>
          <t>1. Nhan nut "Add company moi".
2. Enter vao truong Ten company: "techcorp" (viet thuong hoan toan).
3. Nhan nut "Save".</t>
        </is>
      </c>
      <c r="J13" s="28" t="inlineStr">
        <is>
          <t>System denies save va display notification error trung ten company (e.g.: "Company name already exists.").
Cong ty trung lap khong duoc create add.</t>
        </is>
      </c>
      <c r="K13" s="28" t="inlineStr"/>
      <c r="L13" s="24" t="inlineStr">
        <is>
          <t>Not Run</t>
        </is>
      </c>
      <c r="M13" s="25" t="inlineStr">
        <is>
          <t>High</t>
        </is>
      </c>
      <c r="N13" s="28" t="inlineStr">
        <is>
          <t>Related to M05-F03, Rule 6.3, Error Handling (Section 8)</t>
        </is>
      </c>
    </row>
    <row r="14" ht="90" customHeight="1">
      <c r="A14" s="21" t="inlineStr">
        <is>
          <t>TC-M05-013</t>
        </is>
      </c>
      <c r="B14" s="21" t="inlineStr">
        <is>
          <t>Module 5 – Internship Management</t>
        </is>
      </c>
      <c r="C14" s="22" t="inlineStr">
        <is>
          <t>M05-F03</t>
        </is>
      </c>
      <c r="D14" s="23" t="inlineStr">
        <is>
          <t>Company Management</t>
        </is>
      </c>
      <c r="E14" s="23" t="inlineStr">
        <is>
          <t>Add company failed do trung ten khi co khoang trang dau/cuoi</t>
        </is>
      </c>
      <c r="F14" s="23" t="inlineStr">
        <is>
          <t>Verify system tu dong loai bo khoang trang dau/cuoi va denies neu ten company trung lap.</t>
        </is>
      </c>
      <c r="G14" s="23" t="inlineStr">
        <is>
          <t>User is logged in as Staff.
Da ton tai company "TechCorp" trong system.
Dang o interface Quan ly Cong ty.</t>
        </is>
      </c>
      <c r="H14" s="23" t="inlineStr">
        <is>
          <t>CompanyName=" TechCorp "</t>
        </is>
      </c>
      <c r="I14" s="23" t="inlineStr">
        <is>
          <t>1. Nhan nut "Add company moi".
2. Enter vao truong Ten company: " TechCorp " (co khoang trang o dau va cuoi).
3. Nhan nut "Save".</t>
        </is>
      </c>
      <c r="J14" s="23" t="inlineStr">
        <is>
          <t>System cat bo cac khoang trang dau/cuoi, phat hien trung lap voi "TechCorp", denies save va display notification error trung ten.</t>
        </is>
      </c>
      <c r="K14" s="23" t="inlineStr"/>
      <c r="L14" s="24" t="inlineStr">
        <is>
          <t>Not Run</t>
        </is>
      </c>
      <c r="M14" s="25" t="inlineStr">
        <is>
          <t>High</t>
        </is>
      </c>
      <c r="N14" s="23" t="inlineStr">
        <is>
          <t>Related to M05-F03, Rule 6.3, Error Handling (Section 8)</t>
        </is>
      </c>
    </row>
    <row r="15" ht="150" customHeight="1">
      <c r="A15" s="26" t="inlineStr">
        <is>
          <t>TC-M05-014</t>
        </is>
      </c>
      <c r="B15" s="26" t="inlineStr">
        <is>
          <t>Module 5 – Internship Management</t>
        </is>
      </c>
      <c r="C15" s="27" t="inlineStr">
        <is>
          <t>M05-F04</t>
        </is>
      </c>
      <c r="D15" s="28" t="inlineStr">
        <is>
          <t>Student-to-Company Assignment</t>
        </is>
      </c>
      <c r="E15" s="28" t="inlineStr">
        <is>
          <t>Phan cong internship cho student don le</t>
        </is>
      </c>
      <c r="F15" s="28" t="inlineStr">
        <is>
          <t>Verify functionality for phan cong mot student vao mot company doi tac.</t>
        </is>
      </c>
      <c r="G15" s="28" t="inlineStr">
        <is>
          <t>User is logged in as Staff.
Dang o interface danh sach student cua internship group "Nhom Thuc tap 2026" (status On-going).
Hoc vien "Nguyen Van A" dang o status chua duoc phan cong (Unassigned).
Cong ty "TechCorp" dang o status hoat dong (khong bi an).</t>
        </is>
      </c>
      <c r="H15" s="28" t="inlineStr">
        <is>
          <t>StudentName="Nguyen Van A"; AssignedCompany="TechCorp"</t>
        </is>
      </c>
      <c r="I15" s="28" t="inlineStr">
        <is>
          <t>1. Tim student "Nguyen Van A" trong bang phan cong student.
2. Nhap vao o select company cua student "Nguyen Van A".
3. Select company "TechCorp" tu danh sach goi y.
4. Nhan nut "Save thay doi".</t>
        </is>
      </c>
      <c r="J15" s="28" t="inlineStr">
        <is>
          <t>System display notification phan cong successfully.
Hoc vien "Nguyen Van A" display company da gan la "TechCorp".
So luong student chua phan cong tren nhan cphoto bao (Warning Badge) tu dong giam di 1.</t>
        </is>
      </c>
      <c r="K15" s="28" t="inlineStr"/>
      <c r="L15" s="24" t="inlineStr">
        <is>
          <t>Not Run</t>
        </is>
      </c>
      <c r="M15" s="25" t="inlineStr">
        <is>
          <t>High</t>
        </is>
      </c>
      <c r="N15" s="28" t="inlineStr">
        <is>
          <t>Related to M05-F04, M05-F06, Rule 6.4, Rule 6.11</t>
        </is>
      </c>
    </row>
    <row r="16" ht="150" customHeight="1">
      <c r="A16" s="21" t="inlineStr">
        <is>
          <t>TC-M05-015</t>
        </is>
      </c>
      <c r="B16" s="21" t="inlineStr">
        <is>
          <t>Module 5 – Internship Management</t>
        </is>
      </c>
      <c r="C16" s="22" t="inlineStr">
        <is>
          <t>M05-F04</t>
        </is>
      </c>
      <c r="D16" s="23" t="inlineStr">
        <is>
          <t>Student-to-Company Assignment</t>
        </is>
      </c>
      <c r="E16" s="23" t="inlineStr">
        <is>
          <t>Phan cong internship hang loat cho nhieu student cung luc</t>
        </is>
      </c>
      <c r="F16" s="23" t="inlineStr">
        <is>
          <t>Verify functionality for select nhieu student va phan cong vao cung mot company cung luc.</t>
        </is>
      </c>
      <c r="G16" s="23" t="inlineStr">
        <is>
          <t>User is logged in as Staff.
Dang o interface danh sach student cua internship group.
Co it nhat 3 student dang o status chua phan cong (e.g.: Nguyen Van B, Tran Thi C, Le Van D).
Cong ty "TechCorp" dang hoat dong.</t>
        </is>
      </c>
      <c r="H16" s="23" t="inlineStr">
        <is>
          <t>SelectedStudents="Nguyen Van B", "Tran Thi C", "Le Van D"; AssignedCompany="TechCorp"</t>
        </is>
      </c>
      <c r="I16" s="23" t="inlineStr">
        <is>
          <t>1. Tich select cac o vuong (checkbox) dau dong cua student "Nguyen Van B", "Tran Thi C" va "Le Van D".
2. Nhan nut "Phan cong hang loat" (Bulk Assign).
3. Select company "TechCorp" trong hop thoai hien ra.
4. Nhan nut "Ap dung" hoac "Save".</t>
        </is>
      </c>
      <c r="J16" s="23" t="inlineStr">
        <is>
          <t>System display notification phan cong hang loat successfully.
Ca 3 student tren deu display company duoc phan cong la "TechCorp".
So luong tren nhan cphoto bao student chua phan cong tu dong giam di 3.</t>
        </is>
      </c>
      <c r="K16" s="23" t="inlineStr"/>
      <c r="L16" s="24" t="inlineStr">
        <is>
          <t>Not Run</t>
        </is>
      </c>
      <c r="M16" s="25" t="inlineStr">
        <is>
          <t>High</t>
        </is>
      </c>
      <c r="N16" s="23" t="inlineStr">
        <is>
          <t>Related to M05-F04, M05-F06, Rule 6.4, Rule 6.11</t>
        </is>
      </c>
    </row>
    <row r="17" ht="135" customHeight="1">
      <c r="A17" s="26" t="inlineStr">
        <is>
          <t>TC-M05-016</t>
        </is>
      </c>
      <c r="B17" s="26" t="inlineStr">
        <is>
          <t>Module 5 – Internship Management</t>
        </is>
      </c>
      <c r="C17" s="27" t="inlineStr">
        <is>
          <t>M05-F04</t>
        </is>
      </c>
      <c r="D17" s="28" t="inlineStr">
        <is>
          <t>Student-to-Company Assignment</t>
        </is>
      </c>
      <c r="E17" s="28" t="inlineStr">
        <is>
          <t>Thay doi company da phan cong cua student</t>
        </is>
      </c>
      <c r="F17" s="28" t="inlineStr">
        <is>
          <t>Verify functionality for gan company moi cho student da duoc phan cong truoc do, dam bao company cu bi ghi de.</t>
        </is>
      </c>
      <c r="G17" s="28" t="inlineStr">
        <is>
          <t>User is logged in as Staff.
Hoc vien "Nguyen Van A" dang duoc phan cong o company "TechCorp".
Cong ty "PNV Software" dang hoat dong trong system.</t>
        </is>
      </c>
      <c r="H17" s="28" t="inlineStr">
        <is>
          <t>StudentName="Nguyen Van A"; NewCompany="PNV Software"</t>
        </is>
      </c>
      <c r="I17" s="28" t="inlineStr">
        <is>
          <t>1. Tim student "Nguyen Van A" trong danh sach.
2. Mo danh sach select company cua student nay va doi tu "TechCorp" sang "PNV Software".
3. Nhan nut "Save thay doi".</t>
        </is>
      </c>
      <c r="J17" s="28" t="inlineStr">
        <is>
          <t>System cap nhat successfully.
Cong ty phan cong moi cua student "Nguyen Van A" display la "PNV Software".
Phan cong cu tai "TechCorp" bi replace hoan toan.
Nhan cphoto bao student chua phan cong khong thay doi so luong.</t>
        </is>
      </c>
      <c r="K17" s="28" t="inlineStr"/>
      <c r="L17" s="24" t="inlineStr">
        <is>
          <t>Not Run</t>
        </is>
      </c>
      <c r="M17" s="25" t="inlineStr">
        <is>
          <t>High</t>
        </is>
      </c>
      <c r="N17" s="28" t="inlineStr">
        <is>
          <t>Related to M05-F04, Rule 6.4</t>
        </is>
      </c>
    </row>
    <row r="18" ht="105" customHeight="1">
      <c r="A18" s="21" t="inlineStr">
        <is>
          <t>TC-M05-017</t>
        </is>
      </c>
      <c r="B18" s="21" t="inlineStr">
        <is>
          <t>Module 5 – Internship Management</t>
        </is>
      </c>
      <c r="C18" s="22" t="inlineStr">
        <is>
          <t>M05-F05</t>
        </is>
      </c>
      <c r="D18" s="23" t="inlineStr">
        <is>
          <t>Remove Assignment</t>
        </is>
      </c>
      <c r="E18" s="23" t="inlineStr">
        <is>
          <t>Huy bo phan cong company cua student bang cach select No Company</t>
        </is>
      </c>
      <c r="F18" s="23" t="inlineStr">
        <is>
          <t>Verify functionality for dua student da phan cong ve lai status chua phan cong (Unassigned) bang cach select "(No Company)".</t>
        </is>
      </c>
      <c r="G18" s="23" t="inlineStr">
        <is>
          <t>User is logged in as Staff.
Hoc vien "Nguyen Van A" dang duoc phan cong tai company "PNV Software".</t>
        </is>
      </c>
      <c r="H18" s="23" t="inlineStr">
        <is>
          <t>StudentName="Nguyen Van A"; Selection="(No Company)"</t>
        </is>
      </c>
      <c r="I18" s="23" t="inlineStr">
        <is>
          <t>1. Tim student "Nguyen Van A" trong danh sach.
2. Nhap vao o select company, select gia tri "(No Company)".
3. Nhan nut "Save".</t>
        </is>
      </c>
      <c r="J18" s="23" t="inlineStr">
        <is>
          <t>System save successfully.
Hoc vien "Nguyen Van A" display status la chua duoc phan cong.
So luong tren nhan cphoto bao student chua phan cong (Warning Badge) tu dong tang len 1.</t>
        </is>
      </c>
      <c r="K18" s="23" t="inlineStr"/>
      <c r="L18" s="24" t="inlineStr">
        <is>
          <t>Not Run</t>
        </is>
      </c>
      <c r="M18" s="25" t="inlineStr">
        <is>
          <t>High</t>
        </is>
      </c>
      <c r="N18" s="23" t="inlineStr">
        <is>
          <t>Related to M05-F05, M05-F06, Rule 6.5, Rule 6.11, Error Handling (Section 8)</t>
        </is>
      </c>
    </row>
    <row r="19" ht="165" customHeight="1">
      <c r="A19" s="26" t="inlineStr">
        <is>
          <t>TC-M05-018</t>
        </is>
      </c>
      <c r="B19" s="26" t="inlineStr">
        <is>
          <t>Module 5 – Internship Management</t>
        </is>
      </c>
      <c r="C19" s="27" t="inlineStr">
        <is>
          <t>M05-F04</t>
        </is>
      </c>
      <c r="D19" s="28" t="inlineStr">
        <is>
          <t>Student-to-Company Assignment</t>
        </is>
      </c>
      <c r="E19" s="28" t="inlineStr">
        <is>
          <t>An company va kiem tra xem company do co bi loai khoi danh sach select phan cong moi hay khong</t>
        </is>
      </c>
      <c r="F19" s="28" t="inlineStr">
        <is>
          <t>Verify quy tac company bi an (Hidden) khong xuat hien trong dropdown phan cong internship moi.</t>
        </is>
      </c>
      <c r="G19" s="28" t="inlineStr">
        <is>
          <t>User is logged in as Staff.
Da ton tai company "ABC Technology" trong system.</t>
        </is>
      </c>
      <c r="H19" s="28" t="inlineStr">
        <is>
          <t>CompanyToHide="ABC Technology"</t>
        </is>
      </c>
      <c r="I19" s="28" t="inlineStr">
        <is>
          <t>1. Vao trang Quan ly Cong ty (Company Management).
2. Tim company "ABC Technology" va select thiet lap "An" (Hidden) cho company nay.
3. Nhan nut "Save status company".
4. Quay lai trang danh sach student cua internship group va mo dropdown phan cong company cua mot student bat ky chua duoc phan cong.</t>
        </is>
      </c>
      <c r="J19" s="28" t="inlineStr">
        <is>
          <t>Status an duoc save successfully.
Cong ty "ABC Technology" khong xuat hien trong danh sach dropdown de select phan cong moi.</t>
        </is>
      </c>
      <c r="K19" s="28" t="inlineStr"/>
      <c r="L19" s="24" t="inlineStr">
        <is>
          <t>Not Run</t>
        </is>
      </c>
      <c r="M19" s="25" t="inlineStr">
        <is>
          <t>High</t>
        </is>
      </c>
      <c r="N19" s="28" t="inlineStr">
        <is>
          <t>Related to Rule 6.6, Error Handling (Section 8)</t>
        </is>
      </c>
    </row>
    <row r="20" ht="120" customHeight="1">
      <c r="A20" s="21" t="inlineStr">
        <is>
          <t>TC-M05-019</t>
        </is>
      </c>
      <c r="B20" s="21" t="inlineStr">
        <is>
          <t>Module 5 – Internship Management</t>
        </is>
      </c>
      <c r="C20" s="22" t="inlineStr">
        <is>
          <t>M05-F04</t>
        </is>
      </c>
      <c r="D20" s="23" t="inlineStr">
        <is>
          <t>Student-to-Company Assignment</t>
        </is>
      </c>
      <c r="E20" s="23" t="inlineStr">
        <is>
          <t>Dam bao phan cong hien tai cua student khong bi photo huong khi company do bi an</t>
        </is>
      </c>
      <c r="F20" s="23" t="inlineStr">
        <is>
          <t>Verify quy tac cac phan cong hien tai van display chinh xac ten company sau khi company do bi chuyen sang an.</t>
        </is>
      </c>
      <c r="G20" s="23" t="inlineStr">
        <is>
          <t>User is logged in as Staff.
Hoc vien "Tran Thi B" da duoc phan cong tai company "ABC Technology".</t>
        </is>
      </c>
      <c r="H20" s="23" t="inlineStr">
        <is>
          <t>CompanyToHide="ABC Technology"</t>
        </is>
      </c>
      <c r="I20" s="23" t="inlineStr">
        <is>
          <t>1. Vao trang Quan ly Cong ty, chuyen status cua "ABC Technology" sang "An" (Hidden) va save lai.
2. Di toi trang danh sach student cua internship group.
3. Observe ban ghi phan cong cua student "Tran Thi B".</t>
        </is>
      </c>
      <c r="J20" s="23" t="inlineStr">
        <is>
          <t>Phan cong cua student "Tran Thi B" van duoc display la "ABC Technology" mot cach binh thuong tren interface.
Khong co notification error hay tu dong delete phan cong.</t>
        </is>
      </c>
      <c r="K20" s="23" t="inlineStr"/>
      <c r="L20" s="24" t="inlineStr">
        <is>
          <t>Not Run</t>
        </is>
      </c>
      <c r="M20" s="25" t="inlineStr">
        <is>
          <t>High</t>
        </is>
      </c>
      <c r="N20" s="23" t="inlineStr">
        <is>
          <t>Related to Rule 6.6</t>
        </is>
      </c>
    </row>
    <row r="21" ht="180" customHeight="1">
      <c r="A21" s="26" t="inlineStr">
        <is>
          <t>TC-M05-020</t>
        </is>
      </c>
      <c r="B21" s="26" t="inlineStr">
        <is>
          <t>Module 5 – Internship Management</t>
        </is>
      </c>
      <c r="C21" s="27" t="inlineStr">
        <is>
          <t>M05-F07</t>
        </is>
      </c>
      <c r="D21" s="28" t="inlineStr">
        <is>
          <t>Feedback Recording by Team</t>
        </is>
      </c>
      <c r="E21" s="28" t="inlineStr">
        <is>
          <t>Ghi nhan nhan xet internship successfully cho mot student voi team Training</t>
        </is>
      </c>
      <c r="F21" s="28" t="inlineStr">
        <is>
          <t>Verify functionality for ghi nhan nhan xet internship cho student thuoc doi ngu Training.</t>
        </is>
      </c>
      <c r="G21" s="28" t="inlineStr">
        <is>
          <t>User is logged in as Staff.
Dang o interface danh sach student internship group.
Hoc vien "Nguyen Van A" da duoc phan cong internship.</t>
        </is>
      </c>
      <c r="H21" s="28" t="inlineStr">
        <is>
          <t>StudentName="Nguyen Van A"; FeedbackTeam="Training"; FeedbackDate="2026-08-15"; FeedbackNotes="Tien bo tot, chu dong trong task."</t>
        </is>
      </c>
      <c r="I21" s="28" t="inlineStr">
        <is>
          <t>1. Tim student "Nguyen Van A" trong danh sach.
2. Nhap vao nut "Add nhan xet" (Add Feedback) cua student nay.
3. Select Team nhan xet la "Training".
4. Enter Ngay nhan xet la "2026-08-15".
5. Enter Noi dung nhan xet la "Tien bo tot, chu dong trong task.".
6. Nhan nut "Save nhan xet".</t>
        </is>
      </c>
      <c r="J21" s="28" t="inlineStr">
        <is>
          <t>Nhan xet duoc save successfully.
Thong tin nhan xet moi xuat hien duoi ten student voi dung Team "Training", ngay va noi dung nhan xet tuong ung.</t>
        </is>
      </c>
      <c r="K21" s="28" t="inlineStr"/>
      <c r="L21" s="24" t="inlineStr">
        <is>
          <t>Not Run</t>
        </is>
      </c>
      <c r="M21" s="25" t="inlineStr">
        <is>
          <t>High</t>
        </is>
      </c>
      <c r="N21" s="28" t="inlineStr">
        <is>
          <t>Related to M05-F07, Rule 6.7</t>
        </is>
      </c>
    </row>
    <row r="22" ht="180" customHeight="1">
      <c r="A22" s="21" t="inlineStr">
        <is>
          <t>TC-M05-021</t>
        </is>
      </c>
      <c r="B22" s="21" t="inlineStr">
        <is>
          <t>Module 5 – Internship Management</t>
        </is>
      </c>
      <c r="C22" s="22" t="inlineStr">
        <is>
          <t>M05-F07</t>
        </is>
      </c>
      <c r="D22" s="23" t="inlineStr">
        <is>
          <t>Feedback Recording by Team</t>
        </is>
      </c>
      <c r="E22" s="23" t="inlineStr">
        <is>
          <t>Ghi nhan nhan xet internship successfully cho mot student voi team ERO</t>
        </is>
      </c>
      <c r="F22" s="23" t="inlineStr">
        <is>
          <t>Verify functionality for ghi nhan nhan xet internship cho student thuoc doi ngu ERO.</t>
        </is>
      </c>
      <c r="G22" s="23" t="inlineStr">
        <is>
          <t>User is logged in as Staff.
Dang o interface danh sach student internship group.
Hoc vien "Nguyen Van A" da duoc phan cong internship.</t>
        </is>
      </c>
      <c r="H22" s="23" t="inlineStr">
        <is>
          <t>StudentName="Nguyen Van A"; FeedbackTeam="ERO"; FeedbackDate="2026-08-15"; FeedbackNotes="Ky nang ky thuat tot, thai do chuyen nghiep."</t>
        </is>
      </c>
      <c r="I22" s="23" t="inlineStr">
        <is>
          <t>1. Tim student "Nguyen Van A" trong danh sach.
2. Nhap vao nut "Add nhan xet" (Add Feedback) cua student nay.
3. Select Team nhan xet la "ERO".
4. Enter Ngay nhan xet la "2026-08-15".
5. Enter Noi dung nhan xet la "Ky nang ky thuat tot, thai do chuyen nghiep.".
6. Nhan nut "Save nhan xet".</t>
        </is>
      </c>
      <c r="J22" s="23" t="inlineStr">
        <is>
          <t>Nhan xet duoc save successfully.
Thong tin nhan xet moi xuat hien duoi ten student voi dung Team "ERO", ngay va noi dung nhan xet tuong ung.</t>
        </is>
      </c>
      <c r="K22" s="23" t="inlineStr"/>
      <c r="L22" s="24" t="inlineStr">
        <is>
          <t>Not Run</t>
        </is>
      </c>
      <c r="M22" s="25" t="inlineStr">
        <is>
          <t>High</t>
        </is>
      </c>
      <c r="N22" s="23" t="inlineStr">
        <is>
          <t>Related to M05-F07, Rule 6.7</t>
        </is>
      </c>
    </row>
    <row r="23" ht="180" customHeight="1">
      <c r="A23" s="26" t="inlineStr">
        <is>
          <t>TC-M05-022</t>
        </is>
      </c>
      <c r="B23" s="26" t="inlineStr">
        <is>
          <t>Module 5 – Internship Management</t>
        </is>
      </c>
      <c r="C23" s="27" t="inlineStr">
        <is>
          <t>M05-F07</t>
        </is>
      </c>
      <c r="D23" s="28" t="inlineStr">
        <is>
          <t>Feedback Recording by Team</t>
        </is>
      </c>
      <c r="E23" s="28" t="inlineStr">
        <is>
          <t>Ghi nhan nhan xet internship successfully cho mot student voi team Educators</t>
        </is>
      </c>
      <c r="F23" s="28" t="inlineStr">
        <is>
          <t>Verify functionality for ghi nhan nhan xet internship cho student thuoc doi ngu Educators.</t>
        </is>
      </c>
      <c r="G23" s="28" t="inlineStr">
        <is>
          <t>User is logged in as Staff.
Dang o interface danh sach student internship group.
Hoc vien "Nguyen Van A" da duoc phan cong internship.</t>
        </is>
      </c>
      <c r="H23" s="28" t="inlineStr">
        <is>
          <t>StudentName="Nguyen Van A"; FeedbackTeam="Educators"; FeedbackDate="2026-08-15"; FeedbackNotes="Nang no dong gop y kien xay dung group."</t>
        </is>
      </c>
      <c r="I23" s="28" t="inlineStr">
        <is>
          <t>1. Tim student "Nguyen Van A" trong danh sach.
2. Nhap vao nut "Add nhan xet" (Add Feedback) cua student nay.
3. Select Team nhan xet la "Educators".
4. Enter Ngay nhan xet la "2026-08-15".
5. Enter Noi dung nhan xet la "Nang no dong gop y kien xay dung group.".
6. Nhan nut "Save nhan xet".</t>
        </is>
      </c>
      <c r="J23" s="28" t="inlineStr">
        <is>
          <t>Nhan xet duoc save successfully.
Thong tin nhan xet moi xuat hien duoi ten student voi dung Team "Educators", ngay va noi dung nhan xet tuong ung.</t>
        </is>
      </c>
      <c r="K23" s="28" t="inlineStr"/>
      <c r="L23" s="24" t="inlineStr">
        <is>
          <t>Not Run</t>
        </is>
      </c>
      <c r="M23" s="25" t="inlineStr">
        <is>
          <t>High</t>
        </is>
      </c>
      <c r="N23" s="28" t="inlineStr">
        <is>
          <t>Related to M05-F07, Rule 6.7</t>
        </is>
      </c>
    </row>
    <row r="24" ht="105" customHeight="1">
      <c r="A24" s="21" t="inlineStr">
        <is>
          <t>TC-M05-023</t>
        </is>
      </c>
      <c r="B24" s="21" t="inlineStr">
        <is>
          <t>Module 5 – Internship Management</t>
        </is>
      </c>
      <c r="C24" s="22" t="inlineStr">
        <is>
          <t>M05-F07</t>
        </is>
      </c>
      <c r="D24" s="23" t="inlineStr">
        <is>
          <t>Feedback Recording by Team</t>
        </is>
      </c>
      <c r="E24" s="23" t="inlineStr">
        <is>
          <t>Bo qua cac dong nhan xet trong khong save vao system</t>
        </is>
      </c>
      <c r="F24" s="23" t="inlineStr">
        <is>
          <t>Verify system bo qua va khong save cac dong nhan xet khong chua noi dung (trong).</t>
        </is>
      </c>
      <c r="G24" s="23" t="inlineStr">
        <is>
          <t>User is logged in as Staff.
Dang o interface Add nhan xet cho student.</t>
        </is>
      </c>
      <c r="H24" s="23" t="inlineStr">
        <is>
          <t>FeedbackTeam="ERO"; FeedbackDate="2026-08-15"; FeedbackNotes=""</t>
        </is>
      </c>
      <c r="I24" s="23" t="inlineStr">
        <is>
          <t>1. Mo interface enter nhan xet cua student.
2. Select Team la "ERO" va select ngay nhan xet.
3. Bo trong truong Noi dung nhan xet (Notes).
4. Nhan nut "Save".</t>
        </is>
      </c>
      <c r="J24" s="23" t="inlineStr">
        <is>
          <t>System bo qua dong nhan xet nay, khong create ban ghi moi trong co so du lieu (Google Sheets).
Khong display notification error nhung cung not displayed ban ghi nhan xet trong nay tren UI.</t>
        </is>
      </c>
      <c r="K24" s="23" t="inlineStr"/>
      <c r="L24" s="24" t="inlineStr">
        <is>
          <t>Not Run</t>
        </is>
      </c>
      <c r="M24" s="29" t="inlineStr">
        <is>
          <t>Medium</t>
        </is>
      </c>
      <c r="N24" s="23" t="inlineStr">
        <is>
          <t>Related to Rule 6.8, Error Handling (Section 8)</t>
        </is>
      </c>
    </row>
    <row r="25" ht="165" customHeight="1">
      <c r="A25" s="26" t="inlineStr">
        <is>
          <t>TC-M05-024</t>
        </is>
      </c>
      <c r="B25" s="26" t="inlineStr">
        <is>
          <t>Module 5 – Internship Management</t>
        </is>
      </c>
      <c r="C25" s="27" t="inlineStr">
        <is>
          <t>M05-F08</t>
        </is>
      </c>
      <c r="D25" s="28" t="inlineStr">
        <is>
          <t>Same for All Feedback</t>
        </is>
      </c>
      <c r="E25" s="28" t="inlineStr">
        <is>
          <t>Ghi nhan nhan xet giong nhau cho nhieu student cung luc (Same for All)</t>
        </is>
      </c>
      <c r="F25" s="28" t="inlineStr">
        <is>
          <t>Verify tinh nang ghi nhan nhan xet hang loat va ap dung noi dung giong nhau cho cac student duoc select.</t>
        </is>
      </c>
      <c r="G25" s="28" t="inlineStr">
        <is>
          <t>User is logged in as Staff.
Dang o interface danh sach student cua internship group.
Co it nhat 2 student duoc select (e.g.: Nguyen Van A, Tran Thi B).</t>
        </is>
      </c>
      <c r="H25" s="28" t="inlineStr">
        <is>
          <t>SelectedStudents="Nguyen Van A", "Tran Thi B"; FeedbackTeam="Educators"; FeedbackDate="2026-08-15"; FeedbackNotes="Ky nang giao tiep xuat sac."</t>
        </is>
      </c>
      <c r="I25" s="28" t="inlineStr">
        <is>
          <t>1. Tich select checkbox cua student "Nguyen Van A" va "Tran Thi B".
2. Nhan nut "Nhan xet hang loat" (Batch Feedback / Same for All).
3. Select Team la "Educators", select Ngay nhan xet la "2026-08-15", enter Noi dung nhan xet chung la "Ky nang giao tiep xuat sac.".
4. Nhan nut "Ap dung va Save".</t>
        </is>
      </c>
      <c r="J25" s="28" t="inlineStr">
        <is>
          <t>System save successfully nhan xet cho ca hai student.
Ca student "Nguyen Van A" va "Tran Thi B" deu display ban ghi nhan xet cua Educators voi cung noi dung "Ky nang giao tiep xuat sac." vao ngay 2026-08-15.</t>
        </is>
      </c>
      <c r="K25" s="28" t="inlineStr"/>
      <c r="L25" s="24" t="inlineStr">
        <is>
          <t>Not Run</t>
        </is>
      </c>
      <c r="M25" s="25" t="inlineStr">
        <is>
          <t>High</t>
        </is>
      </c>
      <c r="N25" s="28" t="inlineStr">
        <is>
          <t>Related to M05-F08, Rule 6.9</t>
        </is>
      </c>
    </row>
    <row r="26" ht="150" customHeight="1">
      <c r="A26" s="21" t="inlineStr">
        <is>
          <t>TC-M05-025</t>
        </is>
      </c>
      <c r="B26" s="21" t="inlineStr">
        <is>
          <t>Module 5 – Internship Management</t>
        </is>
      </c>
      <c r="C26" s="22" t="inlineStr">
        <is>
          <t>M05-F09</t>
        </is>
      </c>
      <c r="D26" s="23" t="inlineStr">
        <is>
          <t>Feedback Editing</t>
        </is>
      </c>
      <c r="E26" s="23" t="inlineStr">
        <is>
          <t>Edit nhan xet internship da save (thay doi noi dung nhan xet)</t>
        </is>
      </c>
      <c r="F26" s="23" t="inlineStr">
        <is>
          <t>Verify functionality for edit va save de noi dung nhan xet da ton tai.</t>
        </is>
      </c>
      <c r="G26" s="23" t="inlineStr">
        <is>
          <t>User is logged in as Staff.
Hoc vien "Nguyen Van A" da co nhan xet: Team = "Training", noi dung = "Tien bo tot", ngay = "2026-08-15".</t>
        </is>
      </c>
      <c r="H26" s="23" t="inlineStr">
        <is>
          <t>StudentName="Nguyen Van A"; NewFeedbackNotes="Tien bo vuot bac va lam viec group tot."</t>
        </is>
      </c>
      <c r="I26" s="23" t="inlineStr">
        <is>
          <t>1. Tim student "Nguyen Van A" va mo danh sach nhan xet cua student.
2. Select nhan xet co noi dung "Tien bo tot" va click button "Edit" (Edit).
3. Cap nhat noi dung nhan xet thanh "Tien bo vuot bac va lam viec group tot.".
4. Nhan nut "Save".</t>
        </is>
      </c>
      <c r="J26" s="23" t="inlineStr">
        <is>
          <t>Nhan xet duoc cap nhat successfully.
Noi dung moi ghi de len noi dung cu va display chinh xac tren UI: "Tien bo vuot bac va lam viec group tot.".</t>
        </is>
      </c>
      <c r="K26" s="23" t="inlineStr"/>
      <c r="L26" s="24" t="inlineStr">
        <is>
          <t>Not Run</t>
        </is>
      </c>
      <c r="M26" s="25" t="inlineStr">
        <is>
          <t>High</t>
        </is>
      </c>
      <c r="N26" s="23" t="inlineStr">
        <is>
          <t>Related to M05-F09, Rule 6.10</t>
        </is>
      </c>
    </row>
    <row r="27" ht="165" customHeight="1">
      <c r="A27" s="26" t="inlineStr">
        <is>
          <t>TC-M05-026</t>
        </is>
      </c>
      <c r="B27" s="26" t="inlineStr">
        <is>
          <t>Module 5 – Internship Management</t>
        </is>
      </c>
      <c r="C27" s="27" t="inlineStr">
        <is>
          <t>M05-F09</t>
        </is>
      </c>
      <c r="D27" s="28" t="inlineStr">
        <is>
          <t>Feedback Editing</t>
        </is>
      </c>
      <c r="E27" s="28" t="inlineStr">
        <is>
          <t>Edit nhan xet internship da save (thay doi team nhan xet va ngay nhan xet)</t>
        </is>
      </c>
      <c r="F27" s="28" t="inlineStr">
        <is>
          <t>Verify functionality for edit va save de thong tin team va ngay nhan xet da ton tai.</t>
        </is>
      </c>
      <c r="G27" s="28" t="inlineStr">
        <is>
          <t>User is logged in as Staff.
Hoc vien "Nguyen Van A" da co nhan xet: Team = "Training", noi dung = "Tien bo tot", ngay = "2026-08-15".</t>
        </is>
      </c>
      <c r="H27" s="28" t="inlineStr">
        <is>
          <t>StudentName="Nguyen Van A"; NewFeedbackTeam="ERO"; NewFeedbackDate="2026-08-20"</t>
        </is>
      </c>
      <c r="I27" s="28" t="inlineStr">
        <is>
          <t>1. Tim student "Nguyen Van A" va mo danh sach nhan xet cua student.
2. Select nhan xet co noi dung "Tien bo tot" va click button "Edit" (Edit).
3. Thay doi Team nhan xet thanh "ERO".
4. Thay doi Ngay nhan xet thanh "2026-08-20".
5. Nhan nut "Save".</t>
        </is>
      </c>
      <c r="J27" s="28" t="inlineStr">
        <is>
          <t>Nhan xet duoc cap nhat successfully.
Du lieu nhan xet duoc thay doi voi Team moi la "ERO" va ngay moi la "2026-08-20" tren interface.</t>
        </is>
      </c>
      <c r="K27" s="28" t="inlineStr"/>
      <c r="L27" s="24" t="inlineStr">
        <is>
          <t>Not Run</t>
        </is>
      </c>
      <c r="M27" s="25" t="inlineStr">
        <is>
          <t>High</t>
        </is>
      </c>
      <c r="N27" s="28" t="inlineStr">
        <is>
          <t>Related to M05-F09, Rule 6.10</t>
        </is>
      </c>
    </row>
    <row r="28" ht="180" customHeight="1">
      <c r="A28" s="21" t="inlineStr">
        <is>
          <t>TC-M05-027</t>
        </is>
      </c>
      <c r="B28" s="21" t="inlineStr">
        <is>
          <t>Module 5 – Internship Management</t>
        </is>
      </c>
      <c r="C28" s="22" t="inlineStr">
        <is>
          <t>M05-F10</t>
        </is>
      </c>
      <c r="D28" s="23" t="inlineStr">
        <is>
          <t>Group List Display</t>
        </is>
      </c>
      <c r="E28" s="23" t="inlineStr">
        <is>
          <t>Mo rong/thu gon danh sach student va display nhan cphoto bao trong danh sach internship group</t>
        </is>
      </c>
      <c r="F28" s="23" t="inlineStr">
        <is>
          <t>Verify functionality for mo rong/thu gon (expand/collapse) cua tung internship group, dieu huong va display chinh xac nhan cphoto bao (Warning Badge).</t>
        </is>
      </c>
      <c r="G28" s="23" t="inlineStr">
        <is>
          <t>User is logged in as Staff.
Dang o man hinh danh sach internship group.
Co internship group "Nhom Thuc tap 2026" chua 2 student chua gan company.</t>
        </is>
      </c>
      <c r="H28" s="23" t="inlineStr">
        <is>
          <t>GroupName="Nhom Thuc tap 2026"</t>
        </is>
      </c>
      <c r="I28" s="23" t="inlineStr">
        <is>
          <t>1. Observe dong display cua internship group "Nhom Thuc tap 2026".
2. Verify whether co display nhan cphoto bao student chua gan hay khong (e.g.: "2 student chua phan cong" hoac "2 Unassigned").
3. Nhap vao nut/bieu tuong mui ten mo rong (Expand) cua internship group nay.
4. Nhap lai vao nut/bieu tuong thu gon (Collapse) cua internship group.</t>
        </is>
      </c>
      <c r="J28" s="23" t="inlineStr">
        <is>
          <t>Nhan cphoto bao display chinh xac so luong student chua gan (e.g.: "⚠ 2 Unassigned" hoac tuong tu).
Khi click Mo rong, danh sach student chi tiet cua group display ngay ben duoi.
Khi click Thu gon, danh sach chi tiet duoc an di.</t>
        </is>
      </c>
      <c r="K28" s="23" t="inlineStr"/>
      <c r="L28" s="24" t="inlineStr">
        <is>
          <t>Not Run</t>
        </is>
      </c>
      <c r="M28" s="29" t="inlineStr">
        <is>
          <t>Medium</t>
        </is>
      </c>
      <c r="N28" s="23" t="inlineStr">
        <is>
          <t>Related to M05-F10, Rule 6.11</t>
        </is>
      </c>
    </row>
  </sheetData>
  <autoFilter ref="A1:N28"/>
  <dataValidations count="2">
    <dataValidation sqref="L2:L128" showDropDown="0" showInputMessage="0" showErrorMessage="0" allowBlank="1" errorTitle="Invalid Status" error="Please select a valid state: Passed, Failed, or Not Run" type="list">
      <formula1>"Passed,Failed,Not Run"</formula1>
    </dataValidation>
    <dataValidation sqref="M2:M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90" customHeight="1">
      <c r="A2" s="21" t="inlineStr">
        <is>
          <t>TC-M06-001</t>
        </is>
      </c>
      <c r="B2" s="21" t="inlineStr">
        <is>
          <t>Module 06 – Bi-Weekly Internship Reports</t>
        </is>
      </c>
      <c r="C2" s="22" t="inlineStr">
        <is>
          <t>M06-F01</t>
        </is>
      </c>
      <c r="D2" s="23" t="inlineStr">
        <is>
          <t>Report Creation</t>
        </is>
      </c>
      <c r="E2" s="23" t="inlineStr">
        <is>
          <t>Create new report boi student thuoc internship group dang hoat dong</t>
        </is>
      </c>
      <c r="F2" s="23" t="inlineStr">
        <is>
          <t>Verify functionality for display nut va mo interface create new report cho student thuoc internship group dang hoat dong (On-going).</t>
        </is>
      </c>
      <c r="G2" s="23" t="inlineStr">
        <is>
          <t>User is logged in as Student.
Hoc vien thuoc internship group co status "On-going".
Currently on Student Portal interface.</t>
        </is>
      </c>
      <c r="H2" s="23" t="inlineStr">
        <is>
          <t>BatchName="PNV26A"; GroupStatus="On-going"</t>
        </is>
      </c>
      <c r="I2" s="23" t="inlineStr">
        <is>
          <t>1. Truy cap vao Student Portal.
2. Verify su xuat hien cua nut "+ New Report".
3. Nhap vao nut "+ New Report".</t>
        </is>
      </c>
      <c r="J2" s="23" t="inlineStr">
        <is>
          <t>Nut "+ New Report" display ro rang va can click duoc.
Interface create new internship report mo ra successfully.</t>
        </is>
      </c>
      <c r="K2" s="23" t="inlineStr"/>
      <c r="L2" s="24" t="inlineStr">
        <is>
          <t>Not Run</t>
        </is>
      </c>
      <c r="M2" s="25" t="inlineStr">
        <is>
          <t>High</t>
        </is>
      </c>
      <c r="N2" s="23" t="inlineStr">
        <is>
          <t>Related to M06-F01, Rule 6.1</t>
        </is>
      </c>
    </row>
    <row r="3" ht="90" customHeight="1">
      <c r="A3" s="26" t="inlineStr">
        <is>
          <t>TC-M06-002</t>
        </is>
      </c>
      <c r="B3" s="26" t="inlineStr">
        <is>
          <t>Module 06 – Bi-Weekly Internship Reports</t>
        </is>
      </c>
      <c r="C3" s="27" t="inlineStr">
        <is>
          <t>M06-F01</t>
        </is>
      </c>
      <c r="D3" s="28" t="inlineStr">
        <is>
          <t>Report Creation</t>
        </is>
      </c>
      <c r="E3" s="28" t="inlineStr">
        <is>
          <t>Prevent create new report for student thuoc internship group da hoan thanh</t>
        </is>
      </c>
      <c r="F3" s="28" t="inlineStr">
        <is>
          <t>Verify system an nut create new report neu student thuoc internship group da hoan thanh (Completed).</t>
        </is>
      </c>
      <c r="G3" s="28" t="inlineStr">
        <is>
          <t>User is logged in as Student.
Hoc vien thuoc internship group co status "Completed".
Currently on Student Portal interface.</t>
        </is>
      </c>
      <c r="H3" s="28" t="inlineStr">
        <is>
          <t>BatchName="PNV26A"; GroupStatus="Completed"</t>
        </is>
      </c>
      <c r="I3" s="28" t="inlineStr">
        <is>
          <t>1. Truy cap vao Student Portal.
2. Observe su xuat hien cua nut "+ New Report".</t>
        </is>
      </c>
      <c r="J3" s="28" t="inlineStr">
        <is>
          <t>Nut "+ New Report" not displayed tren interface.
Hoc vien cannot create new internship report.</t>
        </is>
      </c>
      <c r="K3" s="28" t="inlineStr"/>
      <c r="L3" s="24" t="inlineStr">
        <is>
          <t>Not Run</t>
        </is>
      </c>
      <c r="M3" s="25" t="inlineStr">
        <is>
          <t>High</t>
        </is>
      </c>
      <c r="N3" s="28" t="inlineStr">
        <is>
          <t>Related to M06-F01, Rule 6.1</t>
        </is>
      </c>
    </row>
    <row r="4" ht="90" customHeight="1">
      <c r="A4" s="21" t="inlineStr">
        <is>
          <t>TC-M06-003</t>
        </is>
      </c>
      <c r="B4" s="21" t="inlineStr">
        <is>
          <t>Module 06 – Bi-Weekly Internship Reports</t>
        </is>
      </c>
      <c r="C4" s="22" t="inlineStr">
        <is>
          <t>M06-F01</t>
        </is>
      </c>
      <c r="D4" s="23" t="inlineStr">
        <is>
          <t>Report Creation</t>
        </is>
      </c>
      <c r="E4" s="23" t="inlineStr">
        <is>
          <t>Prevent create new report for student thuoc internship group da archive</t>
        </is>
      </c>
      <c r="F4" s="23" t="inlineStr">
        <is>
          <t>Verify system an nut create new report neu student thuoc internship group da archive (Archived).</t>
        </is>
      </c>
      <c r="G4" s="23" t="inlineStr">
        <is>
          <t>User is logged in as Student.
Hoc vien thuoc internship group co status "Archived".
Currently on Student Portal interface.</t>
        </is>
      </c>
      <c r="H4" s="23" t="inlineStr">
        <is>
          <t>BatchName="PNV26A"; GroupStatus="Archived"</t>
        </is>
      </c>
      <c r="I4" s="23" t="inlineStr">
        <is>
          <t>1. Truy cap vao Student Portal.
2. Observe su xuat hien cua nut "+ New Report".</t>
        </is>
      </c>
      <c r="J4" s="23" t="inlineStr">
        <is>
          <t>Nut "+ New Report" not displayed tren interface.
Hoc vien cannot create new internship report.</t>
        </is>
      </c>
      <c r="K4" s="23" t="inlineStr"/>
      <c r="L4" s="24" t="inlineStr">
        <is>
          <t>Not Run</t>
        </is>
      </c>
      <c r="M4" s="25" t="inlineStr">
        <is>
          <t>High</t>
        </is>
      </c>
      <c r="N4" s="23" t="inlineStr">
        <is>
          <t>Related to M06-F01, Rule 6.1</t>
        </is>
      </c>
    </row>
    <row r="5" ht="60" customHeight="1">
      <c r="A5" s="26" t="inlineStr">
        <is>
          <t>TC-M06-004</t>
        </is>
      </c>
      <c r="B5" s="26" t="inlineStr">
        <is>
          <t>Module 06 – Bi-Weekly Internship Reports</t>
        </is>
      </c>
      <c r="C5" s="27" t="inlineStr">
        <is>
          <t>M06-F03</t>
        </is>
      </c>
      <c r="D5" s="28" t="inlineStr">
        <is>
          <t>Submission Validation</t>
        </is>
      </c>
      <c r="E5" s="28" t="inlineStr">
        <is>
          <t>Prevent creating new report from Staff account</t>
        </is>
      </c>
      <c r="F5" s="28" t="inlineStr">
        <is>
          <t>Verify whether account Staff co bi gioi han quyen khong duoc create new internship report hay khong.</t>
        </is>
      </c>
      <c r="G5" s="28" t="inlineStr">
        <is>
          <t>User is logged in as Staff.
Currently on Student Management or Internship Management interface.</t>
        </is>
      </c>
      <c r="H5" s="28" t="inlineStr">
        <is>
          <t>Role="Staff"</t>
        </is>
      </c>
      <c r="I5" s="28" t="inlineStr">
        <is>
          <t>1. Truy cap interface report cua student bat ky hoac kiem tra cac nut chuc nang tren trang report.</t>
        </is>
      </c>
      <c r="J5" s="28" t="inlineStr">
        <is>
          <t>Khong xuat hien nut "+ New Report" hoac bat ky tuy select nao allows Staff create internship report.</t>
        </is>
      </c>
      <c r="K5" s="28" t="inlineStr"/>
      <c r="L5" s="24" t="inlineStr">
        <is>
          <t>Not Run</t>
        </is>
      </c>
      <c r="M5" s="29" t="inlineStr">
        <is>
          <t>Medium</t>
        </is>
      </c>
      <c r="N5" s="28" t="inlineStr">
        <is>
          <t>Related to User Roles (Section 4), Staff Access (Rule 6.12)</t>
        </is>
      </c>
    </row>
    <row r="6" ht="120" customHeight="1">
      <c r="A6" s="21" t="inlineStr">
        <is>
          <t>TC-M06-005</t>
        </is>
      </c>
      <c r="B6" s="21" t="inlineStr">
        <is>
          <t>Module 06 – Bi-Weekly Internship Reports</t>
        </is>
      </c>
      <c r="C6" s="22" t="inlineStr">
        <is>
          <t>M06-F02</t>
        </is>
      </c>
      <c r="D6" s="23" t="inlineStr">
        <is>
          <t>Draft Saving</t>
        </is>
      </c>
      <c r="E6" s="23" t="inlineStr">
        <is>
          <t>Save temporary report as Draft</t>
        </is>
      </c>
      <c r="F6" s="23" t="inlineStr">
        <is>
          <t>Verify functionality for save as draft report voi thong tin chua day du de edit sau.</t>
        </is>
      </c>
      <c r="G6" s="23" t="inlineStr">
        <is>
          <t>User is logged in as Student.
Currently on new internship report creation interface.</t>
        </is>
      </c>
      <c r="H6" s="23" t="inlineStr">
        <is>
          <t>CompanySupervisorName="Nguyen Van B"; StartDate="2026-07-20"; Status="Draft"</t>
        </is>
      </c>
      <c r="I6" s="23" t="inlineStr">
        <is>
          <t>1. Enter Ten supervisor cua company la "Nguyen Van B".
2. Select Start Date la "2026-07-20" (Monday).
3. De trong cac truong bat buoc khac.
4. Nhap nut "Save as Draft" (Save as draft).</t>
        </is>
      </c>
      <c r="J6" s="23" t="inlineStr">
        <is>
          <t>System display notification save as draft successfully.
Bao cao duoc save vao danh sach voi status "Draft".
Hoc vien can mo lai de tiep tuc edit.</t>
        </is>
      </c>
      <c r="K6" s="23" t="inlineStr"/>
      <c r="L6" s="24" t="inlineStr">
        <is>
          <t>Not Run</t>
        </is>
      </c>
      <c r="M6" s="25" t="inlineStr">
        <is>
          <t>High</t>
        </is>
      </c>
      <c r="N6" s="23" t="inlineStr">
        <is>
          <t>Related to M06-F02, Rule 6.2</t>
        </is>
      </c>
    </row>
    <row r="7" ht="165" customHeight="1">
      <c r="A7" s="26" t="inlineStr">
        <is>
          <t>TC-M06-006</t>
        </is>
      </c>
      <c r="B7" s="26" t="inlineStr">
        <is>
          <t>Module 06 – Bi-Weekly Internship Reports</t>
        </is>
      </c>
      <c r="C7" s="27" t="inlineStr">
        <is>
          <t>M06-F02</t>
        </is>
      </c>
      <c r="D7" s="28" t="inlineStr">
        <is>
          <t>Draft Saving</t>
        </is>
      </c>
      <c r="E7" s="28" t="inlineStr">
        <is>
          <t>Edit draft report unlimited number of times</t>
        </is>
      </c>
      <c r="F7" s="28" t="inlineStr">
        <is>
          <t>Verify whether student can edit va save lai draft report nhieu lan truoc khi submit chinh thuc.</t>
        </is>
      </c>
      <c r="G7" s="28" t="inlineStr">
        <is>
          <t>User is logged in as Student.
Da co san mot report o status "Draft" trong danh sach.</t>
        </is>
      </c>
      <c r="H7" s="28" t="inlineStr">
        <is>
          <t>ReportId="REP001"; InitialStatus="Draft"; NewSupervisorName="Tran Thi C"; Tasks=[{"TaskName": "Design Database", "Description": "Create ERD", "Result": "Completed"}]</t>
        </is>
      </c>
      <c r="I7" s="28" t="inlineStr">
        <is>
          <t>1. Select draft report "REP001" tu danh sach va click "Edit" (Edit).
2. Thay doi Ten supervisor thanh "Tran Thi C".
3. Add mot task vao task table.
4. Nhap nut "Save as Draft".
5. Mo lai report do lan nua, sua doi thong tin va click "Save as Draft" tiep.</t>
        </is>
      </c>
      <c r="J7" s="28" t="inlineStr">
        <is>
          <t>System allows edit va save successfully tat ca cac thay doi ma without limit times.
Status report van giu nguyen la "Draft" sau moi lan save as draft.</t>
        </is>
      </c>
      <c r="K7" s="28" t="inlineStr"/>
      <c r="L7" s="24" t="inlineStr">
        <is>
          <t>Not Run</t>
        </is>
      </c>
      <c r="M7" s="25" t="inlineStr">
        <is>
          <t>High</t>
        </is>
      </c>
      <c r="N7" s="28" t="inlineStr">
        <is>
          <t>Related to M06-F02, Rule 6.2</t>
        </is>
      </c>
    </row>
    <row r="8" ht="105" customHeight="1">
      <c r="A8" s="21" t="inlineStr">
        <is>
          <t>TC-M06-007</t>
        </is>
      </c>
      <c r="B8" s="21" t="inlineStr">
        <is>
          <t>Module 06 – Bi-Weekly Internship Reports</t>
        </is>
      </c>
      <c r="C8" s="22" t="inlineStr">
        <is>
          <t>M06-F02</t>
        </is>
      </c>
      <c r="D8" s="23" t="inlineStr">
        <is>
          <t>Draft Saving</t>
        </is>
      </c>
      <c r="E8" s="23" t="inlineStr">
        <is>
          <t>Draft report does not send emails and is hidden from Staff</t>
        </is>
      </c>
      <c r="F8" s="23" t="inlineStr">
        <is>
          <t>Dam bao draft report khong kich hoat tinh nang gui email va cannot nhin thay boi account Staff.</t>
        </is>
      </c>
      <c r="G8" s="23" t="inlineStr">
        <is>
          <t>Hoc vien vua thuc hien save as draft mot new report.</t>
        </is>
      </c>
      <c r="H8" s="23" t="inlineStr">
        <is>
          <t>Status="Draft"; StudentEmail="student01@student.passerellesnumeriques.org"; PnvSupervisorEmail="pnv.sup@passerellesnumeriques.org"</t>
        </is>
      </c>
      <c r="I8" s="23" t="inlineStr">
        <is>
          <t>1. Verify hom thu cua PNV Supervisor va Company Supervisor xem co email notification nao duoc gui di khong.
2. Log in system bang account Staff, access trang chi tiet student (Student Detail) cua student nay va kiem tra danh sach report.</t>
        </is>
      </c>
      <c r="J8" s="23" t="inlineStr">
        <is>
          <t>1. Khong co email nao duoc gui tu system.
2. Tai khoan Staff khong nhin thay draft report nay trong danh sach report cua student.</t>
        </is>
      </c>
      <c r="K8" s="23" t="inlineStr"/>
      <c r="L8" s="24" t="inlineStr">
        <is>
          <t>Not Run</t>
        </is>
      </c>
      <c r="M8" s="25" t="inlineStr">
        <is>
          <t>High</t>
        </is>
      </c>
      <c r="N8" s="23" t="inlineStr">
        <is>
          <t>Related to M06-F02, Rule 6.2, Rule 6.12</t>
        </is>
      </c>
    </row>
    <row r="9" ht="105" customHeight="1">
      <c r="A9" s="26" t="inlineStr">
        <is>
          <t>TC-M06-008</t>
        </is>
      </c>
      <c r="B9" s="26" t="inlineStr">
        <is>
          <t>Module 06 – Bi-Weekly Internship Reports</t>
        </is>
      </c>
      <c r="C9" s="27" t="inlineStr">
        <is>
          <t>M06-F04</t>
        </is>
      </c>
      <c r="D9" s="28" t="inlineStr">
        <is>
          <t>Auto-calculated End Date</t>
        </is>
      </c>
      <c r="E9" s="28" t="inlineStr">
        <is>
          <t>Auto-calculate End Date when valid Start Date is entered</t>
        </is>
      </c>
      <c r="F9" s="28" t="inlineStr">
        <is>
          <t>Verify functionality for auto-calculate End Date (End Date) dua tren cong thuc Start Date (Start Date) + 13 ngay.</t>
        </is>
      </c>
      <c r="G9" s="28" t="inlineStr">
        <is>
          <t>User is logged in as Student.
Currently on new report creation interface.</t>
        </is>
      </c>
      <c r="H9" s="28" t="inlineStr">
        <is>
          <t>StartDate="2026-07-20" (Monday)</t>
        </is>
      </c>
      <c r="I9" s="28" t="inlineStr">
        <is>
          <t>1. Nhap select truong Start Date va enter/select ngay "2026-07-20".
2. Verify gia tri display o truong End Date.
3. Thu click dup hoac go vao truong End Date de edit.</t>
        </is>
      </c>
      <c r="J9" s="28" t="inlineStr">
        <is>
          <t>Truong End Date tu dong display ngay "2026-08-02".
Truong End Date bi vo hieu hoa (disabled/read-only) va user cannot edit thu cong.</t>
        </is>
      </c>
      <c r="K9" s="28" t="inlineStr"/>
      <c r="L9" s="24" t="inlineStr">
        <is>
          <t>Not Run</t>
        </is>
      </c>
      <c r="M9" s="25" t="inlineStr">
        <is>
          <t>High</t>
        </is>
      </c>
      <c r="N9" s="28" t="inlineStr">
        <is>
          <t>Related to M06-F04, Rule 6.5</t>
        </is>
      </c>
    </row>
    <row r="10" ht="120" customHeight="1">
      <c r="A10" s="21" t="inlineStr">
        <is>
          <t>TC-M06-009</t>
        </is>
      </c>
      <c r="B10" s="21" t="inlineStr">
        <is>
          <t>Module 06 – Bi-Weekly Internship Reports</t>
        </is>
      </c>
      <c r="C10" s="22" t="inlineStr">
        <is>
          <t>M06-F04</t>
        </is>
      </c>
      <c r="D10" s="23" t="inlineStr">
        <is>
          <t>Auto-calculated End Date</t>
        </is>
      </c>
      <c r="E10" s="23" t="inlineStr">
        <is>
          <t>Prevent submitting report if Start Date is not a Monday</t>
        </is>
      </c>
      <c r="F10" s="23" t="inlineStr">
        <is>
          <t>Verify system bao error khi Start Date duoc select khong roi vao thu Hai.</t>
        </is>
      </c>
      <c r="G10" s="23" t="inlineStr">
        <is>
          <t>User is logged in as Student.
Currently on new report creation interface.</t>
        </is>
      </c>
      <c r="H10" s="23" t="inlineStr">
        <is>
          <t>StartDate="2026-07-21" (Tuesday, not thu Hai); Other required fields valid</t>
        </is>
      </c>
      <c r="I10" s="23" t="inlineStr">
        <is>
          <t>1. Enter day du thong tin hop le vao cac truong bat buoc.
2. Thay doi Start Date thanh "2026-07-21" (Tuesday).
3. Nhap nut "Submit" (Submit report).
4. Xac nhan submit trong hop thoai xac nhan.</t>
        </is>
      </c>
      <c r="J10" s="23" t="inlineStr">
        <is>
          <t>System display error cphoto bao Start Date phai la thu Hai (e.g.: "Start Date must be a Monday").
Bao cao khong duoc submit va status khong doi.</t>
        </is>
      </c>
      <c r="K10" s="23" t="inlineStr"/>
      <c r="L10" s="24" t="inlineStr">
        <is>
          <t>Not Run</t>
        </is>
      </c>
      <c r="M10" s="25" t="inlineStr">
        <is>
          <t>High</t>
        </is>
      </c>
      <c r="N10" s="23" t="inlineStr">
        <is>
          <t>Related to Validation Rules (Section 7), Error Handling (Section 8)</t>
        </is>
      </c>
    </row>
    <row r="11" ht="90" customHeight="1">
      <c r="A11" s="26" t="inlineStr">
        <is>
          <t>TC-M06-010</t>
        </is>
      </c>
      <c r="B11" s="26" t="inlineStr">
        <is>
          <t>Module 06 – Bi-Weekly Internship Reports</t>
        </is>
      </c>
      <c r="C11" s="27" t="inlineStr">
        <is>
          <t>M06-F04</t>
        </is>
      </c>
      <c r="D11" s="28" t="inlineStr">
        <is>
          <t>Auto-calculated End Date</t>
        </is>
      </c>
      <c r="E11" s="28" t="inlineStr">
        <is>
          <t>Prevent submitting report if Start Date is outside internship period</t>
        </is>
      </c>
      <c r="F11" s="28" t="inlineStr">
        <is>
          <t>Verify system bao error khi student select Start Date outside pham vi period internship da cau hinh.</t>
        </is>
      </c>
      <c r="G11" s="28" t="inlineStr">
        <is>
          <t>User is logged in as Student.
Thoi gian internship cua student duoc cau hinh tu "2026-07-01" den "2026-09-30".
Currently on new report creation interface.</t>
        </is>
      </c>
      <c r="H11" s="28" t="inlineStr">
        <is>
          <t>StartDate="2026-06-22" (Monday, truoc period internship); Other required fields valid</t>
        </is>
      </c>
      <c r="I11" s="28" t="inlineStr">
        <is>
          <t>1. Enter day du thong tin hop le vao cac truong bat buoc.
2. Select Start Date la "2026-06-22".
3. Nhap nut "Submit" va xac nhan.</t>
        </is>
      </c>
      <c r="J11" s="28" t="inlineStr">
        <is>
          <t>System display notification error requires Start Date phai nam trong period internship (e.g.: "Start Date must be within the internship period").
Bao cao khong duoc submit.</t>
        </is>
      </c>
      <c r="K11" s="28" t="inlineStr"/>
      <c r="L11" s="24" t="inlineStr">
        <is>
          <t>Not Run</t>
        </is>
      </c>
      <c r="M11" s="25" t="inlineStr">
        <is>
          <t>High</t>
        </is>
      </c>
      <c r="N11" s="28" t="inlineStr">
        <is>
          <t>Related to Validation Rules (Section 7), Error Handling (Section 8)</t>
        </is>
      </c>
    </row>
    <row r="12" ht="150" customHeight="1">
      <c r="A12" s="21" t="inlineStr">
        <is>
          <t>TC-M06-011</t>
        </is>
      </c>
      <c r="B12" s="21" t="inlineStr">
        <is>
          <t>Module 06 – Bi-Weekly Internship Reports</t>
        </is>
      </c>
      <c r="C12" s="22" t="inlineStr">
        <is>
          <t>M06-F05</t>
        </is>
      </c>
      <c r="D12" s="23" t="inlineStr">
        <is>
          <t>Dynamic Task Table</t>
        </is>
      </c>
      <c r="E12" s="23" t="inlineStr">
        <is>
          <t>Add and remove task rows in dynamic task table</t>
        </is>
      </c>
      <c r="F12" s="23" t="inlineStr">
        <is>
          <t>Verify functionality for add moi task row va delete bot task row hien tai trong task table.</t>
        </is>
      </c>
      <c r="G12" s="23" t="inlineStr">
        <is>
          <t>User is logged in as Student.
Currently on report creation or edit interface.</t>
        </is>
      </c>
      <c r="H12" s="23" t="inlineStr">
        <is>
          <t>Khong co du lieu dac biet</t>
        </is>
      </c>
      <c r="I12" s="23" t="inlineStr">
        <is>
          <t>1. Nhap nut "Add Task" (Add task).
2. Enter thong tin vao task row vua create.
3. Nhap nut "Add Task" mot lan nua de create dong thu 2.
4. Enter thong tin cho dong thu 2.
5. Nhap nut "Remove" (Delete) tai task row thu nhat.</t>
        </is>
      </c>
      <c r="J12" s="23" t="inlineStr">
        <is>
          <t>1. Mot dong moi xuat hien voi cac o enter: Ten task, Mo ta, Ket qua.
2. Enter lieu binh thuong.
3. Dong thu 2 duoc create add.
4. Enter lieu binh thuong cho dong thu 2.
5. Dong thu nhat bi delete khoi bang, chi con lai dong thu 2.</t>
        </is>
      </c>
      <c r="K12" s="23" t="inlineStr"/>
      <c r="L12" s="24" t="inlineStr">
        <is>
          <t>Not Run</t>
        </is>
      </c>
      <c r="M12" s="25" t="inlineStr">
        <is>
          <t>High</t>
        </is>
      </c>
      <c r="N12" s="23" t="inlineStr">
        <is>
          <t>Related to M06-F05, Rule 6.6</t>
        </is>
      </c>
    </row>
    <row r="13" ht="75" customHeight="1">
      <c r="A13" s="26" t="inlineStr">
        <is>
          <t>TC-M06-012</t>
        </is>
      </c>
      <c r="B13" s="26" t="inlineStr">
        <is>
          <t>Module 06 – Bi-Weekly Internship Reports</t>
        </is>
      </c>
      <c r="C13" s="27" t="inlineStr">
        <is>
          <t>M06-F05</t>
        </is>
      </c>
      <c r="D13" s="28" t="inlineStr">
        <is>
          <t>Dynamic Task Table</t>
        </is>
      </c>
      <c r="E13" s="28" t="inlineStr">
        <is>
          <t>Prevent submit report khi danh sach task trong</t>
        </is>
      </c>
      <c r="F13" s="28" t="inlineStr">
        <is>
          <t>Dam bao system bat buoc report phai co it nhat mot task moi allows submit.</t>
        </is>
      </c>
      <c r="G13" s="28" t="inlineStr">
        <is>
          <t>User is logged in as Student.
Dang o interface create new report, cac truong thong tin chung da dien day du.</t>
        </is>
      </c>
      <c r="H13" s="28" t="inlineStr">
        <is>
          <t>TaskList=Empty; Other required fields valid</t>
        </is>
      </c>
      <c r="I13" s="28" t="inlineStr">
        <is>
          <t>1. Delete tat ca cac task row trong task table (hoac khong add dong nao).
2. Nhap nut "Submit" va xac nhan.</t>
        </is>
      </c>
      <c r="J13" s="28" t="inlineStr">
        <is>
          <t>System display notification error requires phai enter it nhat mot task (e.g.: "At least one task is required").
Bao cao khong duoc submit.</t>
        </is>
      </c>
      <c r="K13" s="28" t="inlineStr"/>
      <c r="L13" s="24" t="inlineStr">
        <is>
          <t>Not Run</t>
        </is>
      </c>
      <c r="M13" s="25" t="inlineStr">
        <is>
          <t>High</t>
        </is>
      </c>
      <c r="N13" s="28" t="inlineStr">
        <is>
          <t>Related to Validation Rules (Section 7), Error Handling (Section 8)</t>
        </is>
      </c>
    </row>
    <row r="14" ht="90" customHeight="1">
      <c r="A14" s="21" t="inlineStr">
        <is>
          <t>TC-M06-013</t>
        </is>
      </c>
      <c r="B14" s="21" t="inlineStr">
        <is>
          <t>Module 06 – Bi-Weekly Internship Reports</t>
        </is>
      </c>
      <c r="C14" s="22" t="inlineStr">
        <is>
          <t>M06-F05</t>
        </is>
      </c>
      <c r="D14" s="23" t="inlineStr">
        <is>
          <t>Dynamic Task Table</t>
        </is>
      </c>
      <c r="E14" s="23" t="inlineStr">
        <is>
          <t>Prevent submit report khi co task row chua hoan thanh thong tin</t>
        </is>
      </c>
      <c r="F14" s="23" t="inlineStr">
        <is>
          <t>Verify system bao error neu ton tai bat ky task row nao bi bo trong Ten, Mo ta hoac Ket qua khi submit.</t>
        </is>
      </c>
      <c r="G14" s="23" t="inlineStr">
        <is>
          <t>User is logged in as Student.
Currently on new report creation interface.</t>
        </is>
      </c>
      <c r="H14" s="23" t="inlineStr">
        <is>
          <t>TaskName="Code FE"; Description=""; Result="Done" (De trong phan Mo ta)</t>
        </is>
      </c>
      <c r="I14" s="23" t="inlineStr">
        <is>
          <t>1. Enter day du thong tin chung hop le.
2. Add mot task row, enter Ten task la "Code FE", Ket qua la "Done", bo trong Mo ta.
3. Nhap nut "Submit" va xac nhan.</t>
        </is>
      </c>
      <c r="J14" s="23" t="inlineStr">
        <is>
          <t>System bao error task row khong hop le (e.g.: "Task fields cannot be left blank").
Bao cao khong duoc submit.</t>
        </is>
      </c>
      <c r="K14" s="23" t="inlineStr"/>
      <c r="L14" s="24" t="inlineStr">
        <is>
          <t>Not Run</t>
        </is>
      </c>
      <c r="M14" s="25" t="inlineStr">
        <is>
          <t>High</t>
        </is>
      </c>
      <c r="N14" s="23" t="inlineStr">
        <is>
          <t>Related to Rule 6.6, Validation Rules (Section 7), Error Handling (Section 8)</t>
        </is>
      </c>
    </row>
    <row r="15" ht="165" customHeight="1">
      <c r="A15" s="26" t="inlineStr">
        <is>
          <t>TC-M06-014</t>
        </is>
      </c>
      <c r="B15" s="26" t="inlineStr">
        <is>
          <t>Module 06 – Bi-Weekly Internship Reports</t>
        </is>
      </c>
      <c r="C15" s="27" t="inlineStr">
        <is>
          <t>M06-F06</t>
        </is>
      </c>
      <c r="D15" s="28" t="inlineStr">
        <is>
          <t>Auto-calculated Total Hours</t>
        </is>
      </c>
      <c r="E15" s="28" t="inlineStr">
        <is>
          <t>Auto-calculate so gio lam viec hang ngay va tong so gio lam viec</t>
        </is>
      </c>
      <c r="F15" s="28" t="inlineStr">
        <is>
          <t>Verify functionality for tu dong tinh tong so gio lam viec theo tuan va tong ca ky report khi user enter so gio lam viec hang ngay.</t>
        </is>
      </c>
      <c r="G15" s="28" t="inlineStr">
        <is>
          <t>User is logged in as Student.
Currently on report creation or edit interface.</t>
        </is>
      </c>
      <c r="H15" s="28" t="inlineStr">
        <is>
          <t>Week1Hours=[8, 8, 8, 8, 8, 0, 0]; Week2Hours=[8, 8, 8, 8, 8, 4, 0]</t>
        </is>
      </c>
      <c r="I15" s="28" t="inlineStr">
        <is>
          <t>1. Enter so gio lam viec cho Tuan 1 tu thu Hai den Sunday lan luot la: 8, 8, 8, 8, 8, 0, 0.
2. Enter so gio lam viec cho Tuan 2 lan luot la: 8, 8, 8, 8, 8, 4, 0.
3. Observe tong so gio cua Tuan 1, Tuan 2 va Tong so gio lam viec display tren interface.
4. Thay doi so gio ngay thu Bay Tuan 2 tu 4 thanh 8.</t>
        </is>
      </c>
      <c r="J15" s="28" t="inlineStr">
        <is>
          <t>Tong so gio Tuan 1 tu dong display 40.
Tong so gio Tuan 2 tu dong display 44.
Tong so gio lam viec ca ky report tu dong display 84.
Khi thay doi ngay thu Bay Tuan 2 thanh 8, tong Tuan 2 lap tuc cap nhat thanh 48 va Tong so gio lam viec cap nhat thanh 88.</t>
        </is>
      </c>
      <c r="K15" s="28" t="inlineStr"/>
      <c r="L15" s="24" t="inlineStr">
        <is>
          <t>Not Run</t>
        </is>
      </c>
      <c r="M15" s="25" t="inlineStr">
        <is>
          <t>High</t>
        </is>
      </c>
      <c r="N15" s="28" t="inlineStr">
        <is>
          <t>Related to M06-F06, Rule 6.7</t>
        </is>
      </c>
    </row>
    <row r="16" ht="75" customHeight="1">
      <c r="A16" s="21" t="inlineStr">
        <is>
          <t>TC-M06-015</t>
        </is>
      </c>
      <c r="B16" s="21" t="inlineStr">
        <is>
          <t>Module 06 – Bi-Weekly Internship Reports</t>
        </is>
      </c>
      <c r="C16" s="22" t="inlineStr">
        <is>
          <t>M06-F06</t>
        </is>
      </c>
      <c r="D16" s="23" t="inlineStr">
        <is>
          <t>Auto-calculated Total Hours</t>
        </is>
      </c>
      <c r="E16" s="23" t="inlineStr">
        <is>
          <t>Prevent enter so gio lam viec la so am</t>
        </is>
      </c>
      <c r="F16" s="23" t="inlineStr">
        <is>
          <t>Dam bao system khong chap nhan gia tri so gio lam viec nho hon 0.</t>
        </is>
      </c>
      <c r="G16" s="23" t="inlineStr">
        <is>
          <t>User is logged in as Student.
Currently on report creation or edit interface.</t>
        </is>
      </c>
      <c r="H16" s="23" t="inlineStr">
        <is>
          <t>HourInput=-2</t>
        </is>
      </c>
      <c r="I16" s="23" t="inlineStr">
        <is>
          <t>1. Enter gia tri -2 vao o enter gio lam viec cua ngay bat ky.
2. Nhan nut "Save as Draft" hoac "Submit".</t>
        </is>
      </c>
      <c r="J16" s="23" t="inlineStr">
        <is>
          <t>System bao error so gio khong hop le hoac tu dong khoi phuc ve 0/ngan khong cho enter so am.
Bao cao khong duoc save/submit voi gia tri am.</t>
        </is>
      </c>
      <c r="K16" s="23" t="inlineStr"/>
      <c r="L16" s="24" t="inlineStr">
        <is>
          <t>Not Run</t>
        </is>
      </c>
      <c r="M16" s="25" t="inlineStr">
        <is>
          <t>High</t>
        </is>
      </c>
      <c r="N16" s="23" t="inlineStr">
        <is>
          <t>Related to Boundary Value Testing (Section 6.7)</t>
        </is>
      </c>
    </row>
    <row r="17" ht="75" customHeight="1">
      <c r="A17" s="26" t="inlineStr">
        <is>
          <t>TC-M06-016</t>
        </is>
      </c>
      <c r="B17" s="26" t="inlineStr">
        <is>
          <t>Module 06 – Bi-Weekly Internship Reports</t>
        </is>
      </c>
      <c r="C17" s="27" t="inlineStr">
        <is>
          <t>M06-F06</t>
        </is>
      </c>
      <c r="D17" s="28" t="inlineStr">
        <is>
          <t>Auto-calculated Total Hours</t>
        </is>
      </c>
      <c r="E17" s="28" t="inlineStr">
        <is>
          <t>Prevent enter so gio lam viec exceeding 24 gio mot ngay</t>
        </is>
      </c>
      <c r="F17" s="28" t="inlineStr">
        <is>
          <t>Dam bao system khong chap nhan gia tri so gio lam viec lon hon 24 gio cho mot ngay.</t>
        </is>
      </c>
      <c r="G17" s="28" t="inlineStr">
        <is>
          <t>User is logged in as Student.
Currently on report creation or edit interface.</t>
        </is>
      </c>
      <c r="H17" s="28" t="inlineStr">
        <is>
          <t>HourInput=25</t>
        </is>
      </c>
      <c r="I17" s="28" t="inlineStr">
        <is>
          <t>1. Enter gia tri 25 vao o enter gio lam viec cua ngay bat ky.
2. Nhan nut "Save as Draft" hoac "Submit".</t>
        </is>
      </c>
      <c r="J17" s="28" t="inlineStr">
        <is>
          <t>System bao error so gio cannot exceeding 24 gio mot ngay.
Gia tri khong duoc chap nhan va report khong duoc save/submit.</t>
        </is>
      </c>
      <c r="K17" s="28" t="inlineStr"/>
      <c r="L17" s="24" t="inlineStr">
        <is>
          <t>Not Run</t>
        </is>
      </c>
      <c r="M17" s="25" t="inlineStr">
        <is>
          <t>High</t>
        </is>
      </c>
      <c r="N17" s="28" t="inlineStr">
        <is>
          <t>Related to Boundary Value Testing (Section 6.7)</t>
        </is>
      </c>
    </row>
    <row r="18" ht="60" customHeight="1">
      <c r="A18" s="21" t="inlineStr">
        <is>
          <t>TC-M06-017</t>
        </is>
      </c>
      <c r="B18" s="21" t="inlineStr">
        <is>
          <t>Module 06 – Bi-Weekly Internship Reports</t>
        </is>
      </c>
      <c r="C18" s="22" t="inlineStr">
        <is>
          <t>M06-F06</t>
        </is>
      </c>
      <c r="D18" s="23" t="inlineStr">
        <is>
          <t>Auto-calculated Total Hours</t>
        </is>
      </c>
      <c r="E18" s="23" t="inlineStr">
        <is>
          <t>Prevent enter ky tu not so vao o so gio lam viec</t>
        </is>
      </c>
      <c r="F18" s="23" t="inlineStr">
        <is>
          <t>Dam bao system chi chap nhan du lieu so trong o enter so gio lam viec.</t>
        </is>
      </c>
      <c r="G18" s="23" t="inlineStr">
        <is>
          <t>User is logged in as Student.
Currently on report creation or edit interface.</t>
        </is>
      </c>
      <c r="H18" s="23" t="inlineStr">
        <is>
          <t>HourInput="abc"</t>
        </is>
      </c>
      <c r="I18" s="23" t="inlineStr">
        <is>
          <t>1. Enter ky tu "abc" vao o enter gio lam viec cua ngay bat ky.
2. Verify gia tri trong o enter.</t>
        </is>
      </c>
      <c r="J18" s="23" t="inlineStr">
        <is>
          <t>System tu dong loai bo ky tu chu hoac display error va khong allows enter ky tu phi so.</t>
        </is>
      </c>
      <c r="K18" s="23" t="inlineStr"/>
      <c r="L18" s="24" t="inlineStr">
        <is>
          <t>Not Run</t>
        </is>
      </c>
      <c r="M18" s="25" t="inlineStr">
        <is>
          <t>High</t>
        </is>
      </c>
      <c r="N18" s="23" t="inlineStr">
        <is>
          <t>Related to Boundary Value Testing (Section 6.7)</t>
        </is>
      </c>
    </row>
    <row r="19" ht="165" customHeight="1">
      <c r="A19" s="26" t="inlineStr">
        <is>
          <t>TC-M06-018</t>
        </is>
      </c>
      <c r="B19" s="26" t="inlineStr">
        <is>
          <t>Module 06 – Bi-Weekly Internship Reports</t>
        </is>
      </c>
      <c r="C19" s="27" t="inlineStr">
        <is>
          <t>M06-F07</t>
        </is>
      </c>
      <c r="D19" s="28" t="inlineStr">
        <is>
          <t>Report Submission</t>
        </is>
      </c>
      <c r="E19" s="28" t="inlineStr">
        <is>
          <t>Submit report successfully voi day du thong tin hop le</t>
        </is>
      </c>
      <c r="F19" s="28" t="inlineStr">
        <is>
          <t>Verify luong submit report successfully khi dien day du va dung format tat ca cac thong tin bat buoc.</t>
        </is>
      </c>
      <c r="G19" s="28" t="inlineStr">
        <is>
          <t>User is logged in as Student.
Dang o interface create internship report.</t>
        </is>
      </c>
      <c r="H19" s="28" t="inlineStr">
        <is>
          <t>CompanySupervisorName="Nguyen Van B"; StartDate="2026-07-20"; PnvSupervisorEmail="pnv.sup@passerellesnumeriques.org"; CompanySupervisorEmail="company.sup@example.com"; TaskName="Implement Login API"; TaskDesc="Develop authentication feature"; TaskResult="Completed successfully"; Week1Hours=[8,8,8,8,8,0,0]; Week2Hours=[8,8,8,8,8,0,0]; Challenges="Gap kho khan khi tich hop OAuth"; SupportNeeded="Can mentor ho tro review code"</t>
        </is>
      </c>
      <c r="I19" s="28" t="inlineStr">
        <is>
          <t>1. Dien day du thong tin nhu trong Test Data.
2. Nhan nut "Submit" (Submit report).
3. Tai hop thoai xac nhan "Submit Report", click button "Confirm" (Xac nhan).</t>
        </is>
      </c>
      <c r="J19" s="28" t="inlineStr">
        <is>
          <t>System display notification submit report successfully.
Status cua report chuyen sang "Submitted".
Bao cao chuyen sang che do chi doc.</t>
        </is>
      </c>
      <c r="K19" s="28" t="inlineStr"/>
      <c r="L19" s="24" t="inlineStr">
        <is>
          <t>Not Run</t>
        </is>
      </c>
      <c r="M19" s="25" t="inlineStr">
        <is>
          <t>High</t>
        </is>
      </c>
      <c r="N19" s="28" t="inlineStr">
        <is>
          <t>Related to M06-F07, Rule 6.3</t>
        </is>
      </c>
    </row>
    <row r="20" ht="75" customHeight="1">
      <c r="A20" s="21" t="inlineStr">
        <is>
          <t>TC-M06-019</t>
        </is>
      </c>
      <c r="B20" s="21" t="inlineStr">
        <is>
          <t>Module 06 – Bi-Weekly Internship Reports</t>
        </is>
      </c>
      <c r="C20" s="22" t="inlineStr">
        <is>
          <t>M06-F03</t>
        </is>
      </c>
      <c r="D20" s="23" t="inlineStr">
        <is>
          <t>Submission Validation</t>
        </is>
      </c>
      <c r="E20" s="23" t="inlineStr">
        <is>
          <t>Submit report failed due to empty name nguoi supervisor company</t>
        </is>
      </c>
      <c r="F20" s="23" t="inlineStr">
        <is>
          <t>Verify system bao error khi blank truong Ten supervisor cua company.</t>
        </is>
      </c>
      <c r="G20" s="23" t="inlineStr">
        <is>
          <t>User is logged in as Student.
Currently on new report creation interface.</t>
        </is>
      </c>
      <c r="H20" s="23" t="inlineStr">
        <is>
          <t>CompanySupervisorName=""; Cac truong khac deu hop le</t>
        </is>
      </c>
      <c r="I20" s="23" t="inlineStr">
        <is>
          <t>1. Dien day du thong tin hop le tru truong Ten supervisor company blank.
2. Nhap nut "Submit" va xac nhan.</t>
        </is>
      </c>
      <c r="J20" s="23" t="inlineStr">
        <is>
          <t>System bao error requires enter Ten supervisor company (e.g.: "Company Supervisor Name is required").
Bao cao khong duoc submit.</t>
        </is>
      </c>
      <c r="K20" s="23" t="inlineStr"/>
      <c r="L20" s="24" t="inlineStr">
        <is>
          <t>Not Run</t>
        </is>
      </c>
      <c r="M20" s="25" t="inlineStr">
        <is>
          <t>High</t>
        </is>
      </c>
      <c r="N20" s="23" t="inlineStr">
        <is>
          <t>Related to Validation Rules (Section 7), Error Handling (Section 8)</t>
        </is>
      </c>
    </row>
    <row r="21" ht="75" customHeight="1">
      <c r="A21" s="26" t="inlineStr">
        <is>
          <t>TC-M06-020</t>
        </is>
      </c>
      <c r="B21" s="26" t="inlineStr">
        <is>
          <t>Module 06 – Bi-Weekly Internship Reports</t>
        </is>
      </c>
      <c r="C21" s="27" t="inlineStr">
        <is>
          <t>M06-F03</t>
        </is>
      </c>
      <c r="D21" s="28" t="inlineStr">
        <is>
          <t>Submission Validation</t>
        </is>
      </c>
      <c r="E21" s="28" t="inlineStr">
        <is>
          <t>Submit report failed do blank email nguoi supervisor PNV</t>
        </is>
      </c>
      <c r="F21" s="28" t="inlineStr">
        <is>
          <t>Verify system bao error khi blank truong Email supervisor PNV.</t>
        </is>
      </c>
      <c r="G21" s="28" t="inlineStr">
        <is>
          <t>User is logged in as Student.
Currently on new report creation interface.</t>
        </is>
      </c>
      <c r="H21" s="28" t="inlineStr">
        <is>
          <t>PnvSupervisorEmail=""; Cac truong khac deu hop le</t>
        </is>
      </c>
      <c r="I21" s="28" t="inlineStr">
        <is>
          <t>1. Dien day du thong tin hop le tru truong Email supervisor PNV blank.
2. Nhap nut "Submit" va xac nhan.</t>
        </is>
      </c>
      <c r="J21" s="28" t="inlineStr">
        <is>
          <t>System bao error requires enter Email supervisor PNV (e.g.: "PNV Supervisor Email is required").
Bao cao khong duoc submit.</t>
        </is>
      </c>
      <c r="K21" s="28" t="inlineStr"/>
      <c r="L21" s="24" t="inlineStr">
        <is>
          <t>Not Run</t>
        </is>
      </c>
      <c r="M21" s="25" t="inlineStr">
        <is>
          <t>High</t>
        </is>
      </c>
      <c r="N21" s="28" t="inlineStr">
        <is>
          <t>Related to Validation Rules (Section 7), Error Handling (Section 8)</t>
        </is>
      </c>
    </row>
    <row r="22" ht="75" customHeight="1">
      <c r="A22" s="21" t="inlineStr">
        <is>
          <t>TC-M06-021</t>
        </is>
      </c>
      <c r="B22" s="21" t="inlineStr">
        <is>
          <t>Module 06 – Bi-Weekly Internship Reports</t>
        </is>
      </c>
      <c r="C22" s="22" t="inlineStr">
        <is>
          <t>M06-F03</t>
        </is>
      </c>
      <c r="D22" s="23" t="inlineStr">
        <is>
          <t>Submission Validation</t>
        </is>
      </c>
      <c r="E22" s="23" t="inlineStr">
        <is>
          <t>Submit report failed do email nguoi supervisor PNV sai format</t>
        </is>
      </c>
      <c r="F22" s="23" t="inlineStr">
        <is>
          <t>Verify system bao error khi enter email supervisor PNV khong dung format.</t>
        </is>
      </c>
      <c r="G22" s="23" t="inlineStr">
        <is>
          <t>User is logged in as Student.
Currently on new report creation interface.</t>
        </is>
      </c>
      <c r="H22" s="23" t="inlineStr">
        <is>
          <t>PnvSupervisorEmail="pnv.sup"; Cac truong khac deu hop le</t>
        </is>
      </c>
      <c r="I22" s="23" t="inlineStr">
        <is>
          <t>1. Dien day du thong tin hop le tru truong Email supervisor PNV enter la "pnv.sup".
2. Nhap nut "Submit" va xac nhan.</t>
        </is>
      </c>
      <c r="J22" s="23" t="inlineStr">
        <is>
          <t>System bao error format Email supervisor PNV khong hop le (e.g.: "Invalid PNV Supervisor Email format").
Bao cao khong duoc submit.</t>
        </is>
      </c>
      <c r="K22" s="23" t="inlineStr"/>
      <c r="L22" s="24" t="inlineStr">
        <is>
          <t>Not Run</t>
        </is>
      </c>
      <c r="M22" s="25" t="inlineStr">
        <is>
          <t>High</t>
        </is>
      </c>
      <c r="N22" s="23" t="inlineStr">
        <is>
          <t>Related to Validation Rules (Section 7), Error Handling (Section 8)</t>
        </is>
      </c>
    </row>
    <row r="23" ht="75" customHeight="1">
      <c r="A23" s="26" t="inlineStr">
        <is>
          <t>TC-M06-022</t>
        </is>
      </c>
      <c r="B23" s="26" t="inlineStr">
        <is>
          <t>Module 06 – Bi-Weekly Internship Reports</t>
        </is>
      </c>
      <c r="C23" s="27" t="inlineStr">
        <is>
          <t>M06-F03</t>
        </is>
      </c>
      <c r="D23" s="28" t="inlineStr">
        <is>
          <t>Submission Validation</t>
        </is>
      </c>
      <c r="E23" s="28" t="inlineStr">
        <is>
          <t>Submit report failed do blank email nguoi supervisor company</t>
        </is>
      </c>
      <c r="F23" s="28" t="inlineStr">
        <is>
          <t>Verify system bao error khi blank truong Email supervisor company.</t>
        </is>
      </c>
      <c r="G23" s="28" t="inlineStr">
        <is>
          <t>User is logged in as Student.
Currently on new report creation interface.</t>
        </is>
      </c>
      <c r="H23" s="28" t="inlineStr">
        <is>
          <t>CompanySupervisorEmail=""; Cac truong khac deu hop le</t>
        </is>
      </c>
      <c r="I23" s="28" t="inlineStr">
        <is>
          <t>1. Dien day du thong tin hop le tru truong Email supervisor company blank.
2. Nhap nut "Submit" va xac nhan.</t>
        </is>
      </c>
      <c r="J23" s="28" t="inlineStr">
        <is>
          <t>System bao error requires co it nhat mot email supervisor company (e.g.: "Company Supervisor Email is required").
Bao cao khong duoc submit.</t>
        </is>
      </c>
      <c r="K23" s="28" t="inlineStr"/>
      <c r="L23" s="24" t="inlineStr">
        <is>
          <t>Not Run</t>
        </is>
      </c>
      <c r="M23" s="25" t="inlineStr">
        <is>
          <t>High</t>
        </is>
      </c>
      <c r="N23" s="28" t="inlineStr">
        <is>
          <t>TRUNG LAP. Test case nay trung lap voi requires "At least one valid email address" da duoc kiem tra. Nen duoc loai bo.</t>
        </is>
      </c>
    </row>
    <row r="24" ht="75" customHeight="1">
      <c r="A24" s="21" t="inlineStr">
        <is>
          <t>TC-M06-023</t>
        </is>
      </c>
      <c r="B24" s="21" t="inlineStr">
        <is>
          <t>Module 06 – Bi-Weekly Internship Reports</t>
        </is>
      </c>
      <c r="C24" s="22" t="inlineStr">
        <is>
          <t>M06-F03</t>
        </is>
      </c>
      <c r="D24" s="23" t="inlineStr">
        <is>
          <t>Submission Validation</t>
        </is>
      </c>
      <c r="E24" s="23" t="inlineStr">
        <is>
          <t>Submit report failed do email nguoi supervisor company sai format</t>
        </is>
      </c>
      <c r="F24" s="23" t="inlineStr">
        <is>
          <t>Verify system bao error khi enter email supervisor company khong dung format email.</t>
        </is>
      </c>
      <c r="G24" s="23" t="inlineStr">
        <is>
          <t>User is logged in as Student.
Currently on new report creation interface.</t>
        </is>
      </c>
      <c r="H24" s="23" t="inlineStr">
        <is>
          <t>CompanySupervisorEmail="company.sup@"; Cac truong khac deu hop le</t>
        </is>
      </c>
      <c r="I24" s="23" t="inlineStr">
        <is>
          <t>1. Dien day du thong tin hop le tru truong Email supervisor company enter la "company.sup@".
2. Nhap nut "Submit" va xac nhan.</t>
        </is>
      </c>
      <c r="J24" s="23" t="inlineStr">
        <is>
          <t>System bao error format Email supervisor company khong hop le (e.g.: "Invalid Company Supervisor Email format").
Bao cao khong duoc submit.</t>
        </is>
      </c>
      <c r="K24" s="23" t="inlineStr"/>
      <c r="L24" s="24" t="inlineStr">
        <is>
          <t>Not Run</t>
        </is>
      </c>
      <c r="M24" s="25" t="inlineStr">
        <is>
          <t>High</t>
        </is>
      </c>
      <c r="N24" s="23" t="inlineStr">
        <is>
          <t>Related to Validation Rules (Section 7), Error Handling (Section 8)</t>
        </is>
      </c>
    </row>
    <row r="25" ht="60" customHeight="1">
      <c r="A25" s="26" t="inlineStr">
        <is>
          <t>TC-M06-024</t>
        </is>
      </c>
      <c r="B25" s="26" t="inlineStr">
        <is>
          <t>Module 06 – Bi-Weekly Internship Reports</t>
        </is>
      </c>
      <c r="C25" s="27" t="inlineStr">
        <is>
          <t>M06-F03</t>
        </is>
      </c>
      <c r="D25" s="28" t="inlineStr">
        <is>
          <t>Submission Validation</t>
        </is>
      </c>
      <c r="E25" s="28" t="inlineStr">
        <is>
          <t>Submit report failed do blank phan mo ta kho khan (Challenges)</t>
        </is>
      </c>
      <c r="F25" s="28" t="inlineStr">
        <is>
          <t>Verify system bao error khi truong Kho khan gap phai (Challenges) bi bo trong khi submit.</t>
        </is>
      </c>
      <c r="G25" s="28" t="inlineStr">
        <is>
          <t>User is logged in as Student.
Currently on new report creation interface.</t>
        </is>
      </c>
      <c r="H25" s="28" t="inlineStr">
        <is>
          <t>Challenges=""; Cac truong khac deu hop le</t>
        </is>
      </c>
      <c r="I25" s="28" t="inlineStr">
        <is>
          <t>1. Dien day du thong tin hop le tru truong Kho khan blank.
2. Nhap nut "Submit" va xac nhan.</t>
        </is>
      </c>
      <c r="J25" s="28" t="inlineStr">
        <is>
          <t>System bao error requires enter Kho khan gap phai (e.g.: "Challenges field is required").
Bao cao khong duoc submit.</t>
        </is>
      </c>
      <c r="K25" s="28" t="inlineStr"/>
      <c r="L25" s="24" t="inlineStr">
        <is>
          <t>Not Run</t>
        </is>
      </c>
      <c r="M25" s="25" t="inlineStr">
        <is>
          <t>High</t>
        </is>
      </c>
      <c r="N25" s="28" t="inlineStr">
        <is>
          <t>Related to Validation Rules (Section 7), Error Handling (Section 8)</t>
        </is>
      </c>
    </row>
    <row r="26" ht="60" customHeight="1">
      <c r="A26" s="21" t="inlineStr">
        <is>
          <t>TC-M06-025</t>
        </is>
      </c>
      <c r="B26" s="21" t="inlineStr">
        <is>
          <t>Module 06 – Bi-Weekly Internship Reports</t>
        </is>
      </c>
      <c r="C26" s="22" t="inlineStr">
        <is>
          <t>M06-F03</t>
        </is>
      </c>
      <c r="D26" s="23" t="inlineStr">
        <is>
          <t>Submission Validation</t>
        </is>
      </c>
      <c r="E26" s="23" t="inlineStr">
        <is>
          <t>Submit report failed do blank phan ho tro can thiet (Support Needed)</t>
        </is>
      </c>
      <c r="F26" s="23" t="inlineStr">
        <is>
          <t>Verify system bao error khi truong Ho tro can thiet (Support Needed) bi bo trong khi submit.</t>
        </is>
      </c>
      <c r="G26" s="23" t="inlineStr">
        <is>
          <t>User is logged in as Student.
Currently on new report creation interface.</t>
        </is>
      </c>
      <c r="H26" s="23" t="inlineStr">
        <is>
          <t>SupportNeeded=""; Cac truong khac deu hop le</t>
        </is>
      </c>
      <c r="I26" s="23" t="inlineStr">
        <is>
          <t>1. Dien day du thong tin hop le tru truong Ho tro can thiet blank.
2. Nhap nut "Submit" va xac nhan.</t>
        </is>
      </c>
      <c r="J26" s="23" t="inlineStr">
        <is>
          <t>System bao error requires enter Ho tro can thiet (e.g.: "Support Needed field is required").
Bao cao khong duoc submit.</t>
        </is>
      </c>
      <c r="K26" s="23" t="inlineStr"/>
      <c r="L26" s="24" t="inlineStr">
        <is>
          <t>Not Run</t>
        </is>
      </c>
      <c r="M26" s="25" t="inlineStr">
        <is>
          <t>High</t>
        </is>
      </c>
      <c r="N26" s="23" t="inlineStr">
        <is>
          <t>Related to Validation Rules (Section 7), Error Handling (Section 8)</t>
        </is>
      </c>
    </row>
    <row r="27" ht="90" customHeight="1">
      <c r="A27" s="26" t="inlineStr">
        <is>
          <t>TC-M06-026</t>
        </is>
      </c>
      <c r="B27" s="26" t="inlineStr">
        <is>
          <t>Module 06 – Bi-Weekly Internship Reports</t>
        </is>
      </c>
      <c r="C27" s="27" t="inlineStr">
        <is>
          <t>M06-F03</t>
        </is>
      </c>
      <c r="D27" s="28" t="inlineStr">
        <is>
          <t>Submission Validation</t>
        </is>
      </c>
      <c r="E27" s="28" t="inlineStr">
        <is>
          <t>Huy xac nhan submit report</t>
        </is>
      </c>
      <c r="F27" s="28" t="inlineStr">
        <is>
          <t>Dam bao system khong submit report neu user click button Huy (Cancel) tren hop thoai xac nhan submit.</t>
        </is>
      </c>
      <c r="G27" s="28" t="inlineStr">
        <is>
          <t>User is logged in as Student.
Dang o interface create report va da enter day du thong tin hop le.</t>
        </is>
      </c>
      <c r="H27" s="28" t="inlineStr">
        <is>
          <t>Cac thong tin hop le</t>
        </is>
      </c>
      <c r="I27" s="28" t="inlineStr">
        <is>
          <t>1. Nhap nut "Submit".
2. Khi hop thoai xac nhan "Submit Report" hien len, click button "Cancel" (Huy) hoac nut dong hop thoai.</t>
        </is>
      </c>
      <c r="J27" s="28" t="inlineStr">
        <is>
          <t>Hop thoai dong lai.
Bao cao khong duoc submit va status van la draft hoac chua save.
Nguoi dung van can tiep tuc edit report.</t>
        </is>
      </c>
      <c r="K27" s="28" t="inlineStr"/>
      <c r="L27" s="24" t="inlineStr">
        <is>
          <t>Not Run</t>
        </is>
      </c>
      <c r="M27" s="29" t="inlineStr">
        <is>
          <t>Medium</t>
        </is>
      </c>
      <c r="N27" s="28" t="inlineStr">
        <is>
          <t>Related to Rule 6.3, Workflow</t>
        </is>
      </c>
    </row>
    <row r="28" ht="105" customHeight="1">
      <c r="A28" s="21" t="inlineStr">
        <is>
          <t>TC-M06-027</t>
        </is>
      </c>
      <c r="B28" s="21" t="inlineStr">
        <is>
          <t>Module 06 – Bi-Weekly Internship Reports</t>
        </is>
      </c>
      <c r="C28" s="22" t="inlineStr">
        <is>
          <t>M06-F07</t>
        </is>
      </c>
      <c r="D28" s="23" t="inlineStr">
        <is>
          <t>Report Submission</t>
        </is>
      </c>
      <c r="E28" s="23" t="inlineStr">
        <is>
          <t>Bao cao da submit chuyen sang status chi doc mai mai</t>
        </is>
      </c>
      <c r="F28" s="23" t="inlineStr">
        <is>
          <t>Dam bao report sau khi submit (Submitted) se bi khoa, cannot edit hay delete boi student.</t>
        </is>
      </c>
      <c r="G28" s="23" t="inlineStr">
        <is>
          <t>User is logged in as Student.
Co mot report trong danh sach da o status "Submitted".</t>
        </is>
      </c>
      <c r="H28" s="23" t="inlineStr">
        <is>
          <t>ReportStatus="Submitted"</t>
        </is>
      </c>
      <c r="I28" s="23" t="inlineStr">
        <is>
          <t>1. Mo xem chi tiet report da submit.
2. Verify su xuat hien cua nut "Edit" (Edit), "Save" (Save), hoac "Delete" (Delete).
3. Thu click dup hoac thay doi noi dung cac truong thong tin.</t>
        </is>
      </c>
      <c r="J28" s="23" t="inlineStr">
        <is>
          <t>Nut "Edit" va "Save as Draft" not displayed.
Tat ca cac truong thong tin deu o status chi doc (disabled/read-only).
Hoc vien cannot sua doi bat ky du lieu nao.</t>
        </is>
      </c>
      <c r="K28" s="23" t="inlineStr"/>
      <c r="L28" s="24" t="inlineStr">
        <is>
          <t>Not Run</t>
        </is>
      </c>
      <c r="M28" s="25" t="inlineStr">
        <is>
          <t>High</t>
        </is>
      </c>
      <c r="N28" s="23" t="inlineStr">
        <is>
          <t>Related to M06-F07, Rule 6.3, Rule 6.11</t>
        </is>
      </c>
    </row>
    <row r="29" ht="180" customHeight="1">
      <c r="A29" s="26" t="inlineStr">
        <is>
          <t>TC-M06-028</t>
        </is>
      </c>
      <c r="B29" s="26" t="inlineStr">
        <is>
          <t>Module 06 – Bi-Weekly Internship Reports</t>
        </is>
      </c>
      <c r="C29" s="27" t="inlineStr">
        <is>
          <t>M06-F08</t>
        </is>
      </c>
      <c r="D29" s="28" t="inlineStr">
        <is>
          <t>Automatic Email Notification</t>
        </is>
      </c>
      <c r="E29" s="28" t="inlineStr">
        <is>
          <t>Gui email notification tu dong khi submit report successfully</t>
        </is>
      </c>
      <c r="F29" s="28" t="inlineStr">
        <is>
          <t>Verify whether system co tu dong gui email voi dung format va dung doi tuong sau khi submit report hay khong.</t>
        </is>
      </c>
      <c r="G29" s="28" t="inlineStr">
        <is>
          <t>Nguoi dung da log in voi quyen Student ten "Nguyen Van A", lop "PNV26A", lam viec tai company "TechCorp".
System ket noi email hoat dong binh thuong.</t>
        </is>
      </c>
      <c r="H29" s="28" t="inlineStr">
        <is>
          <t>StudentName="Nguyen Van A"; BatchName="PNV26A"; Company="TechCorp"; PnvSupervisorEmail="pnv.sup@passerellesnumeriques.org"; CompanySupervisorEmail="company.sup@example.com"; StudentEmail="student01@student.passerellesnumeriques.org"; StartDate="2026-07-20"; EndDate="2026-08-02"</t>
        </is>
      </c>
      <c r="I29" s="28" t="inlineStr">
        <is>
          <t>1. Dien day du thong tin report cua student "Nguyen Van A" lam viec tai "TechCorp" tu ngay "2026-07-20" den "2026-08-02".
2. Nhap nut "Submit" va xac nhan submit report.
3. Verify email nhan duoc tu account PNV Supervisor, Company Supervisor va student.</t>
        </is>
      </c>
      <c r="J29" s="28" t="inlineStr">
        <is>
          <t>1. Bao cao submit successfully.
2. Email duoc tu dong gui den dia chi "pnv.sup@passerellesnumeriques.org" va "company.sup@example.com".
3. Email duoc gui CC cho "student01@student.passerellesnumeriques.org" va "ero.vietnam@passerellesnumeriques.org".
4. Tieu de email co format chinh xac: "[PNV26A] [Bi-Weekly Internship Report] Nguyen Van A - TechCorp (Period: 20/07 – 02/08)"</t>
        </is>
      </c>
      <c r="K29" s="28" t="inlineStr"/>
      <c r="L29" s="24" t="inlineStr">
        <is>
          <t>Not Run</t>
        </is>
      </c>
      <c r="M29" s="25" t="inlineStr">
        <is>
          <t>High</t>
        </is>
      </c>
      <c r="N29" s="28" t="inlineStr">
        <is>
          <t>Related to M06-F08, Rule 6.10</t>
        </is>
      </c>
    </row>
    <row r="30" ht="120" customHeight="1">
      <c r="A30" s="21" t="inlineStr">
        <is>
          <t>TC-M06-029</t>
        </is>
      </c>
      <c r="B30" s="21" t="inlineStr">
        <is>
          <t>Module 06 – Bi-Weekly Internship Reports</t>
        </is>
      </c>
      <c r="C30" s="22" t="inlineStr">
        <is>
          <t>M06-F08</t>
        </is>
      </c>
      <c r="D30" s="23" t="inlineStr">
        <is>
          <t>Automatic Email Notification</t>
        </is>
      </c>
      <c r="E30" s="23" t="inlineStr">
        <is>
          <t>Xu ly error khi gui email notification failed</t>
        </is>
      </c>
      <c r="F30" s="23" t="inlineStr">
        <is>
          <t>Dam bao system van ghi nhan submit report successfully va display cphoto bao neu qua trinh gui email tu dong bi error.</t>
        </is>
      </c>
      <c r="G30" s="23" t="inlineStr">
        <is>
          <t>User is logged in as Student.
System email bi error ket noi hoac account gui bi chan.</t>
        </is>
      </c>
      <c r="H30" s="23" t="inlineStr">
        <is>
          <t>Cac thong tin hop le</t>
        </is>
      </c>
      <c r="I30" s="23" t="inlineStr">
        <is>
          <t>1. Dien day du thong tin report hop le.
2. Nhap nut "Submit" va xac nhan submit report.</t>
        </is>
      </c>
      <c r="J30" s="23" t="inlineStr">
        <is>
          <t>System display cphoto bao error gui email (e.g.: "Email notification failed: [Reason]").
Bao cao van duoc submit successfully va status chuyen sang "Submitted" binh thuong.
Du lieu report bi khoa thanh chi doc.</t>
        </is>
      </c>
      <c r="K30" s="23" t="inlineStr"/>
      <c r="L30" s="24" t="inlineStr">
        <is>
          <t>Not Run</t>
        </is>
      </c>
      <c r="M30" s="25" t="inlineStr">
        <is>
          <t>High</t>
        </is>
      </c>
      <c r="N30" s="23" t="inlineStr">
        <is>
          <t>Related to Rule 6.11, Error Handling (Section 8)</t>
        </is>
      </c>
    </row>
    <row r="31" ht="120" customHeight="1">
      <c r="A31" s="26" t="inlineStr">
        <is>
          <t>TC-M06-030</t>
        </is>
      </c>
      <c r="B31" s="26" t="inlineStr">
        <is>
          <t>Module 06 – Bi-Weekly Internship Reports</t>
        </is>
      </c>
      <c r="C31" s="27" t="inlineStr">
        <is>
          <t>M06-F09</t>
        </is>
      </c>
      <c r="D31" s="28" t="inlineStr">
        <is>
          <t>Staff View of Student Reports</t>
        </is>
      </c>
      <c r="E31" s="28" t="inlineStr">
        <is>
          <t>Staff xem internship report cua student</t>
        </is>
      </c>
      <c r="F31" s="28" t="inlineStr">
        <is>
          <t>Verify whether account Staff can xem duoc noi dung chi tiet report da submit cua student hay khong.</t>
        </is>
      </c>
      <c r="G31" s="28" t="inlineStr">
        <is>
          <t>User is logged in as Staff.
Hoc vien "Nguyen Van A" da submit internship report.</t>
        </is>
      </c>
      <c r="H31" s="28" t="inlineStr">
        <is>
          <t>StudentName="Nguyen Van A"; ReportStatus="Submitted"</t>
        </is>
      </c>
      <c r="I31" s="28" t="inlineStr">
        <is>
          <t>1. Log in voi quyen Staff.
2. Truy cap vao trang chi tiet student "Nguyen Van A".
3. Tim phan Bao cao internship cua student.
4. Nhap vao xem chi tiet report da submit.</t>
        </is>
      </c>
      <c r="J31" s="28" t="inlineStr">
        <is>
          <t>Staff can xem day du noi dung chi tiet cua report student da submit.
Bao cao display chinh xac cac thong tin student da dien.</t>
        </is>
      </c>
      <c r="K31" s="28" t="inlineStr"/>
      <c r="L31" s="24" t="inlineStr">
        <is>
          <t>Not Run</t>
        </is>
      </c>
      <c r="M31" s="25" t="inlineStr">
        <is>
          <t>High</t>
        </is>
      </c>
      <c r="N31" s="28" t="inlineStr">
        <is>
          <t>Related to M06-F09, Rule 6.12</t>
        </is>
      </c>
    </row>
    <row r="32" ht="90" customHeight="1">
      <c r="A32" s="21" t="inlineStr">
        <is>
          <t>TC-M06-031</t>
        </is>
      </c>
      <c r="B32" s="21" t="inlineStr">
        <is>
          <t>Module 06 – Bi-Weekly Internship Reports</t>
        </is>
      </c>
      <c r="C32" s="22" t="inlineStr">
        <is>
          <t>M06-F09</t>
        </is>
      </c>
      <c r="D32" s="23" t="inlineStr">
        <is>
          <t>Staff View of Student Reports</t>
        </is>
      </c>
      <c r="E32" s="23" t="inlineStr">
        <is>
          <t>Staff cannot sua hoac delete report cua student</t>
        </is>
      </c>
      <c r="F32" s="23" t="inlineStr">
        <is>
          <t>Dam bao Staff chi co quyen xem (Read-only) va cannot thay doi thong tin hoac delete report cua student.</t>
        </is>
      </c>
      <c r="G32" s="23" t="inlineStr">
        <is>
          <t>User is logged in as Staff.
Dang o man hinh xem chi tiet report cua student "Nguyen Van A".</t>
        </is>
      </c>
      <c r="H32" s="23" t="inlineStr">
        <is>
          <t>StudentName="Nguyen Van A"</t>
        </is>
      </c>
      <c r="I32" s="23" t="inlineStr">
        <is>
          <t>1. Verify su xuat hien cua cac nut edit (Edit), save (Save), hoac delete (Delete) report.
2. Thu thay doi gia tri trong cac truong thong tin cua report student.</t>
        </is>
      </c>
      <c r="J32" s="23" t="inlineStr">
        <is>
          <t>Khong co bat ky nut hoac tuy select edit/delete nao display voi account Staff.
Tat ca cac truong thong tin deu bi khoa, cannot tuong tac thay doi gia tri.</t>
        </is>
      </c>
      <c r="K32" s="23" t="inlineStr"/>
      <c r="L32" s="24" t="inlineStr">
        <is>
          <t>Not Run</t>
        </is>
      </c>
      <c r="M32" s="25" t="inlineStr">
        <is>
          <t>High</t>
        </is>
      </c>
      <c r="N32" s="23" t="inlineStr">
        <is>
          <t>Related to Staff Access (Rule 6.12)</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4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TC-M07-001</t>
        </is>
      </c>
      <c r="B2" s="21" t="inlineStr">
        <is>
          <t>Module 07 – Training Materials</t>
        </is>
      </c>
      <c r="C2" s="22" t="inlineStr">
        <is>
          <t>M07-F02</t>
        </is>
      </c>
      <c r="D2" s="23" t="inlineStr">
        <is>
          <t>Category Management</t>
        </is>
      </c>
      <c r="E2" s="23" t="inlineStr">
        <is>
          <t>Rename Category with a valid name</t>
        </is>
      </c>
      <c r="F2" s="23" t="inlineStr">
        <is>
          <t>Verify functionality for doi ten category (Category) khi enter ten moi hop le.</t>
        </is>
      </c>
      <c r="G2" s="23" t="inlineStr">
        <is>
          <t>User is logged in as Staff.
Currently on Training Materials Management interface.</t>
        </is>
      </c>
      <c r="H2" s="23" t="inlineStr">
        <is>
          <t>CategoryOldName="IT"; CategoryNewName="Information Technology"</t>
        </is>
      </c>
      <c r="I2" s="23" t="inlineStr">
        <is>
          <t>1. Nhap select category "IT".
2. Nhap nut "Rename" (Rename).
3. Enter ten moi la "Information Technology".
4. Nhap "Save" (Save).</t>
        </is>
      </c>
      <c r="J2" s="23" t="inlineStr">
        <is>
          <t>System display notification cap nhat successfully.
Ten category duoc thay doi thanh "Information Technology" tren interface.
Cac course ben trong category van giu nguyen.</t>
        </is>
      </c>
      <c r="K2" s="23" t="inlineStr"/>
      <c r="L2" s="24" t="inlineStr">
        <is>
          <t>Not Run</t>
        </is>
      </c>
      <c r="M2" s="25" t="inlineStr">
        <is>
          <t>High</t>
        </is>
      </c>
      <c r="N2" s="23" t="inlineStr">
        <is>
          <t>Related to M07-F02, Rule 5.1</t>
        </is>
      </c>
    </row>
    <row r="3" ht="75" customHeight="1">
      <c r="A3" s="26" t="inlineStr">
        <is>
          <t>TC-M07-002</t>
        </is>
      </c>
      <c r="B3" s="26" t="inlineStr">
        <is>
          <t>Module 07 – Training Materials</t>
        </is>
      </c>
      <c r="C3" s="27" t="inlineStr">
        <is>
          <t>M07-F02</t>
        </is>
      </c>
      <c r="D3" s="28" t="inlineStr">
        <is>
          <t>Category Management</t>
        </is>
      </c>
      <c r="E3" s="28" t="inlineStr">
        <is>
          <t>Category rename fails due to empty name</t>
        </is>
      </c>
      <c r="F3" s="28" t="inlineStr">
        <is>
          <t>Verify system bao error va ngan chan viec doi ten category thanh rong.</t>
        </is>
      </c>
      <c r="G3" s="28" t="inlineStr">
        <is>
          <t>User is logged in as Staff.
Currently on Rename Category interface.</t>
        </is>
      </c>
      <c r="H3" s="28" t="inlineStr">
        <is>
          <t>CategoryNewName=""</t>
        </is>
      </c>
      <c r="I3" s="28" t="inlineStr">
        <is>
          <t>1. Delete toan bo noi dung trong o enter ten category.
2. Nhap nut "Save" (Save).</t>
        </is>
      </c>
      <c r="J3" s="28" t="inlineStr">
        <is>
          <t>System display notification error requires enter ten category (e.g.: "Category Name is required.").
Ten category cu khong bi thay doi.</t>
        </is>
      </c>
      <c r="K3" s="28" t="inlineStr"/>
      <c r="L3" s="24" t="inlineStr">
        <is>
          <t>Not Run</t>
        </is>
      </c>
      <c r="M3" s="25" t="inlineStr">
        <is>
          <t>High</t>
        </is>
      </c>
      <c r="N3" s="28" t="inlineStr">
        <is>
          <t>Related to Validation Rules (Section 8), Error Handling (Section 9)</t>
        </is>
      </c>
    </row>
    <row r="4" ht="60" customHeight="1">
      <c r="A4" s="21" t="inlineStr">
        <is>
          <t>TC-M07-003</t>
        </is>
      </c>
      <c r="B4" s="21" t="inlineStr">
        <is>
          <t>Module 07 – Training Materials</t>
        </is>
      </c>
      <c r="C4" s="22" t="inlineStr">
        <is>
          <t>M07-F02</t>
        </is>
      </c>
      <c r="D4" s="23" t="inlineStr">
        <is>
          <t>Category Management</t>
        </is>
      </c>
      <c r="E4" s="23" t="inlineStr">
        <is>
          <t>Verify Archive and Delete functions are not supported for Category</t>
        </is>
      </c>
      <c r="F4" s="23" t="inlineStr">
        <is>
          <t>Verify system not displayed cac chuc nang Archive (Archive) va Delete (Delete) for category.</t>
        </is>
      </c>
      <c r="G4" s="23" t="inlineStr">
        <is>
          <t>User is logged in as Staff.
Currently on Training Materials Management interface.</t>
        </is>
      </c>
      <c r="H4" s="23" t="inlineStr">
        <is>
          <t>CategoryName="English"</t>
        </is>
      </c>
      <c r="I4" s="23" t="inlineStr">
        <is>
          <t>1. Nhap select category "English".
2. Observe cac nut chuc nang va menu ngu cphoto lien quan den category.</t>
        </is>
      </c>
      <c r="J4" s="23" t="inlineStr">
        <is>
          <t>Khong display nut hoac tuy select "Delete" (Delete) hoac "Archive" (Archive) for category.</t>
        </is>
      </c>
      <c r="K4" s="23" t="inlineStr"/>
      <c r="L4" s="24" t="inlineStr">
        <is>
          <t>Not Run</t>
        </is>
      </c>
      <c r="M4" s="29" t="inlineStr">
        <is>
          <t>Medium</t>
        </is>
      </c>
      <c r="N4" s="23" t="inlineStr">
        <is>
          <t>Related to M07-F02, Rule 5.1, Out of Scope (Section 13)</t>
        </is>
      </c>
    </row>
    <row r="5" ht="60" customHeight="1">
      <c r="A5" s="26" t="inlineStr">
        <is>
          <t>TC-M07-004</t>
        </is>
      </c>
      <c r="B5" s="26" t="inlineStr">
        <is>
          <t>Module 07 – Training Materials</t>
        </is>
      </c>
      <c r="C5" s="27" t="inlineStr">
        <is>
          <t>M07-F01</t>
        </is>
      </c>
      <c r="D5" s="28" t="inlineStr">
        <is>
          <t>Three-tier Hierarchy</t>
        </is>
      </c>
      <c r="E5" s="28" t="inlineStr">
        <is>
          <t>Verify default Categories exist in system</t>
        </is>
      </c>
      <c r="F5" s="28" t="inlineStr">
        <is>
          <t>Verify 5 category mac dinh duoc create san khi system hoat dong.</t>
        </is>
      </c>
      <c r="G5" s="28" t="inlineStr">
        <is>
          <t>User is logged in as Staff.
Currently on Training Materials Management interface.</t>
        </is>
      </c>
      <c r="H5" s="28" t="inlineStr">
        <is>
          <t>None</t>
        </is>
      </c>
      <c r="I5" s="28" t="inlineStr">
        <is>
          <t>1. Observe danh sach cac category display tren man hinh.</t>
        </is>
      </c>
      <c r="J5" s="28" t="inlineStr">
        <is>
          <t>System display day du 5 category mac dinh: "IT", "English", "PLT", "DA", va "Workshops".</t>
        </is>
      </c>
      <c r="K5" s="28" t="inlineStr"/>
      <c r="L5" s="24" t="inlineStr">
        <is>
          <t>Not Run</t>
        </is>
      </c>
      <c r="M5" s="25" t="inlineStr">
        <is>
          <t>High</t>
        </is>
      </c>
      <c r="N5" s="28" t="inlineStr">
        <is>
          <t>Related to M07-F01, Section 3 (Default Categories)</t>
        </is>
      </c>
    </row>
    <row r="6" ht="105" customHeight="1">
      <c r="A6" s="21" t="inlineStr">
        <is>
          <t>TC-M07-005</t>
        </is>
      </c>
      <c r="B6" s="21" t="inlineStr">
        <is>
          <t>Module 07 – Training Materials</t>
        </is>
      </c>
      <c r="C6" s="22" t="inlineStr">
        <is>
          <t>M07-F01</t>
        </is>
      </c>
      <c r="D6" s="23" t="inlineStr">
        <is>
          <t>Three-tier Hierarchy</t>
        </is>
      </c>
      <c r="E6" s="23" t="inlineStr">
        <is>
          <t>Create new course with valid information</t>
        </is>
      </c>
      <c r="F6" s="23" t="inlineStr">
        <is>
          <t>Verify functionality for create new course duoi mot category khi enter day du thong tin hop le.</t>
        </is>
      </c>
      <c r="G6" s="23" t="inlineStr">
        <is>
          <t>User is logged in as Staff.
Currently on Training Materials Management interface.</t>
        </is>
      </c>
      <c r="H6" s="23" t="inlineStr">
        <is>
          <t>Category="IT"; CourseName="Java Programming"</t>
        </is>
      </c>
      <c r="I6" s="23" t="inlineStr">
        <is>
          <t>1. Select category "IT".
2. Nhap nut "Create course" (Create Course).
3. Enter ten course la "Java Programming".
4. Nhap "Save" (Save).</t>
        </is>
      </c>
      <c r="J6" s="23" t="inlineStr">
        <is>
          <t>System display notification create successfully.
Khoa hoc "Java Programming" display duoi category "IT".</t>
        </is>
      </c>
      <c r="K6" s="23" t="inlineStr"/>
      <c r="L6" s="24" t="inlineStr">
        <is>
          <t>Not Run</t>
        </is>
      </c>
      <c r="M6" s="25" t="inlineStr">
        <is>
          <t>High</t>
        </is>
      </c>
      <c r="N6" s="23" t="inlineStr">
        <is>
          <t>Related to M07-F01, Rule 5.2</t>
        </is>
      </c>
    </row>
    <row r="7" ht="60" customHeight="1">
      <c r="A7" s="26" t="inlineStr">
        <is>
          <t>TC-M07-006</t>
        </is>
      </c>
      <c r="B7" s="26" t="inlineStr">
        <is>
          <t>Module 07 – Training Materials</t>
        </is>
      </c>
      <c r="C7" s="27" t="inlineStr">
        <is>
          <t>M07-F03</t>
        </is>
      </c>
      <c r="D7" s="28" t="inlineStr">
        <is>
          <t>Course Archiving / Restoring</t>
        </is>
      </c>
      <c r="E7" s="28" t="inlineStr">
        <is>
          <t>New course creation fails due to empty name</t>
        </is>
      </c>
      <c r="F7" s="28" t="inlineStr">
        <is>
          <t>Verify system bao error va ngan chan create course neu ten course trong.</t>
        </is>
      </c>
      <c r="G7" s="28" t="inlineStr">
        <is>
          <t>User is logged in as Staff.
Currently on Create New Course interface.</t>
        </is>
      </c>
      <c r="H7" s="28" t="inlineStr">
        <is>
          <t>Category="IT"; CourseName=""</t>
        </is>
      </c>
      <c r="I7" s="28" t="inlineStr">
        <is>
          <t>1. De trong truong Ten course.
2. Nhap "Save" (Save).</t>
        </is>
      </c>
      <c r="J7" s="28" t="inlineStr">
        <is>
          <t>System display error requires enter ten course (e.g.: "Course Name is required.").
Khoa hoc moi khong duoc create.</t>
        </is>
      </c>
      <c r="K7" s="28" t="inlineStr"/>
      <c r="L7" s="24" t="inlineStr">
        <is>
          <t>Not Run</t>
        </is>
      </c>
      <c r="M7" s="25" t="inlineStr">
        <is>
          <t>High</t>
        </is>
      </c>
      <c r="N7" s="28" t="inlineStr">
        <is>
          <t>Related to Validation Rules (Section 8), Error Handling (Section 9)</t>
        </is>
      </c>
    </row>
    <row r="8" ht="105" customHeight="1">
      <c r="A8" s="21" t="inlineStr">
        <is>
          <t>TC-M07-007</t>
        </is>
      </c>
      <c r="B8" s="21" t="inlineStr">
        <is>
          <t>Module 07 – Training Materials</t>
        </is>
      </c>
      <c r="C8" s="22" t="inlineStr">
        <is>
          <t>M07-F01</t>
        </is>
      </c>
      <c r="D8" s="23" t="inlineStr">
        <is>
          <t>Three-tier Hierarchy</t>
        </is>
      </c>
      <c r="E8" s="23" t="inlineStr">
        <is>
          <t>Edit course name with valid information</t>
        </is>
      </c>
      <c r="F8" s="23" t="inlineStr">
        <is>
          <t>Verify functionality for edit ten course successfully.</t>
        </is>
      </c>
      <c r="G8" s="23" t="inlineStr">
        <is>
          <t>User is logged in as Staff.
Currently on Training Materials Management interface. Khoa hoc "Java Programming" da ton tai.</t>
        </is>
      </c>
      <c r="H8" s="23" t="inlineStr">
        <is>
          <t>CourseOldName="Java Programming"; CourseNewName="Advanced Java Programming"</t>
        </is>
      </c>
      <c r="I8" s="23" t="inlineStr">
        <is>
          <t>1. Select course "Java Programming".
2. Nhap select "Edit" (Edit).
3. Thay doi ten course thanh "Advanced Java Programming".
4. Nhap "Save" (Save).</t>
        </is>
      </c>
      <c r="J8" s="23" t="inlineStr">
        <is>
          <t>System display notification save successfully.
Ten course cap nhat thanh "Advanced Java Programming" tren man hinh.</t>
        </is>
      </c>
      <c r="K8" s="23" t="inlineStr"/>
      <c r="L8" s="24" t="inlineStr">
        <is>
          <t>Not Run</t>
        </is>
      </c>
      <c r="M8" s="25" t="inlineStr">
        <is>
          <t>High</t>
        </is>
      </c>
      <c r="N8" s="23" t="inlineStr">
        <is>
          <t>Related to M07-F01, Rule 5.2</t>
        </is>
      </c>
    </row>
    <row r="9" ht="90" customHeight="1">
      <c r="A9" s="26" t="inlineStr">
        <is>
          <t>TC-M07-008</t>
        </is>
      </c>
      <c r="B9" s="26" t="inlineStr">
        <is>
          <t>Module 07 – Training Materials</t>
        </is>
      </c>
      <c r="C9" s="27" t="inlineStr">
        <is>
          <t>M07-F03</t>
        </is>
      </c>
      <c r="D9" s="28" t="inlineStr">
        <is>
          <t>Course Archiving / Restoring</t>
        </is>
      </c>
      <c r="E9" s="28" t="inlineStr">
        <is>
          <t>Archive course (Archive Course)</t>
        </is>
      </c>
      <c r="F9" s="28" t="inlineStr">
        <is>
          <t>Verify functionality for archive course.</t>
        </is>
      </c>
      <c r="G9" s="28" t="inlineStr">
        <is>
          <t>User is logged in as Staff.
Khoa hoc "Java Programming" dang o status Hoat dong (Active) va co cac session/exam ben duoi.</t>
        </is>
      </c>
      <c r="H9" s="28" t="inlineStr">
        <is>
          <t>CourseName="Java Programming"</t>
        </is>
      </c>
      <c r="I9" s="28" t="inlineStr">
        <is>
          <t>1. Nhap select course "Java Programming".
2. Nhap select nut "Archive" (Archive).
3. Xac nhan archive neu system requires.</t>
        </is>
      </c>
      <c r="J9" s="28" t="inlineStr">
        <is>
          <t>System display notification archive successfully.
Khoa hoc thay doi status sang da archive (Archived) va bi an di hoac display as archive tren man hinh quan ly.</t>
        </is>
      </c>
      <c r="K9" s="28" t="inlineStr"/>
      <c r="L9" s="24" t="inlineStr">
        <is>
          <t>Not Run</t>
        </is>
      </c>
      <c r="M9" s="25" t="inlineStr">
        <is>
          <t>High</t>
        </is>
      </c>
      <c r="N9" s="28" t="inlineStr">
        <is>
          <t>Related to M07-F03, Rule 5.2, Rule 5.3</t>
        </is>
      </c>
    </row>
    <row r="10" ht="90" customHeight="1">
      <c r="A10" s="21" t="inlineStr">
        <is>
          <t>TC-M07-009</t>
        </is>
      </c>
      <c r="B10" s="21" t="inlineStr">
        <is>
          <t>Module 07 – Training Materials</t>
        </is>
      </c>
      <c r="C10" s="22" t="inlineStr">
        <is>
          <t>M07-F03</t>
        </is>
      </c>
      <c r="D10" s="23" t="inlineStr">
        <is>
          <t>Course Archiving / Restoring</t>
        </is>
      </c>
      <c r="E10" s="23" t="inlineStr">
        <is>
          <t>Khoi phuc course da archive (Restore Course)</t>
        </is>
      </c>
      <c r="F10" s="23" t="inlineStr">
        <is>
          <t>Verify functionality for khoi phuc mot course da bi archive.</t>
        </is>
      </c>
      <c r="G10" s="23" t="inlineStr">
        <is>
          <t>User is logged in as Staff.
Khoa hoc "Java Programming" dang o status Archive (Archived).</t>
        </is>
      </c>
      <c r="H10" s="23" t="inlineStr">
        <is>
          <t>CourseName="Java Programming"</t>
        </is>
      </c>
      <c r="I10" s="23" t="inlineStr">
        <is>
          <t>1. Tim va select course "Java Programming" trong danh sach archive.
2. Nhap select nut "Khoi phuc" (Restore).
3. Xac nhan khoi phuc neu system requires.</t>
        </is>
      </c>
      <c r="J10" s="23" t="inlineStr">
        <is>
          <t>System display notification khoi phuc successfully.
Khoa hoc tro lai status hoat dong binh thuong.</t>
        </is>
      </c>
      <c r="K10" s="23" t="inlineStr"/>
      <c r="L10" s="24" t="inlineStr">
        <is>
          <t>Not Run</t>
        </is>
      </c>
      <c r="M10" s="25" t="inlineStr">
        <is>
          <t>High</t>
        </is>
      </c>
      <c r="N10" s="23" t="inlineStr">
        <is>
          <t>Related to M07-F03, Rule 5.2, Rule 5.3</t>
        </is>
      </c>
    </row>
    <row r="11" ht="60" customHeight="1">
      <c r="A11" s="26" t="inlineStr">
        <is>
          <t>TC-M07-010</t>
        </is>
      </c>
      <c r="B11" s="26" t="inlineStr">
        <is>
          <t>Module 07 – Training Materials</t>
        </is>
      </c>
      <c r="C11" s="27" t="inlineStr">
        <is>
          <t>M07-F03</t>
        </is>
      </c>
      <c r="D11" s="28" t="inlineStr">
        <is>
          <t>Course Archiving / Restoring</t>
        </is>
      </c>
      <c r="E11" s="28" t="inlineStr">
        <is>
          <t>Verify khong ho tro permanently deleted course</t>
        </is>
      </c>
      <c r="F11" s="28" t="inlineStr">
        <is>
          <t>Verify system khong allows permanently deleted course khoi co so du lieu.</t>
        </is>
      </c>
      <c r="G11" s="28" t="inlineStr">
        <is>
          <t>User is logged in as Staff.
Currently on Training Materials Management interface.</t>
        </is>
      </c>
      <c r="H11" s="28" t="inlineStr">
        <is>
          <t>CourseName="Java Programming"</t>
        </is>
      </c>
      <c r="I11" s="28" t="inlineStr">
        <is>
          <t>1. Select course "Java Programming".
2. Verify cac nut chuc nang va menu hanh dong lien quan den course.</t>
        </is>
      </c>
      <c r="J11" s="28" t="inlineStr">
        <is>
          <t>Khong co tuy select "Delete vinh vien" hoac "Delete" cho course, chi co tuy select "Archive" (Archive).</t>
        </is>
      </c>
      <c r="K11" s="28" t="inlineStr"/>
      <c r="L11" s="24" t="inlineStr">
        <is>
          <t>Not Run</t>
        </is>
      </c>
      <c r="M11" s="29" t="inlineStr">
        <is>
          <t>Medium</t>
        </is>
      </c>
      <c r="N11" s="28" t="inlineStr">
        <is>
          <t>Related to Rule 5.2 (Permanent deletion is not allowed), Out of Scope (Section 13)</t>
        </is>
      </c>
    </row>
    <row r="12" ht="135" customHeight="1">
      <c r="A12" s="21" t="inlineStr">
        <is>
          <t>TC-M07-011</t>
        </is>
      </c>
      <c r="B12" s="21" t="inlineStr">
        <is>
          <t>Module 07 – Training Materials</t>
        </is>
      </c>
      <c r="C12" s="22" t="inlineStr">
        <is>
          <t>M07-F01</t>
        </is>
      </c>
      <c r="D12" s="23" t="inlineStr">
        <is>
          <t>Three-tier Hierarchy</t>
        </is>
      </c>
      <c r="E12" s="23" t="inlineStr">
        <is>
          <t>Create session (Session) moi voi thong tin hop le</t>
        </is>
      </c>
      <c r="F12" s="23" t="inlineStr">
        <is>
          <t>Verify functionality for create session moi duoi mot course hoat dong.</t>
        </is>
      </c>
      <c r="G12" s="23" t="inlineStr">
        <is>
          <t>User is logged in as Staff.
Khoa hoc "Java Programming" dang hoat dong.</t>
        </is>
      </c>
      <c r="H12" s="23" t="inlineStr">
        <is>
          <t>CourseName="Java Programming"; SessionName="Session 01: OOP Basics"; LessonNumber=1; Description="Gioi thieu ve lap trinh huong doi tuong"</t>
        </is>
      </c>
      <c r="I12" s="23" t="inlineStr">
        <is>
          <t>1. Select course "Java Programming".
2. Nhap nut "Add session" (Add Session).
3. Enter Ten session la "Session 01: OOP Basics", so session la "1", mo ta la "Gioi thieu ve lap trinh huong doi tuong".
4. Nhap "Save" (Save).</t>
        </is>
      </c>
      <c r="J12" s="23" t="inlineStr">
        <is>
          <t>System display notification create successfully.
Session moi display duoi course "Java Programming".</t>
        </is>
      </c>
      <c r="K12" s="23" t="inlineStr"/>
      <c r="L12" s="24" t="inlineStr">
        <is>
          <t>Not Run</t>
        </is>
      </c>
      <c r="M12" s="25" t="inlineStr">
        <is>
          <t>High</t>
        </is>
      </c>
      <c r="N12" s="23" t="inlineStr">
        <is>
          <t>Related to M07-F01, Rule 5.4</t>
        </is>
      </c>
    </row>
    <row r="13" ht="75" customHeight="1">
      <c r="A13" s="26" t="inlineStr">
        <is>
          <t>TC-M07-012</t>
        </is>
      </c>
      <c r="B13" s="26" t="inlineStr">
        <is>
          <t>Module 07 – Training Materials</t>
        </is>
      </c>
      <c r="C13" s="27" t="inlineStr">
        <is>
          <t>M07-F04</t>
        </is>
      </c>
      <c r="D13" s="28" t="inlineStr">
        <is>
          <t>Session Deletion</t>
        </is>
      </c>
      <c r="E13" s="28" t="inlineStr">
        <is>
          <t>Create session moi failed due to empty name session</t>
        </is>
      </c>
      <c r="F13" s="28" t="inlineStr">
        <is>
          <t>Verify system bao error va ngan chan create session neu ten session trong.</t>
        </is>
      </c>
      <c r="G13" s="28" t="inlineStr">
        <is>
          <t>User is logged in as Staff.
Dang o interface Add session moi.</t>
        </is>
      </c>
      <c r="H13" s="28" t="inlineStr">
        <is>
          <t>CourseName="Java Programming"; SessionName=""; LessonNumber=1</t>
        </is>
      </c>
      <c r="I13" s="28" t="inlineStr">
        <is>
          <t>1. De trong truong Ten session.
2. Enter cac truong thong tin khac hop le.
3. Nhap "Save" (Save).</t>
        </is>
      </c>
      <c r="J13" s="28" t="inlineStr">
        <is>
          <t>System display notification error requires enter Ten session (e.g.: "Session Name is required.").
Bai hoc moi khong duoc create.</t>
        </is>
      </c>
      <c r="K13" s="28" t="inlineStr"/>
      <c r="L13" s="24" t="inlineStr">
        <is>
          <t>Not Run</t>
        </is>
      </c>
      <c r="M13" s="25" t="inlineStr">
        <is>
          <t>High</t>
        </is>
      </c>
      <c r="N13" s="28" t="inlineStr">
        <is>
          <t>Related to Validation Rules (Section 8), Error Handling (Section 9)</t>
        </is>
      </c>
    </row>
    <row r="14" ht="135" customHeight="1">
      <c r="A14" s="21" t="inlineStr">
        <is>
          <t>TC-M07-013</t>
        </is>
      </c>
      <c r="B14" s="21" t="inlineStr">
        <is>
          <t>Module 07 – Training Materials</t>
        </is>
      </c>
      <c r="C14" s="22" t="inlineStr">
        <is>
          <t>M07-F01</t>
        </is>
      </c>
      <c r="D14" s="23" t="inlineStr">
        <is>
          <t>Three-tier Hierarchy</t>
        </is>
      </c>
      <c r="E14" s="23" t="inlineStr">
        <is>
          <t>Edit chi tiet session (Edit Session)</t>
        </is>
      </c>
      <c r="F14" s="23" t="inlineStr">
        <is>
          <t>Verify functionality for sua thong tin session successfully.</t>
        </is>
      </c>
      <c r="G14" s="23" t="inlineStr">
        <is>
          <t>User is logged in as Staff.
Bai hoc "Session 01: OOP Basics" da ton tai duoi course "Java Programming".</t>
        </is>
      </c>
      <c r="H14" s="23" t="inlineStr">
        <is>
          <t>SessionOldName="Session 01: OOP Basics"; SessionNewName="Session 01: Advanced OOP Basics"; LessonNumber=2; Description="Mo ta moi"</t>
        </is>
      </c>
      <c r="I14" s="23" t="inlineStr">
        <is>
          <t>1. Select session "Session 01: OOP Basics".
2. Nhap select "Edit" (Edit).
3. Sua Ten session thanh "Session 01: Advanced OOP Basics", Lesson Number thanh "2", Description thanh "Mo ta moi".
4. Nhap "Save" (Save).</t>
        </is>
      </c>
      <c r="J14" s="23" t="inlineStr">
        <is>
          <t>System display notification save successfully.
Thong tin session display thay doi moi tuong ung tren interface.</t>
        </is>
      </c>
      <c r="K14" s="23" t="inlineStr"/>
      <c r="L14" s="24" t="inlineStr">
        <is>
          <t>Not Run</t>
        </is>
      </c>
      <c r="M14" s="25" t="inlineStr">
        <is>
          <t>High</t>
        </is>
      </c>
      <c r="N14" s="23" t="inlineStr">
        <is>
          <t>Related to M07-F01, Rule 5.4</t>
        </is>
      </c>
    </row>
    <row r="15" ht="120" customHeight="1">
      <c r="A15" s="26" t="inlineStr">
        <is>
          <t>TC-M07-014</t>
        </is>
      </c>
      <c r="B15" s="26" t="inlineStr">
        <is>
          <t>Module 07 – Training Materials</t>
        </is>
      </c>
      <c r="C15" s="27" t="inlineStr">
        <is>
          <t>M07-F04</t>
        </is>
      </c>
      <c r="D15" s="28" t="inlineStr">
        <is>
          <t>Session Deletion</t>
        </is>
      </c>
      <c r="E15" s="28" t="inlineStr">
        <is>
          <t>Delete vinh vien session (Delete Session)</t>
        </is>
      </c>
      <c r="F15" s="28" t="inlineStr">
        <is>
          <t>Verify functionality for permanently deleted mot session va cac tai lieu dinh kem ben duoi no.</t>
        </is>
      </c>
      <c r="G15" s="28" t="inlineStr">
        <is>
          <t>User is logged in as Staff.
Bai hoc "Session 01: OOP Basics" dang ton tai va co tai lieu dinh kem.</t>
        </is>
      </c>
      <c r="H15" s="28" t="inlineStr">
        <is>
          <t>SessionName="Session 01: OOP Basics"</t>
        </is>
      </c>
      <c r="I15" s="28" t="inlineStr">
        <is>
          <t>1. Select session "Session 01: OOP Basics".
2. Nhap select nut "Delete" (Delete).
3. System display hop thoai requires xac nhan permanently deleted.
4. Nhap "Dong y" (Confirm).</t>
        </is>
      </c>
      <c r="J15" s="28" t="inlineStr">
        <is>
          <t>System display notification delete successfully.
Bai hoc va cac tai lieu dinh kem bi permanently deleted khoi system.
Hanh dong cannot hoan tac.</t>
        </is>
      </c>
      <c r="K15" s="28" t="inlineStr"/>
      <c r="L15" s="24" t="inlineStr">
        <is>
          <t>Not Run</t>
        </is>
      </c>
      <c r="M15" s="25" t="inlineStr">
        <is>
          <t>High</t>
        </is>
      </c>
      <c r="N15" s="28" t="inlineStr">
        <is>
          <t>Related to M07-F04, Rule 5.4, Error Handling (Section 9)</t>
        </is>
      </c>
    </row>
    <row r="16" ht="105" customHeight="1">
      <c r="A16" s="21" t="inlineStr">
        <is>
          <t>TC-M07-015</t>
        </is>
      </c>
      <c r="B16" s="21" t="inlineStr">
        <is>
          <t>Module 07 – Training Materials</t>
        </is>
      </c>
      <c r="C16" s="22" t="inlineStr">
        <is>
          <t>M07-F04</t>
        </is>
      </c>
      <c r="D16" s="23" t="inlineStr">
        <is>
          <t>Session Deletion</t>
        </is>
      </c>
      <c r="E16" s="23" t="inlineStr">
        <is>
          <t>Huy bo thao tac delete session</t>
        </is>
      </c>
      <c r="F16" s="23" t="inlineStr">
        <is>
          <t>Verify whether khi huy xac nhan delete, session van duoc giu lai.</t>
        </is>
      </c>
      <c r="G16" s="23" t="inlineStr">
        <is>
          <t>User is logged in as Staff.
Bai hoc "Session 01: OOP Basics" dang ton tai.</t>
        </is>
      </c>
      <c r="H16" s="23" t="inlineStr">
        <is>
          <t>SessionName="Session 01: OOP Basics"</t>
        </is>
      </c>
      <c r="I16" s="23" t="inlineStr">
        <is>
          <t>1. Select session "Session 01: OOP Basics".
2. Nhap select nut "Delete" (Delete).
3. System display hop thoai xac nhan.
4. Nhap select "Huy" (Cancel).</t>
        </is>
      </c>
      <c r="J16" s="23" t="inlineStr">
        <is>
          <t>Hop thoai xac nhan dong lai.
Bai hoc "Session 01: OOP Basics" van ton tai trong danh sach va khong bi delete.</t>
        </is>
      </c>
      <c r="K16" s="23" t="inlineStr"/>
      <c r="L16" s="24" t="inlineStr">
        <is>
          <t>Not Run</t>
        </is>
      </c>
      <c r="M16" s="29" t="inlineStr">
        <is>
          <t>Medium</t>
        </is>
      </c>
      <c r="N16" s="23" t="inlineStr">
        <is>
          <t>Related to Rule 5.4, Error Handling (Section 9)</t>
        </is>
      </c>
    </row>
    <row r="17" ht="60" customHeight="1">
      <c r="A17" s="26" t="inlineStr">
        <is>
          <t>TC-M07-016</t>
        </is>
      </c>
      <c r="B17" s="26" t="inlineStr">
        <is>
          <t>Module 07 – Training Materials</t>
        </is>
      </c>
      <c r="C17" s="27" t="inlineStr">
        <is>
          <t>M07-F04</t>
        </is>
      </c>
      <c r="D17" s="28" t="inlineStr">
        <is>
          <t>Session Deletion</t>
        </is>
      </c>
      <c r="E17" s="28" t="inlineStr">
        <is>
          <t>Verify khong ho tro archive session</t>
        </is>
      </c>
      <c r="F17" s="28" t="inlineStr">
        <is>
          <t>Verify system khong allows archive session, chi can permanently deleted.</t>
        </is>
      </c>
      <c r="G17" s="28" t="inlineStr">
        <is>
          <t>User is logged in as Staff.
Dang o interface Quan ly Bai hoc.</t>
        </is>
      </c>
      <c r="H17" s="28" t="inlineStr">
        <is>
          <t>SessionName="Session 01: OOP Basics"</t>
        </is>
      </c>
      <c r="I17" s="28" t="inlineStr">
        <is>
          <t>1. Select session "Session 01: OOP Basics".
2. Verify cac nut chuc nang hanh dong tren session.</t>
        </is>
      </c>
      <c r="J17" s="28" t="inlineStr">
        <is>
          <t>Khong xuat hien tuy select "Archive" (Archive) for session. Chi ho tro create, sua va permanently deleted.</t>
        </is>
      </c>
      <c r="K17" s="28" t="inlineStr"/>
      <c r="L17" s="24" t="inlineStr">
        <is>
          <t>Not Run</t>
        </is>
      </c>
      <c r="M17" s="29" t="inlineStr">
        <is>
          <t>Medium</t>
        </is>
      </c>
      <c r="N17" s="28" t="inlineStr">
        <is>
          <t>Related to Rule 5.4, Out of Scope (Section 13)</t>
        </is>
      </c>
    </row>
    <row r="18" ht="105" customHeight="1">
      <c r="A18" s="21" t="inlineStr">
        <is>
          <t>TC-M07-017</t>
        </is>
      </c>
      <c r="B18" s="21" t="inlineStr">
        <is>
          <t>Module 07 – Training Materials</t>
        </is>
      </c>
      <c r="C18" s="22" t="inlineStr">
        <is>
          <t>M07-F01</t>
        </is>
      </c>
      <c r="D18" s="23" t="inlineStr">
        <is>
          <t>Three-tier Hierarchy</t>
        </is>
      </c>
      <c r="E18" s="23" t="inlineStr">
        <is>
          <t>Create exam (Exam) moi voi thong tin hop le</t>
        </is>
      </c>
      <c r="F18" s="23" t="inlineStr">
        <is>
          <t>Verify functionality for create exam moi duoi mot course dang hoat dong.</t>
        </is>
      </c>
      <c r="G18" s="23" t="inlineStr">
        <is>
          <t>User is logged in as Staff.
Khoa hoc "Java Programming" dang hoat dong.</t>
        </is>
      </c>
      <c r="H18" s="23" t="inlineStr">
        <is>
          <t>CourseName="Java Programming"; ExamName="Midterm Exam"</t>
        </is>
      </c>
      <c r="I18" s="23" t="inlineStr">
        <is>
          <t>1. Select course "Java Programming".
2. Nhap nut "Add exam" (Add Exam).
3. Enter Ten exam la "Midterm Exam".
4. Nhap "Save" (Save).</t>
        </is>
      </c>
      <c r="J18" s="23" t="inlineStr">
        <is>
          <t>System display notification create successfully.
Bai kiem tra "Midterm Exam" display duoi course "Java Programming".</t>
        </is>
      </c>
      <c r="K18" s="23" t="inlineStr"/>
      <c r="L18" s="24" t="inlineStr">
        <is>
          <t>Not Run</t>
        </is>
      </c>
      <c r="M18" s="25" t="inlineStr">
        <is>
          <t>High</t>
        </is>
      </c>
      <c r="N18" s="23" t="inlineStr">
        <is>
          <t>Related to M07-F01, Rule 5.5</t>
        </is>
      </c>
    </row>
    <row r="19" ht="75" customHeight="1">
      <c r="A19" s="26" t="inlineStr">
        <is>
          <t>TC-M07-018</t>
        </is>
      </c>
      <c r="B19" s="26" t="inlineStr">
        <is>
          <t>Module 07 – Training Materials</t>
        </is>
      </c>
      <c r="C19" s="27" t="inlineStr">
        <is>
          <t>M07-F05</t>
        </is>
      </c>
      <c r="D19" s="28" t="inlineStr">
        <is>
          <t>Exam Deletion</t>
        </is>
      </c>
      <c r="E19" s="28" t="inlineStr">
        <is>
          <t>Create exam moi failed due to empty name</t>
        </is>
      </c>
      <c r="F19" s="28" t="inlineStr">
        <is>
          <t>Verify system ngan chan va bao error neu ten exam trong.</t>
        </is>
      </c>
      <c r="G19" s="28" t="inlineStr">
        <is>
          <t>User is logged in as Staff.
Dang o interface Add exam moi.</t>
        </is>
      </c>
      <c r="H19" s="28" t="inlineStr">
        <is>
          <t>CourseName="Java Programming"; ExamName=""</t>
        </is>
      </c>
      <c r="I19" s="28" t="inlineStr">
        <is>
          <t>1. De trong truong Ten exam.
2. Nhap "Save" (Save).</t>
        </is>
      </c>
      <c r="J19" s="28" t="inlineStr">
        <is>
          <t>System display notification error requires enter Ten exam (e.g.: "Exam Name is required.").
Bai kiem tra khong duoc create.</t>
        </is>
      </c>
      <c r="K19" s="28" t="inlineStr"/>
      <c r="L19" s="24" t="inlineStr">
        <is>
          <t>Not Run</t>
        </is>
      </c>
      <c r="M19" s="25" t="inlineStr">
        <is>
          <t>High</t>
        </is>
      </c>
      <c r="N19" s="28" t="inlineStr">
        <is>
          <t>Related to Validation Rules (Section 8), Error Handling (Section 9)</t>
        </is>
      </c>
    </row>
    <row r="20" ht="105" customHeight="1">
      <c r="A20" s="21" t="inlineStr">
        <is>
          <t>TC-M07-019</t>
        </is>
      </c>
      <c r="B20" s="21" t="inlineStr">
        <is>
          <t>Module 07 – Training Materials</t>
        </is>
      </c>
      <c r="C20" s="22" t="inlineStr">
        <is>
          <t>M07-F01</t>
        </is>
      </c>
      <c r="D20" s="23" t="inlineStr">
        <is>
          <t>Three-tier Hierarchy</t>
        </is>
      </c>
      <c r="E20" s="23" t="inlineStr">
        <is>
          <t>Edit chi tiet exam (Edit Exam)</t>
        </is>
      </c>
      <c r="F20" s="23" t="inlineStr">
        <is>
          <t>Verify functionality for thay doi ten exam successfully.</t>
        </is>
      </c>
      <c r="G20" s="23" t="inlineStr">
        <is>
          <t>User is logged in as Staff.
Bai kiem tra "Midterm Exam" da ton tai duoi course "Java Programming".</t>
        </is>
      </c>
      <c r="H20" s="23" t="inlineStr">
        <is>
          <t>ExamOldName="Midterm Exam"; ExamNewName="Midterm Practical Exam"</t>
        </is>
      </c>
      <c r="I20" s="23" t="inlineStr">
        <is>
          <t>1. Select exam "Midterm Exam".
2. Nhap select "Edit" (Edit).
3. Thay doi ten thanh "Midterm Practical Exam".
4. Nhap "Save" (Save).</t>
        </is>
      </c>
      <c r="J20" s="23" t="inlineStr">
        <is>
          <t>System display notification save successfully.
Ten exam duoc cap nhat thanh "Midterm Practical Exam" tren interface.</t>
        </is>
      </c>
      <c r="K20" s="23" t="inlineStr"/>
      <c r="L20" s="24" t="inlineStr">
        <is>
          <t>Not Run</t>
        </is>
      </c>
      <c r="M20" s="25" t="inlineStr">
        <is>
          <t>High</t>
        </is>
      </c>
      <c r="N20" s="23" t="inlineStr">
        <is>
          <t>Related to M07-F01, Rule 5.5</t>
        </is>
      </c>
    </row>
    <row r="21" ht="90" customHeight="1">
      <c r="A21" s="26" t="inlineStr">
        <is>
          <t>TC-M07-020</t>
        </is>
      </c>
      <c r="B21" s="26" t="inlineStr">
        <is>
          <t>Module 07 – Training Materials</t>
        </is>
      </c>
      <c r="C21" s="27" t="inlineStr">
        <is>
          <t>M07-F05</t>
        </is>
      </c>
      <c r="D21" s="28" t="inlineStr">
        <is>
          <t>Exam Deletion</t>
        </is>
      </c>
      <c r="E21" s="28" t="inlineStr">
        <is>
          <t>Delete vinh vien exam (Delete Exam)</t>
        </is>
      </c>
      <c r="F21" s="28" t="inlineStr">
        <is>
          <t>Verify functionality for permanently deleted mot exam va cac tai lieu dinh kem ben duoi no.</t>
        </is>
      </c>
      <c r="G21" s="28" t="inlineStr">
        <is>
          <t>User is logged in as Staff.
Bai kiem tra "Midterm Exam" dang ton tai va co tai lieu dinh kem.</t>
        </is>
      </c>
      <c r="H21" s="28" t="inlineStr">
        <is>
          <t>ExamName="Midterm Exam"</t>
        </is>
      </c>
      <c r="I21" s="28" t="inlineStr">
        <is>
          <t>1. Select exam "Midterm Exam".
2. Nhap nut "Delete" (Delete).
3. Xac nhan tren hop thoai display bang cach select "Dong y" (Confirm).</t>
        </is>
      </c>
      <c r="J21" s="28" t="inlineStr">
        <is>
          <t>System display notification delete successfully.
Bai kiem tra va cac tai lieu dinh kem bi permanently deleted khoi system.
Hanh dong cannot hoan tac.</t>
        </is>
      </c>
      <c r="K21" s="28" t="inlineStr"/>
      <c r="L21" s="24" t="inlineStr">
        <is>
          <t>Not Run</t>
        </is>
      </c>
      <c r="M21" s="25" t="inlineStr">
        <is>
          <t>High</t>
        </is>
      </c>
      <c r="N21" s="28" t="inlineStr">
        <is>
          <t>Related to M07-F05, Rule 5.5, Error Handling (Section 9)</t>
        </is>
      </c>
    </row>
    <row r="22" ht="75" customHeight="1">
      <c r="A22" s="21" t="inlineStr">
        <is>
          <t>TC-M07-021</t>
        </is>
      </c>
      <c r="B22" s="21" t="inlineStr">
        <is>
          <t>Module 07 – Training Materials</t>
        </is>
      </c>
      <c r="C22" s="22" t="inlineStr">
        <is>
          <t>M07-F05</t>
        </is>
      </c>
      <c r="D22" s="23" t="inlineStr">
        <is>
          <t>Exam Deletion</t>
        </is>
      </c>
      <c r="E22" s="23" t="inlineStr">
        <is>
          <t>Huy bo thao tac delete exam</t>
        </is>
      </c>
      <c r="F22" s="23" t="inlineStr">
        <is>
          <t>Verify whether exam khong bi delete khi huy xac nhan.</t>
        </is>
      </c>
      <c r="G22" s="23" t="inlineStr">
        <is>
          <t>User is logged in as Staff.
Bai kiem tra "Midterm Exam" dang ton tai.</t>
        </is>
      </c>
      <c r="H22" s="23" t="inlineStr">
        <is>
          <t>ExamName="Midterm Exam"</t>
        </is>
      </c>
      <c r="I22" s="23" t="inlineStr">
        <is>
          <t>1. Select exam "Midterm Exam".
2. Nhap nut "Delete" (Delete).
3. Tren hop thoai xac nhan, select "Huy" (Cancel).</t>
        </is>
      </c>
      <c r="J22" s="23" t="inlineStr">
        <is>
          <t>Hop thoai dong lai.
Bai kiem tra "Midterm Exam" van ton tai binh thuong.</t>
        </is>
      </c>
      <c r="K22" s="23" t="inlineStr"/>
      <c r="L22" s="24" t="inlineStr">
        <is>
          <t>Not Run</t>
        </is>
      </c>
      <c r="M22" s="29" t="inlineStr">
        <is>
          <t>Medium</t>
        </is>
      </c>
      <c r="N22" s="23" t="inlineStr">
        <is>
          <t>Related to Rule 5.5, Error Handling (Section 9)</t>
        </is>
      </c>
    </row>
    <row r="23" ht="45" customHeight="1">
      <c r="A23" s="26" t="inlineStr">
        <is>
          <t>TC-M07-022</t>
        </is>
      </c>
      <c r="B23" s="26" t="inlineStr">
        <is>
          <t>Module 07 – Training Materials</t>
        </is>
      </c>
      <c r="C23" s="27" t="inlineStr">
        <is>
          <t>M07-F05</t>
        </is>
      </c>
      <c r="D23" s="28" t="inlineStr">
        <is>
          <t>Exam Deletion</t>
        </is>
      </c>
      <c r="E23" s="28" t="inlineStr">
        <is>
          <t>Verify khong ho tro archive exam</t>
        </is>
      </c>
      <c r="F23" s="28" t="inlineStr">
        <is>
          <t>Verify system khong allows archive exam, chi can permanently deleted.</t>
        </is>
      </c>
      <c r="G23" s="28" t="inlineStr">
        <is>
          <t>User is logged in as Staff.
Dang o interface Quan ly Bai kiem tra.</t>
        </is>
      </c>
      <c r="H23" s="28" t="inlineStr">
        <is>
          <t>ExamName="Midterm Exam"</t>
        </is>
      </c>
      <c r="I23" s="28" t="inlineStr">
        <is>
          <t>1. Select exam "Midterm Exam".
2. Verify cac nut hanh dong tren exam.</t>
        </is>
      </c>
      <c r="J23" s="28" t="inlineStr">
        <is>
          <t>Khong xuat hien tuy select "Archive" (Archive) for exam.</t>
        </is>
      </c>
      <c r="K23" s="28" t="inlineStr"/>
      <c r="L23" s="24" t="inlineStr">
        <is>
          <t>Not Run</t>
        </is>
      </c>
      <c r="M23" s="29" t="inlineStr">
        <is>
          <t>Medium</t>
        </is>
      </c>
      <c r="N23" s="28" t="inlineStr">
        <is>
          <t>Related to Rule 5.5, Out of Scope (Section 13)</t>
        </is>
      </c>
    </row>
    <row r="24" ht="105" customHeight="1">
      <c r="A24" s="21" t="inlineStr">
        <is>
          <t>TC-M07-023</t>
        </is>
      </c>
      <c r="B24" s="21" t="inlineStr">
        <is>
          <t>Module 07 – Training Materials</t>
        </is>
      </c>
      <c r="C24" s="22" t="inlineStr">
        <is>
          <t>M07-F06</t>
        </is>
      </c>
      <c r="D24" s="23" t="inlineStr">
        <is>
          <t>Material Attachment</t>
        </is>
      </c>
      <c r="E24" s="23" t="inlineStr">
        <is>
          <t>Dinh kem mot tai lieu hop le vao Session/Exam</t>
        </is>
      </c>
      <c r="F24" s="23" t="inlineStr">
        <is>
          <t>Verify functionality for dinh kem tai lieu successfully khi enter du nhan va link Google Drive dung format.</t>
        </is>
      </c>
      <c r="G24" s="23" t="inlineStr">
        <is>
          <t>User is logged in as Staff.
Dang create hoac sua mot Session hoac Exam.</t>
        </is>
      </c>
      <c r="H24" s="23" t="inlineStr">
        <is>
          <t>Label="Slides"; URL="https://drive.google.com/file/d/1A2B3C4D5E/view"</t>
        </is>
      </c>
      <c r="I24" s="23" t="inlineStr">
        <is>
          <t>1. O phan dinh kem tai lieu (Material Attachments), enter Nhan (Label) la "Slides".
2. Enter URL la "https://drive.google.com/file/d/1A2B3C4D5E/view".
3. Nhan "Save" (Save).</t>
        </is>
      </c>
      <c r="J24" s="23" t="inlineStr">
        <is>
          <t>Tai lieu duoc save successfully.
Thong tin dinh kem display chinh xac duoi Session/Exam.</t>
        </is>
      </c>
      <c r="K24" s="23" t="inlineStr"/>
      <c r="L24" s="24" t="inlineStr">
        <is>
          <t>Not Run</t>
        </is>
      </c>
      <c r="M24" s="25" t="inlineStr">
        <is>
          <t>High</t>
        </is>
      </c>
      <c r="N24" s="23" t="inlineStr">
        <is>
          <t>Related to M07-F06, Section 6 (Material Attachments)</t>
        </is>
      </c>
    </row>
    <row r="25" ht="150" customHeight="1">
      <c r="A25" s="26" t="inlineStr">
        <is>
          <t>TC-M07-024</t>
        </is>
      </c>
      <c r="B25" s="26" t="inlineStr">
        <is>
          <t>Module 07 – Training Materials</t>
        </is>
      </c>
      <c r="C25" s="27" t="inlineStr">
        <is>
          <t>M07-F06</t>
        </is>
      </c>
      <c r="D25" s="28" t="inlineStr">
        <is>
          <t>Material Attachment</t>
        </is>
      </c>
      <c r="E25" s="28" t="inlineStr">
        <is>
          <t>Dinh kem nhieu tai lieu hop le vao Session/Exam</t>
        </is>
      </c>
      <c r="F25" s="28" t="inlineStr">
        <is>
          <t>Verify viec dinh kem dong thoi nhieu tai lieu hop le vao cung mot session hoac exam.</t>
        </is>
      </c>
      <c r="G25" s="28" t="inlineStr">
        <is>
          <t>User is logged in as Staff.
Dang create hoac sua mot Session hoac Exam.</t>
        </is>
      </c>
      <c r="H25" s="28" t="inlineStr">
        <is>
          <t>Attachment1: Label="Slides", URL="https://drive.google.com/file/d/111/view"; Attachment2: Label="Homework", URL="https://drive.google.com/file/d/222/view"</t>
        </is>
      </c>
      <c r="I25" s="28" t="inlineStr">
        <is>
          <t>1. O dong tai lieu thu nhat, enter Nhan "Slides" and URL "https://drive.google.com/file/d/111/view".
2. Nhap add dong moi.
3. O dong tai lieu Monday, enter Nhan "Homework" and URL "https://drive.google.com/file/d/222/view".
4. Nhan "Save" (Save).</t>
        </is>
      </c>
      <c r="J25" s="28" t="inlineStr">
        <is>
          <t>Ca hai tai lieu dinh kem deu duoc save successfully va display day du tren interface.</t>
        </is>
      </c>
      <c r="K25" s="28" t="inlineStr"/>
      <c r="L25" s="24" t="inlineStr">
        <is>
          <t>Not Run</t>
        </is>
      </c>
      <c r="M25" s="25" t="inlineStr">
        <is>
          <t>High</t>
        </is>
      </c>
      <c r="N25" s="28" t="inlineStr">
        <is>
          <t>Related to M07-F06, Section 6</t>
        </is>
      </c>
    </row>
    <row r="26" ht="75" customHeight="1">
      <c r="A26" s="21" t="inlineStr">
        <is>
          <t>TC-M07-025</t>
        </is>
      </c>
      <c r="B26" s="21" t="inlineStr">
        <is>
          <t>Module 07 – Training Materials</t>
        </is>
      </c>
      <c r="C26" s="22" t="inlineStr">
        <is>
          <t>M07-F06</t>
        </is>
      </c>
      <c r="D26" s="23" t="inlineStr">
        <is>
          <t>Material Attachment</t>
        </is>
      </c>
      <c r="E26" s="23" t="inlineStr">
        <is>
          <t>Dinh kem tai lieu voi dong hoan toan trong (bo qua dong)</t>
        </is>
      </c>
      <c r="F26" s="23" t="inlineStr">
        <is>
          <t>Verify whether system tu dong bo qua va khong bao error khi co dong tai lieu trong (ca Label va URL deu rong).</t>
        </is>
      </c>
      <c r="G26" s="23" t="inlineStr">
        <is>
          <t>User is logged in as Staff.
Dang edit hoac create moi Session/Exam.</t>
        </is>
      </c>
      <c r="H26" s="23" t="inlineStr">
        <is>
          <t>Label=""; URL=""</t>
        </is>
      </c>
      <c r="I26" s="23" t="inlineStr">
        <is>
          <t>1. Add mot dong dinh kem tai lieu moi.
2. De trong ca hai truong Nhan (Label) va URL.
3. Nhan "Save" (Save).</t>
        </is>
      </c>
      <c r="J26" s="23" t="inlineStr">
        <is>
          <t>System archive successfully cac thong tin khac.
Dong trong tu dong bi bo qua (skipped) ma not displayed bat ky notification error nao.</t>
        </is>
      </c>
      <c r="K26" s="23" t="inlineStr"/>
      <c r="L26" s="24" t="inlineStr">
        <is>
          <t>Not Run</t>
        </is>
      </c>
      <c r="M26" s="29" t="inlineStr">
        <is>
          <t>Medium</t>
        </is>
      </c>
      <c r="N26" s="23" t="inlineStr">
        <is>
          <t>Related to M07-F06, Rule 6 (Empty Attachment Rows), Error Handling (Section 9)</t>
        </is>
      </c>
    </row>
    <row r="27" ht="75" customHeight="1">
      <c r="A27" s="26" t="inlineStr">
        <is>
          <t>TC-M07-026</t>
        </is>
      </c>
      <c r="B27" s="26" t="inlineStr">
        <is>
          <t>Module 07 – Training Materials</t>
        </is>
      </c>
      <c r="C27" s="27" t="inlineStr">
        <is>
          <t>M07-F06</t>
        </is>
      </c>
      <c r="D27" s="28" t="inlineStr">
        <is>
          <t>Material Attachment</t>
        </is>
      </c>
      <c r="E27" s="28" t="inlineStr">
        <is>
          <t>Dinh kem failed do co Nhan (Label) nhung blank URL</t>
        </is>
      </c>
      <c r="F27" s="28" t="inlineStr">
        <is>
          <t>Verify system ngan chan save va bao error khi enter nhan tai lieu nhung khong co link.</t>
        </is>
      </c>
      <c r="G27" s="28" t="inlineStr">
        <is>
          <t>User is logged in as Staff.
Dang edit hoac create moi Session/Exam.</t>
        </is>
      </c>
      <c r="H27" s="28" t="inlineStr">
        <is>
          <t>Label="Sach tham khao"; URL=""</t>
        </is>
      </c>
      <c r="I27" s="28" t="inlineStr">
        <is>
          <t>1. Enter Nhan (Label) la "Sach tham khao".
2. De trong truong URL.
3. Nhan "Save" (Save).</t>
        </is>
      </c>
      <c r="J27" s="28" t="inlineStr">
        <is>
          <t>System bao error requires enter URL cho tai lieu (e.g.: "URL is required when Label is provided.").
Tai lieu khong duoc save.</t>
        </is>
      </c>
      <c r="K27" s="28" t="inlineStr"/>
      <c r="L27" s="24" t="inlineStr">
        <is>
          <t>Not Run</t>
        </is>
      </c>
      <c r="M27" s="25" t="inlineStr">
        <is>
          <t>High</t>
        </is>
      </c>
      <c r="N27" s="28" t="inlineStr">
        <is>
          <t>Related to M07-F06, Validation Rules (Section 8), Error Handling (Section 9)</t>
        </is>
      </c>
    </row>
    <row r="28" ht="75" customHeight="1">
      <c r="A28" s="21" t="inlineStr">
        <is>
          <t>TC-M07-027</t>
        </is>
      </c>
      <c r="B28" s="21" t="inlineStr">
        <is>
          <t>Module 07 – Training Materials</t>
        </is>
      </c>
      <c r="C28" s="22" t="inlineStr">
        <is>
          <t>M07-F06</t>
        </is>
      </c>
      <c r="D28" s="23" t="inlineStr">
        <is>
          <t>Material Attachment</t>
        </is>
      </c>
      <c r="E28" s="23" t="inlineStr">
        <is>
          <t>Dinh kem failed do co URL nhung blank Nhan (Label)</t>
        </is>
      </c>
      <c r="F28" s="23" t="inlineStr">
        <is>
          <t>Verify system ngan chan save va bao error khi enter link tai lieu nhung blank nhan.</t>
        </is>
      </c>
      <c r="G28" s="23" t="inlineStr">
        <is>
          <t>User is logged in as Staff.
Dang edit hoac create moi Session/Exam.</t>
        </is>
      </c>
      <c r="H28" s="23" t="inlineStr">
        <is>
          <t>Label=""; URL="https://drive.google.com/file/d/1A2B3/view"</t>
        </is>
      </c>
      <c r="I28" s="23" t="inlineStr">
        <is>
          <t>1. De trong truong Nhan (Label).
2. Enter URL la "https://drive.google.com/file/d/1A2B3/view".
3. Nhan "Save" (Save).</t>
        </is>
      </c>
      <c r="J28" s="23" t="inlineStr">
        <is>
          <t>System bao error requires enter Nhan cho tai lieu (e.g.: "Label is required when URL is provided.").
Tai lieu khong duoc save.</t>
        </is>
      </c>
      <c r="K28" s="23" t="inlineStr"/>
      <c r="L28" s="24" t="inlineStr">
        <is>
          <t>Not Run</t>
        </is>
      </c>
      <c r="M28" s="25" t="inlineStr">
        <is>
          <t>High</t>
        </is>
      </c>
      <c r="N28" s="23" t="inlineStr">
        <is>
          <t>Related to M07-F06, Validation Rules (Section 8), Error Handling (Section 9)</t>
        </is>
      </c>
    </row>
    <row r="29" ht="75" customHeight="1">
      <c r="A29" s="26" t="inlineStr">
        <is>
          <t>TC-M07-028</t>
        </is>
      </c>
      <c r="B29" s="26" t="inlineStr">
        <is>
          <t>Module 07 – Training Materials</t>
        </is>
      </c>
      <c r="C29" s="27" t="inlineStr">
        <is>
          <t>M07-F06</t>
        </is>
      </c>
      <c r="D29" s="28" t="inlineStr">
        <is>
          <t>Material Attachment</t>
        </is>
      </c>
      <c r="E29" s="28" t="inlineStr">
        <is>
          <t>Dinh kem failed do link not Google Drive</t>
        </is>
      </c>
      <c r="F29" s="28" t="inlineStr">
        <is>
          <t>Verify system ngan chan save va bao error format khi enter link tu dich vu archive khac.</t>
        </is>
      </c>
      <c r="G29" s="28" t="inlineStr">
        <is>
          <t>User is logged in as Staff.
Dang edit hoac create moi Session/Exam.</t>
        </is>
      </c>
      <c r="H29" s="28" t="inlineStr">
        <is>
          <t>Label="Tai lieu"; URL="https://dropbox.com/s/abcdef"</t>
        </is>
      </c>
      <c r="I29" s="28" t="inlineStr">
        <is>
          <t>1. Enter Nhan "Tai lieu".
2. Enter URL la "https://dropbox.com/s/abcdef".
3. Nhan "Save" (Save).</t>
        </is>
      </c>
      <c r="J29" s="28" t="inlineStr">
        <is>
          <t>System display error kiem tra format URL (e.g.: "Must start with https://drive.google.com/").
Tai lieu khong duoc save.</t>
        </is>
      </c>
      <c r="K29" s="28" t="inlineStr"/>
      <c r="L29" s="24" t="inlineStr">
        <is>
          <t>Not Run</t>
        </is>
      </c>
      <c r="M29" s="25" t="inlineStr">
        <is>
          <t>High</t>
        </is>
      </c>
      <c r="N29" s="28" t="inlineStr">
        <is>
          <t>Related to M07-F06, Validation Rules (Section 8), Error Handling (Section 9)</t>
        </is>
      </c>
    </row>
    <row r="30" ht="150" customHeight="1">
      <c r="A30" s="21" t="inlineStr">
        <is>
          <t>TC-M07-029</t>
        </is>
      </c>
      <c r="B30" s="21" t="inlineStr">
        <is>
          <t>Module 07 – Training Materials</t>
        </is>
      </c>
      <c r="C30" s="22" t="inlineStr">
        <is>
          <t>M07-F07</t>
        </is>
      </c>
      <c r="D30" s="23" t="inlineStr">
        <is>
          <t>CSV Export / Import</t>
        </is>
      </c>
      <c r="E30" s="23" t="inlineStr">
        <is>
          <t>Xuat danh sach Session ra file CSV (Export CSV)</t>
        </is>
      </c>
      <c r="F30" s="23" t="inlineStr">
        <is>
          <t>Verify functionality for tai file CSV chua thong tin cac session cua course hien tai.</t>
        </is>
      </c>
      <c r="G30" s="23" t="inlineStr">
        <is>
          <t>User is logged in as Staff.
Dang o interface danh sach Session cua course "Java Programming" chua cac session va tai lieu.</t>
        </is>
      </c>
      <c r="H30" s="23" t="inlineStr">
        <is>
          <t>None</t>
        </is>
      </c>
      <c r="I30" s="23" t="inlineStr">
        <is>
          <t>1. Nhap nut "Xuat CSV" (Export CSV).</t>
        </is>
      </c>
      <c r="J30" s="23" t="inlineStr">
        <is>
          <t>System tai ve mot file CSV successfully.
File CSV co cac cot: Session ID, Session Name, Lesson Number, Description.
Thong tin cac session khop voi danh sach display tren system.
Tai lieu dinh kem (Google Drive link) KHONG duoc xuat hien trong file.</t>
        </is>
      </c>
      <c r="K30" s="23" t="inlineStr"/>
      <c r="L30" s="24" t="inlineStr">
        <is>
          <t>Not Run</t>
        </is>
      </c>
      <c r="M30" s="25" t="inlineStr">
        <is>
          <t>High</t>
        </is>
      </c>
      <c r="N30" s="23" t="inlineStr">
        <is>
          <t>Related to M07-F07, Rule 7 (Export)</t>
        </is>
      </c>
    </row>
    <row r="31" ht="135" customHeight="1">
      <c r="A31" s="26" t="inlineStr">
        <is>
          <t>TC-M07-030</t>
        </is>
      </c>
      <c r="B31" s="26" t="inlineStr">
        <is>
          <t>Module 07 – Training Materials</t>
        </is>
      </c>
      <c r="C31" s="27" t="inlineStr">
        <is>
          <t>M07-F07</t>
        </is>
      </c>
      <c r="D31" s="28" t="inlineStr">
        <is>
          <t>CSV Export / Import</t>
        </is>
      </c>
      <c r="E31" s="28" t="inlineStr">
        <is>
          <t>Enter CSV - Cap nhat thong tin Session da ton tai</t>
        </is>
      </c>
      <c r="F31" s="28" t="inlineStr">
        <is>
          <t>Verify system cap nhat chinh xac ten, so bai va mo ta cua session khi Session ID trong file CSV trung khop voi session co san.</t>
        </is>
      </c>
      <c r="G31" s="28" t="inlineStr">
        <is>
          <t>User is logged in as Staff.
Bai hoc voi ID "S001" da ton tai duoi course "Java Programming" co ten cu la "OOP Intro".</t>
        </is>
      </c>
      <c r="H31" s="28" t="inlineStr">
        <is>
          <t>File CSV chua dong: Session ID="S001"; Session Name="OOP Basics"; Lesson Number="1"; Description="Gioi thieu huong doi tuong"</t>
        </is>
      </c>
      <c r="I31" s="28" t="inlineStr">
        <is>
          <t>1. Select course "Java Programming".
2. Nhap select "Enter CSV" (Import CSV).
3. Upload file CSV chua du lieu cap nhat cho ID "S001".
4. Nhap "Xac nhan".</t>
        </is>
      </c>
      <c r="J31" s="28" t="inlineStr">
        <is>
          <t>System display notification enter du lieu successfully.
Bai hoc co ID "S001" duoc cap nhat successfully voi ten "OOP Basics", so bai "1", mo ta "Gioi thieu huong doi tuong".
Cac tai lieu dinh kem truoc do cua session nay van duoc giu nguyen.</t>
        </is>
      </c>
      <c r="K31" s="28" t="inlineStr"/>
      <c r="L31" s="24" t="inlineStr">
        <is>
          <t>Not Run</t>
        </is>
      </c>
      <c r="M31" s="25" t="inlineStr">
        <is>
          <t>High</t>
        </is>
      </c>
      <c r="N31" s="28" t="inlineStr">
        <is>
          <t>Related to M07-F07, Rule 7.1 (Existing Session)</t>
        </is>
      </c>
    </row>
    <row r="32" ht="120" customHeight="1">
      <c r="A32" s="21" t="inlineStr">
        <is>
          <t>TC-M07-031</t>
        </is>
      </c>
      <c r="B32" s="21" t="inlineStr">
        <is>
          <t>Module 07 – Training Materials</t>
        </is>
      </c>
      <c r="C32" s="22" t="inlineStr">
        <is>
          <t>M07-F07</t>
        </is>
      </c>
      <c r="D32" s="23" t="inlineStr">
        <is>
          <t>CSV Export / Import</t>
        </is>
      </c>
      <c r="E32" s="23" t="inlineStr">
        <is>
          <t>Enter CSV - Create session moi khi blank Session ID</t>
        </is>
      </c>
      <c r="F32" s="23" t="inlineStr">
        <is>
          <t>Verify system tu dong create moi mot session neu cot Session ID trong dong CSV bi bo trong.</t>
        </is>
      </c>
      <c r="G32" s="23" t="inlineStr">
        <is>
          <t>User is logged in as Staff.
Dang select course "Java Programming".</t>
        </is>
      </c>
      <c r="H32" s="23" t="inlineStr">
        <is>
          <t>File CSV chua dong: Session ID=""; Session Name="OOP Polymorphism"; Lesson Number="3"; Description="Tinh da hinh"</t>
        </is>
      </c>
      <c r="I32" s="23" t="inlineStr">
        <is>
          <t>1. Select course "Java Programming".
2. Nhap select "Enter CSV" (Import CSV).
3. Upload file CSV co cot ID blank.
4. Nhap "Xac nhan".</t>
        </is>
      </c>
      <c r="J32" s="23" t="inlineStr">
        <is>
          <t>System display notification enter du lieu successfully.
Mot session moi duoc create ra duoi course "Java Programming" voi ten "OOP Polymorphism", so session "3" va mo ta "Tinh da hinh".
System tu dong cap phat mot ID moi cho session nay.</t>
        </is>
      </c>
      <c r="K32" s="23" t="inlineStr"/>
      <c r="L32" s="24" t="inlineStr">
        <is>
          <t>Not Run</t>
        </is>
      </c>
      <c r="M32" s="25" t="inlineStr">
        <is>
          <t>High</t>
        </is>
      </c>
      <c r="N32" s="23" t="inlineStr">
        <is>
          <t>Related to M07-F07, Rule 7.2 (New Session)</t>
        </is>
      </c>
    </row>
    <row r="33" ht="105" customHeight="1">
      <c r="A33" s="26" t="inlineStr">
        <is>
          <t>TC-M07-032</t>
        </is>
      </c>
      <c r="B33" s="26" t="inlineStr">
        <is>
          <t>Module 07 – Training Materials</t>
        </is>
      </c>
      <c r="C33" s="27" t="inlineStr">
        <is>
          <t>M07-F07</t>
        </is>
      </c>
      <c r="D33" s="28" t="inlineStr">
        <is>
          <t>CSV Export / Import</t>
        </is>
      </c>
      <c r="E33" s="28" t="inlineStr">
        <is>
          <t>Enter CSV - Create session moi khi Session ID khong ton tai tren system</t>
        </is>
      </c>
      <c r="F33" s="28" t="inlineStr">
        <is>
          <t>Verify system tu dong create moi session neu Session ID trong CSV khong trung khop voi bat ky session hien co nao.</t>
        </is>
      </c>
      <c r="G33" s="28" t="inlineStr">
        <is>
          <t>User is logged in as Staff.
Khoa hoc "Java Programming" khong co session nao mang ID "S999".</t>
        </is>
      </c>
      <c r="H33" s="28" t="inlineStr">
        <is>
          <t>File CSV chua dong: Session ID="S999"; Session Name="Exception Handling"; Lesson Number="4"; Description="Xu ly ngoai le"</t>
        </is>
      </c>
      <c r="I33" s="28" t="inlineStr">
        <is>
          <t>1. Select course "Java Programming".
2. Nhap select "Enter CSV" (Import CSV).
3. Upload file CSV chua dong co ID la "S999".
4. Nhap "Xac nhan".</t>
        </is>
      </c>
      <c r="J33" s="28" t="inlineStr">
        <is>
          <t>System display notification enter du lieu successfully.
Mot session moi duoc create ra voi ID moi duoc create hoac cap nhat theo system, ten "Exception Handling" duoc gan duoi course.</t>
        </is>
      </c>
      <c r="K33" s="28" t="inlineStr"/>
      <c r="L33" s="24" t="inlineStr">
        <is>
          <t>Not Run</t>
        </is>
      </c>
      <c r="M33" s="25" t="inlineStr">
        <is>
          <t>High</t>
        </is>
      </c>
      <c r="N33" s="28" t="inlineStr">
        <is>
          <t>Related to M07-F07, Rule 7.2 (New Session)</t>
        </is>
      </c>
    </row>
    <row r="34" ht="105" customHeight="1">
      <c r="A34" s="21" t="inlineStr">
        <is>
          <t>TC-M07-033</t>
        </is>
      </c>
      <c r="B34" s="21" t="inlineStr">
        <is>
          <t>Module 07 – Training Materials</t>
        </is>
      </c>
      <c r="C34" s="22" t="inlineStr">
        <is>
          <t>M07-F07</t>
        </is>
      </c>
      <c r="D34" s="23" t="inlineStr">
        <is>
          <t>CSV Export / Import</t>
        </is>
      </c>
      <c r="E34" s="23" t="inlineStr">
        <is>
          <t>Enter CSV - Cac session hien tai khong co trong CSV se giu nguyen</t>
        </is>
      </c>
      <c r="F34" s="23" t="inlineStr">
        <is>
          <t>Verify whether system co bao toan cac session san co cua course neu chung khong duoc liet ke trong file CSV tai len.</t>
        </is>
      </c>
      <c r="G34" s="23" t="inlineStr">
        <is>
          <t>User is logged in as Staff.
Khoa hoc "Java Programming" dang co 2 session san co: "S001" va "S002".</t>
        </is>
      </c>
      <c r="H34" s="23" t="inlineStr">
        <is>
          <t>File CSV chi chua thong tin cap nhat cho session "S001". Bai hoc "S002" hoan toan khong co trong file.</t>
        </is>
      </c>
      <c r="I34" s="23" t="inlineStr">
        <is>
          <t>1. Nhap select "Enter CSV" (Import CSV).
2. Upload file CSV chi co thong tin cho session "S001".
3. Nhap "Xac nhan".</t>
        </is>
      </c>
      <c r="J34" s="23" t="inlineStr">
        <is>
          <t>System notification enter successfully.
Bai hoc "S001" duoc cap nhat.
Bai hoc "S002" van ton tai nguyen ven duoi course "Java Programming" ma khong bi delete di.</t>
        </is>
      </c>
      <c r="K34" s="23" t="inlineStr"/>
      <c r="L34" s="24" t="inlineStr">
        <is>
          <t>Not Run</t>
        </is>
      </c>
      <c r="M34" s="25" t="inlineStr">
        <is>
          <t>High</t>
        </is>
      </c>
      <c r="N34" s="23" t="inlineStr">
        <is>
          <t>Related to M07-F07, Rule 7.3 (Missing Sessions)</t>
        </is>
      </c>
    </row>
    <row r="35" ht="120" customHeight="1">
      <c r="A35" s="26" t="inlineStr">
        <is>
          <t>TC-M07-034</t>
        </is>
      </c>
      <c r="B35" s="26" t="inlineStr">
        <is>
          <t>Module 07 – Training Materials</t>
        </is>
      </c>
      <c r="C35" s="27" t="inlineStr">
        <is>
          <t>M07-F07</t>
        </is>
      </c>
      <c r="D35" s="28" t="inlineStr">
        <is>
          <t>CSV Export / Import</t>
        </is>
      </c>
      <c r="E35" s="28" t="inlineStr">
        <is>
          <t>Enter CSV - Bo qua cot Materials trong file CSV tai len</t>
        </is>
      </c>
      <c r="F35" s="28" t="inlineStr">
        <is>
          <t>Verify whether system co bo qua cot Materials va khong ghi de hoac gay error neu file CSV chua cot nay.</t>
        </is>
      </c>
      <c r="G35" s="28" t="inlineStr">
        <is>
          <t>User is logged in as Staff.
Bai hoc "S001" dang co san mot tai lieu dinh kem la "Slides".</t>
        </is>
      </c>
      <c r="H35" s="28" t="inlineStr">
        <is>
          <t>File CSV chua cac cot: Session ID, Session Name, Lesson Number, Description, Materials. Dong du lieu: S001, OOP Basics, 1, Gioi thieu huong doi tuong, https://drive.google.com/some-link-to-ignore</t>
        </is>
      </c>
      <c r="I35" s="28" t="inlineStr">
        <is>
          <t>1. Select course.
2. Nhap select "Enter CSV" (Import CSV).
3. Upload file CSV co chua cot Materials voi gia tri link bat ky.
4. Nhap "Xac nhan".</t>
        </is>
      </c>
      <c r="J35" s="28" t="inlineStr">
        <is>
          <t>System display notification enter successfully.
Thong tin Session duoc cap nhat.
Tai lieu dinh kem "Slides" ban dau cua Session "S001" van duoc giu nguyen. Link trong cot Materials cua file CSV hoan toan bi bo qua.</t>
        </is>
      </c>
      <c r="K35" s="28" t="inlineStr"/>
      <c r="L35" s="24" t="inlineStr">
        <is>
          <t>Not Run</t>
        </is>
      </c>
      <c r="M35" s="25" t="inlineStr">
        <is>
          <t>High</t>
        </is>
      </c>
      <c r="N35" s="28" t="inlineStr">
        <is>
          <t>Related to M07-F07, Rule 7.4 (Materials Column)</t>
        </is>
      </c>
    </row>
    <row r="36" ht="90" customHeight="1">
      <c r="A36" s="21" t="inlineStr">
        <is>
          <t>TC-M07-035</t>
        </is>
      </c>
      <c r="B36" s="21" t="inlineStr">
        <is>
          <t>Module 07 – Training Materials</t>
        </is>
      </c>
      <c r="C36" s="22" t="inlineStr">
        <is>
          <t>M07-F07</t>
        </is>
      </c>
      <c r="D36" s="23" t="inlineStr">
        <is>
          <t>CSV Export / Import</t>
        </is>
      </c>
      <c r="E36" s="23" t="inlineStr">
        <is>
          <t>Enter CSV failed do select sai format tep (not CSV)</t>
        </is>
      </c>
      <c r="F36" s="23" t="inlineStr">
        <is>
          <t>Verify system denies tai len va notification error khi user select tep not duoi .csv.</t>
        </is>
      </c>
      <c r="G36" s="23" t="inlineStr">
        <is>
          <t>User is logged in as Staff.
Dang o interface Enter CSV cua course.</t>
        </is>
      </c>
      <c r="H36" s="23" t="inlineStr">
        <is>
          <t>Tep tin: document.docx hoac image.png</t>
        </is>
      </c>
      <c r="I36" s="23" t="inlineStr">
        <is>
          <t>1. Nhap select nut "Enter CSV".
2. Select tai len tep tin "document.docx".
3. Nhap nut "Xac nhan" hoac system chan ngay khi select tep.</t>
        </is>
      </c>
      <c r="J36" s="23" t="inlineStr">
        <is>
          <t>System denies tep tin va display notification error format tep khong hop le (e.g.: "Invalid file format. Please upload a CSV file.").
Khong co hanh dong enter du lieu nao duoc thuc hien.</t>
        </is>
      </c>
      <c r="K36" s="23" t="inlineStr"/>
      <c r="L36" s="24" t="inlineStr">
        <is>
          <t>Not Run</t>
        </is>
      </c>
      <c r="M36" s="25" t="inlineStr">
        <is>
          <t>High</t>
        </is>
      </c>
      <c r="N36" s="23" t="inlineStr">
        <is>
          <t>Related to Error Handling (Section 9)</t>
        </is>
      </c>
    </row>
    <row r="37" ht="75" customHeight="1">
      <c r="A37" s="26" t="inlineStr">
        <is>
          <t>TC-M07-036</t>
        </is>
      </c>
      <c r="B37" s="26" t="inlineStr">
        <is>
          <t>Module 07 – Training Materials</t>
        </is>
      </c>
      <c r="C37" s="27" t="inlineStr">
        <is>
          <t>M07-F07</t>
        </is>
      </c>
      <c r="D37" s="28" t="inlineStr">
        <is>
          <t>CSV Export / Import</t>
        </is>
      </c>
      <c r="E37" s="28" t="inlineStr">
        <is>
          <t>Enter CSV failed for dong thieu thong tin Ten session</t>
        </is>
      </c>
      <c r="F37" s="28" t="inlineStr">
        <is>
          <t>Verify system ngan chan viec create session moi qua CSV neu dong do thieu Ten session.</t>
        </is>
      </c>
      <c r="G37" s="28" t="inlineStr">
        <is>
          <t>User is logged in as Staff.
Dang select course "Java Programming".</t>
        </is>
      </c>
      <c r="H37" s="28" t="inlineStr">
        <is>
          <t>File CSV chua dong: Session ID=""; Session Name=""; Lesson Number="5"; Description="Bai hoc thieu ten"</t>
        </is>
      </c>
      <c r="I37" s="28" t="inlineStr">
        <is>
          <t>1. Nhap select "Enter CSV" (Import CSV).
2. Upload file CSV chua dong du lieu error noi tren.
3. Nhan "Xac nhan".</t>
        </is>
      </c>
      <c r="J37" s="28" t="inlineStr">
        <is>
          <t>System bao error kiem tra du lieu o dong tuong ung (e.g.: "Row X: Session Name is required.").
Dong error do khong duoc import vao system.</t>
        </is>
      </c>
      <c r="K37" s="28" t="inlineStr"/>
      <c r="L37" s="24" t="inlineStr">
        <is>
          <t>Not Run</t>
        </is>
      </c>
      <c r="M37" s="25" t="inlineStr">
        <is>
          <t>High</t>
        </is>
      </c>
      <c r="N37" s="28" t="inlineStr">
        <is>
          <t>Related to Validation Rules (Section 8), Error Handling (Section 9)</t>
        </is>
      </c>
    </row>
    <row r="38" ht="75" customHeight="1">
      <c r="A38" s="21" t="inlineStr">
        <is>
          <t>TC-M07-037</t>
        </is>
      </c>
      <c r="B38" s="21" t="inlineStr">
        <is>
          <t>Module 07 – Training Materials</t>
        </is>
      </c>
      <c r="C38" s="22" t="inlineStr">
        <is>
          <t>M07-SEC</t>
        </is>
      </c>
      <c r="D38" s="23" t="inlineStr">
        <is>
          <t>Access Control &amp; Security</t>
        </is>
      </c>
      <c r="E38" s="23" t="inlineStr">
        <is>
          <t>Quyen access - Staff access va thao tac day du tinh nang</t>
        </is>
      </c>
      <c r="F38" s="23" t="inlineStr">
        <is>
          <t>Verify account co email domain @passerellesnumeriques.org duoc cap toan quyen quan tri module.</t>
        </is>
      </c>
      <c r="G38" s="23" t="inlineStr">
        <is>
          <t>Nguoi dung da log in bang Google OAuth voi account staff@passerellesnumeriques.org.</t>
        </is>
      </c>
      <c r="H38" s="23" t="inlineStr">
        <is>
          <t>Role="Staff"</t>
        </is>
      </c>
      <c r="I38" s="23" t="inlineStr">
        <is>
          <t>1. Truy cap vao trang Quan ly Tai lieu hoc tap.
2. Thuc hien cac thao tac: Rename Category, Add course, Delete session, Enter/Xuat CSV.</t>
        </is>
      </c>
      <c r="J38" s="23" t="inlineStr">
        <is>
          <t>Nguoi dung access successfully.
Tat ca cac nut chuc nang hoat dong binh thuong ma khong bi chan quyen.</t>
        </is>
      </c>
      <c r="K38" s="23" t="inlineStr"/>
      <c r="L38" s="24" t="inlineStr">
        <is>
          <t>Not Run</t>
        </is>
      </c>
      <c r="M38" s="25" t="inlineStr">
        <is>
          <t>High</t>
        </is>
      </c>
      <c r="N38" s="23" t="inlineStr">
        <is>
          <t>Related to Docs/docs.md Section 4 (User Roles)</t>
        </is>
      </c>
    </row>
    <row r="39" ht="135" customHeight="1">
      <c r="A39" s="26" t="inlineStr">
        <is>
          <t>TC-M07-038</t>
        </is>
      </c>
      <c r="B39" s="26" t="inlineStr">
        <is>
          <t>Module 07 – Training Materials</t>
        </is>
      </c>
      <c r="C39" s="27" t="inlineStr">
        <is>
          <t>M07-SEC</t>
        </is>
      </c>
      <c r="D39" s="28" t="inlineStr">
        <is>
          <t>Access Control &amp; Security</t>
        </is>
      </c>
      <c r="E39" s="28" t="inlineStr">
        <is>
          <t>Quyen access - Hoc vien (Student) bi han che cac quyen quan ly</t>
        </is>
      </c>
      <c r="F39" s="28" t="inlineStr">
        <is>
          <t>Verify account student co email domain @student.passerellesnumeriques.org cannot thuc hien cac thao tac quan ly (Add/Sua/Delete/Archive/Import/Export) tren module.</t>
        </is>
      </c>
      <c r="G39" s="28" t="inlineStr">
        <is>
          <t>Nguoi dung da log in bang Google OAuth voi account student@student.passerellesnumeriques.org.</t>
        </is>
      </c>
      <c r="H39" s="28" t="inlineStr">
        <is>
          <t>Role="Student"</t>
        </is>
      </c>
      <c r="I39" s="28" t="inlineStr">
        <is>
          <t>1. Co gang access truc tiep vao duong dan Quan ly Tai lieu hoc tap (neu co), hoac kiem tra interface Student Portal.
2. Observe su ton tai cua cac nut chuc nang doi ten, add course, delete session, import CSV.</t>
        </is>
      </c>
      <c r="J39" s="28" t="inlineStr">
        <is>
          <t>Hoc vien khong co quyen access trang quan tri Staff.
Khong display cac nut chuc nang quan ly tai lieu hoc tap tren man hinh danh cho student.
System display notification error hoac denies access (Access Denied) neu co access qua URL truc tiep.</t>
        </is>
      </c>
      <c r="K39" s="28" t="inlineStr"/>
      <c r="L39" s="24" t="inlineStr">
        <is>
          <t>Not Run</t>
        </is>
      </c>
      <c r="M39" s="25" t="inlineStr">
        <is>
          <t>High</t>
        </is>
      </c>
      <c r="N39" s="28" t="inlineStr">
        <is>
          <t>Related to Docs/docs.md Section 4 (User Roles)</t>
        </is>
      </c>
    </row>
    <row r="40" ht="75" customHeight="1">
      <c r="A40" s="21" t="inlineStr">
        <is>
          <t>TC-M07-039</t>
        </is>
      </c>
      <c r="B40" s="21" t="inlineStr">
        <is>
          <t>Module 07 – Training Materials</t>
        </is>
      </c>
      <c r="C40" s="22" t="inlineStr">
        <is>
          <t>M07-SEC</t>
        </is>
      </c>
      <c r="D40" s="23" t="inlineStr">
        <is>
          <t>Access Control &amp; Security</t>
        </is>
      </c>
      <c r="E40" s="23" t="inlineStr">
        <is>
          <t>Quyen access - Domain la bi denies access system</t>
        </is>
      </c>
      <c r="F40" s="23" t="inlineStr">
        <is>
          <t>Verify system denies access ngay lap tuc for email khong thuoc 2 domain duoc cau hinh.</t>
        </is>
      </c>
      <c r="G40" s="23" t="inlineStr">
        <is>
          <t>Nguoi dung da log in bang Google OAuth voi account user@gmail.com.</t>
        </is>
      </c>
      <c r="H40" s="23" t="inlineStr">
        <is>
          <t>Role="Unknown"</t>
        </is>
      </c>
      <c r="I40" s="23" t="inlineStr">
        <is>
          <t>1. Co gang access system Academic Portal.</t>
        </is>
      </c>
      <c r="J40" s="23" t="inlineStr">
        <is>
          <t>System display trang denies access (Access Denied).
Khong display bat ky thong tin nao ve cac category tai lieu hoac course.</t>
        </is>
      </c>
      <c r="K40" s="23" t="inlineStr"/>
      <c r="L40" s="24" t="inlineStr">
        <is>
          <t>Not Run</t>
        </is>
      </c>
      <c r="M40" s="25" t="inlineStr">
        <is>
          <t>High</t>
        </is>
      </c>
      <c r="N40" s="23" t="inlineStr">
        <is>
          <t>Related to Docs/docs.md Section 4 &amp; Section 6 (Authentication Flow)</t>
        </is>
      </c>
    </row>
    <row r="41" ht="120" customHeight="1">
      <c r="A41" s="26" t="inlineStr">
        <is>
          <t>TC-M07-040</t>
        </is>
      </c>
      <c r="B41" s="26" t="inlineStr">
        <is>
          <t>Module 07 – Training Materials</t>
        </is>
      </c>
      <c r="C41" s="27" t="inlineStr">
        <is>
          <t>M07-F03</t>
        </is>
      </c>
      <c r="D41" s="28" t="inlineStr">
        <is>
          <t>Course Archiving / Restoring</t>
        </is>
      </c>
      <c r="E41" s="28" t="inlineStr">
        <is>
          <t>Verify an tu dong tat ca Session/Exam con khi Archive course</t>
        </is>
      </c>
      <c r="F41" s="28" t="inlineStr">
        <is>
          <t>Verify rang khi archive mot course, tat ca cac session (session) va exam (exam) thuoc course do tu dong bien mat khoi interface chung cua user, nhung du lieu van ton tai trong co so du lieu.</t>
        </is>
      </c>
      <c r="G41" s="28" t="inlineStr">
        <is>
          <t>User is logged in as Staff.
Khoa hoc "Java Programming" dang hoat dong va co session "Session 01" cung exam "Midterm Exam" dang display.</t>
        </is>
      </c>
      <c r="H41" s="28" t="inlineStr">
        <is>
          <t>CourseName="Java Programming"</t>
        </is>
      </c>
      <c r="I41" s="28" t="inlineStr">
        <is>
          <t>1. Thuc hien archive course "Java Programming".
2. Truy cap hoac kiem tra danh sach session va exam tren interface display tai lieu chung.</t>
        </is>
      </c>
      <c r="J41" s="28" t="inlineStr">
        <is>
          <t>Khoa hoc chuyen sang status da archive.
Bai hoc "Session 01" va exam "Midterm Exam" khong con xuat hien tren interface display tai lieu hoc tap chung.
Verify co so du lieu de dam bao cac ban ghi nay van ton tai.</t>
        </is>
      </c>
      <c r="K41" s="28" t="inlineStr"/>
      <c r="L41" s="24" t="inlineStr">
        <is>
          <t>Not Run</t>
        </is>
      </c>
      <c r="M41" s="25" t="inlineStr">
        <is>
          <t>High</t>
        </is>
      </c>
      <c r="N41" s="28" t="inlineStr">
        <is>
          <t>Related to M07-F03, Rule 5.3</t>
        </is>
      </c>
    </row>
    <row r="42" ht="90" customHeight="1">
      <c r="A42" s="21" t="inlineStr">
        <is>
          <t>TC-M07-041</t>
        </is>
      </c>
      <c r="B42" s="21" t="inlineStr">
        <is>
          <t>Module 07 – Training Materials</t>
        </is>
      </c>
      <c r="C42" s="22" t="inlineStr">
        <is>
          <t>M07-F03</t>
        </is>
      </c>
      <c r="D42" s="23" t="inlineStr">
        <is>
          <t>Course Archiving / Restoring</t>
        </is>
      </c>
      <c r="E42" s="23" t="inlineStr">
        <is>
          <t>Verify khoi phuc display tat ca Session/Exam con khi Khoi phuc course</t>
        </is>
      </c>
      <c r="F42" s="23" t="inlineStr">
        <is>
          <t>Verify rang khi khoi phuc mot course da archive, tat ca cac session (session) va exam (exam) thuoc course do tu dong display tro lai tren interface.</t>
        </is>
      </c>
      <c r="G42" s="23" t="inlineStr">
        <is>
          <t>User is logged in as Staff.
Khoa hoc "Java Programming" dang o status Archive (Archived), cac session va exam con dang bi an display.</t>
        </is>
      </c>
      <c r="H42" s="23" t="inlineStr">
        <is>
          <t>CourseName="Java Programming"</t>
        </is>
      </c>
      <c r="I42" s="23" t="inlineStr">
        <is>
          <t>1. Thuc hien khoi phuc course "Java Programming".
2. Truy cap vao interface display session va exam cua course nay.</t>
        </is>
      </c>
      <c r="J42" s="23" t="inlineStr">
        <is>
          <t>Khoa hoc chuyen sang status Hoat dong (Active).
Bai hoc "Session 01" va exam "Midterm Exam" tu dong xuat hien tro lai tren interface display va can xem/edit binh thuong.</t>
        </is>
      </c>
      <c r="K42" s="23" t="inlineStr"/>
      <c r="L42" s="24" t="inlineStr">
        <is>
          <t>Not Run</t>
        </is>
      </c>
      <c r="M42" s="25" t="inlineStr">
        <is>
          <t>High</t>
        </is>
      </c>
      <c r="N42" s="23" t="inlineStr">
        <is>
          <t>Related to M07-F03, Rule 5.3</t>
        </is>
      </c>
    </row>
  </sheetData>
  <autoFilter ref="A1:N42"/>
  <dataValidations count="2">
    <dataValidation sqref="L2:L142" showDropDown="0" showInputMessage="0" showErrorMessage="0" allowBlank="1" errorTitle="Invalid Status" error="Please select a valid state: Passed, Failed, or Not Run" type="list">
      <formula1>"Passed,Failed,Not Run"</formula1>
    </dataValidation>
    <dataValidation sqref="M2:M14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1"/>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TC-M08-001</t>
        </is>
      </c>
      <c r="B2" s="21" t="inlineStr">
        <is>
          <t>Module 08 – Profile Photo Management</t>
        </is>
      </c>
      <c r="C2" s="22" t="inlineStr">
        <is>
          <t>M08-F01</t>
        </is>
      </c>
      <c r="D2" s="23" t="inlineStr">
        <is>
          <t>Photo Upload</t>
        </is>
      </c>
      <c r="E2" s="23" t="inlineStr">
        <is>
          <t>Upload valid profile photo in JPG format</t>
        </is>
      </c>
      <c r="F2" s="23" t="inlineStr">
        <is>
          <t>Verify functionality for tai len profile photo format JPG successfully va cap nhat vao thong tin student.</t>
        </is>
      </c>
      <c r="G2" s="23" t="inlineStr">
        <is>
          <t>User is logged in as Staff.
Currently on Student Detail page of a student without profile photo (displaying default photo).</t>
        </is>
      </c>
      <c r="H2" s="23" t="inlineStr">
        <is>
          <t>StudentCode=PNV26001; ImageFile=student_avatar.jpg (kich thuoc &lt; 2MB)</t>
        </is>
      </c>
      <c r="I2" s="23" t="inlineStr">
        <is>
          <t>1. Select student PNV26001 va mo trang Chi tiet Hoc sinh.
2. Nhap select bieu tuong tai profile photo.
3. Select file student_avatar.jpg tu thiet bi.
4. Observe preview photo display tren man hinh.
5. Nhan nut "Save" (Save).</t>
        </is>
      </c>
      <c r="J2" s="23" t="inlineStr">
        <is>
          <t>System display notification tai len successfully.
Anh xem truoc display tuc thi tren interface truoc khi save.
Sau khi save, thong tin student duoc cap nhat: profile photo display kieu hinh tron tai Sidebar chi tiet (200x200 px) va danh sach student (52x52 px).
File photo duoc save tren Google Drive duoi ten "Nguyen_Van_A_{Timestamp}.jpg" voi quyen xem "Anyone with the link".</t>
        </is>
      </c>
      <c r="K2" s="23" t="inlineStr"/>
      <c r="L2" s="24" t="inlineStr">
        <is>
          <t>Not Run</t>
        </is>
      </c>
      <c r="M2" s="25" t="inlineStr">
        <is>
          <t>High</t>
        </is>
      </c>
      <c r="N2" s="23" t="inlineStr">
        <is>
          <t>Related to M08-F01, Rule 5.2, Google Drive Integration (Section 7)</t>
        </is>
      </c>
    </row>
    <row r="3" ht="120" customHeight="1">
      <c r="A3" s="26" t="inlineStr">
        <is>
          <t>TC-M08-002</t>
        </is>
      </c>
      <c r="B3" s="26" t="inlineStr">
        <is>
          <t>Module 08 – Profile Photo Management</t>
        </is>
      </c>
      <c r="C3" s="27" t="inlineStr">
        <is>
          <t>M08-F01</t>
        </is>
      </c>
      <c r="D3" s="28" t="inlineStr">
        <is>
          <t>Photo Upload</t>
        </is>
      </c>
      <c r="E3" s="28" t="inlineStr">
        <is>
          <t>Upload valid profile photo in PNG format</t>
        </is>
      </c>
      <c r="F3" s="28" t="inlineStr">
        <is>
          <t>Verify functionality for tai len profile photo format PNG successfully va cap nhat vao thong tin student.</t>
        </is>
      </c>
      <c r="G3" s="28" t="inlineStr">
        <is>
          <t>User is logged in as Staff.
Currently on Student Detail page of a student without profile photo.</t>
        </is>
      </c>
      <c r="H3" s="28" t="inlineStr">
        <is>
          <t>StudentCode=PNV26002; ImageFile=student_avatar2.png</t>
        </is>
      </c>
      <c r="I3" s="28" t="inlineStr">
        <is>
          <t>1. Select student PNV26002 va mo trang Chi tiet Hoc sinh.
2. Nhap select bieu tuong tai profile photo.
3. Select file student_avatar2.png.
4. Nhan nut "Save" (Save).</t>
        </is>
      </c>
      <c r="J3" s="28" t="inlineStr">
        <is>
          <t>System display notification tai len successfully.
Anh dai dien PNG display chinh xac kieu hinh tron o tat ca cac vi tri.
File photo duoc tai len Google Drive va duoc dat ten theo format {StudentName}_{Timestamp}.jpg.</t>
        </is>
      </c>
      <c r="K3" s="28" t="inlineStr"/>
      <c r="L3" s="24" t="inlineStr">
        <is>
          <t>Not Run</t>
        </is>
      </c>
      <c r="M3" s="25" t="inlineStr">
        <is>
          <t>High</t>
        </is>
      </c>
      <c r="N3" s="28" t="inlineStr">
        <is>
          <t>Related to M08-F01, Rule 5.2</t>
        </is>
      </c>
    </row>
    <row r="4" ht="150" customHeight="1">
      <c r="A4" s="21" t="inlineStr">
        <is>
          <t>TC-M08-003</t>
        </is>
      </c>
      <c r="B4" s="21" t="inlineStr">
        <is>
          <t>Module 08 – Profile Photo Management</t>
        </is>
      </c>
      <c r="C4" s="22" t="inlineStr">
        <is>
          <t>M08-F02</t>
        </is>
      </c>
      <c r="D4" s="23" t="inlineStr">
        <is>
          <t>Photo Replacement</t>
        </is>
      </c>
      <c r="E4" s="23" t="inlineStr">
        <is>
          <t>Replace current profile photo</t>
        </is>
      </c>
      <c r="F4" s="23" t="inlineStr">
        <is>
          <t>Verify khi tai len new profile photo, system tu dong cap nhat thong tin student va delete file old photo tren Google Drive.</t>
        </is>
      </c>
      <c r="G4" s="23" t="inlineStr">
        <is>
          <t>User is logged in as Staff.
Hoc sinh PNV26001 da co san old profile photo tren system va Google Drive.</t>
        </is>
      </c>
      <c r="H4" s="23" t="inlineStr">
        <is>
          <t>StudentCode=PNV26001; ImageFile=new_avatar.jpg</t>
        </is>
      </c>
      <c r="I4" s="23" t="inlineStr">
        <is>
          <t>1. Select student PNV26001 va mo trang Chi tiet Hoc sinh.
2. Nhap select tai new profile photo.
3. Select file new_avatar.jpg.
4. Nhan nut "Save" (Save).
5. Verify thu muc archive tren Google Drive.</t>
        </is>
      </c>
      <c r="J4" s="23" t="inlineStr">
        <is>
          <t>System display notification replace successfully.
Anh dai dien moi display tren system.
File old photo cua student PNV26001 tren Google Drive bi delete hoan toan khoi thu muc archive (khong giu lai file cu).
Chi con lai file new photo tren Google Drive.</t>
        </is>
      </c>
      <c r="K4" s="23" t="inlineStr"/>
      <c r="L4" s="24" t="inlineStr">
        <is>
          <t>Not Run</t>
        </is>
      </c>
      <c r="M4" s="25" t="inlineStr">
        <is>
          <t>High</t>
        </is>
      </c>
      <c r="N4" s="23" t="inlineStr">
        <is>
          <t>Related to M08-F02, Rule 5.3</t>
        </is>
      </c>
    </row>
    <row r="5" ht="150" customHeight="1">
      <c r="A5" s="26" t="inlineStr">
        <is>
          <t>TC-M08-004</t>
        </is>
      </c>
      <c r="B5" s="26" t="inlineStr">
        <is>
          <t>Module 08 – Profile Photo Management</t>
        </is>
      </c>
      <c r="C5" s="27" t="inlineStr">
        <is>
          <t>M08-F03</t>
        </is>
      </c>
      <c r="D5" s="28" t="inlineStr">
        <is>
          <t>Photo Removal</t>
        </is>
      </c>
      <c r="E5" s="28" t="inlineStr">
        <is>
          <t>Delete current profile photo (Soft Delete)</t>
        </is>
      </c>
      <c r="F5" s="28" t="inlineStr">
        <is>
          <t>Verify functionality for delete profile photo cua student, chuyen file cu vao Google Drive Trash va display avatar mac dinh.</t>
        </is>
      </c>
      <c r="G5" s="28" t="inlineStr">
        <is>
          <t>User is logged in as Staff.
Hoc sinh PNV26001 da co san profile photo tren system.</t>
        </is>
      </c>
      <c r="H5" s="28" t="inlineStr">
        <is>
          <t>StudentCode=PNV26001</t>
        </is>
      </c>
      <c r="I5" s="28" t="inlineStr">
        <is>
          <t>1. Select student PNV26001 va mo trang Chi tiet Hoc sinh.
2. Nhap select nut "Delete photo" (Remove Photo).
3. Xac nhan delete khi system display hop thoai xac nhan.
4. Nhan nut "Save" (Save).
5. Verify Google Drive Trash.</t>
        </is>
      </c>
      <c r="J5" s="28" t="inlineStr">
        <is>
          <t>Anh dai dien cu cua student bi delete khoi interface.
System display profile photo mac dinh (initials ten student).
Tren Google Drive, file old photo cua student duoc di chuyen vao trash (Drive Trash) chu khong bi permanently deleted ngay lap tuc.</t>
        </is>
      </c>
      <c r="K5" s="28" t="inlineStr"/>
      <c r="L5" s="24" t="inlineStr">
        <is>
          <t>Not Run</t>
        </is>
      </c>
      <c r="M5" s="25" t="inlineStr">
        <is>
          <t>High</t>
        </is>
      </c>
      <c r="N5" s="28" t="inlineStr">
        <is>
          <t>Related to M08-F03, Rule 5.4</t>
        </is>
      </c>
    </row>
    <row r="6" ht="120" customHeight="1">
      <c r="A6" s="21" t="inlineStr">
        <is>
          <t>TC-M08-005</t>
        </is>
      </c>
      <c r="B6" s="21" t="inlineStr">
        <is>
          <t>Module 08 – Profile Photo Management</t>
        </is>
      </c>
      <c r="C6" s="22" t="inlineStr">
        <is>
          <t>M08-F04</t>
        </is>
      </c>
      <c r="D6" s="23" t="inlineStr">
        <is>
          <t>Fallback Avatar</t>
        </is>
      </c>
      <c r="E6" s="23" t="inlineStr">
        <is>
          <t>Hien thi avatar mac dinh khi student chua co profile photo</t>
        </is>
      </c>
      <c r="F6" s="23" t="inlineStr">
        <is>
          <t>Verify system display profile photo mac dinh la 2 initials cua ten student khi khong co photo.</t>
        </is>
      </c>
      <c r="G6" s="23" t="inlineStr">
        <is>
          <t>User is logged in as Staff.
Hoc sinh "Nguyen Van A" chua tai profile photo len system.</t>
        </is>
      </c>
      <c r="H6" s="23" t="inlineStr">
        <is>
          <t>StudentName="Nguyen Van A"</t>
        </is>
      </c>
      <c r="I6" s="23" t="inlineStr">
        <is>
          <t>1. Vao danh sach student.
2. Tim student "Nguyen Van A".
3. Observe profile photo display ben canh ten student.
4. Verify tai trang Chi tiet student va man hinh Home Dashboard.</t>
        </is>
      </c>
      <c r="J6" s="23" t="inlineStr">
        <is>
          <t>System tu dong display profile photo dang hinh tron chua 2 initials la "NA" (initials cua Ten va Ho).
Anh mac dinh nay display dong bo o ca danh sach student va chi tiet student.</t>
        </is>
      </c>
      <c r="K6" s="23" t="inlineStr"/>
      <c r="L6" s="24" t="inlineStr">
        <is>
          <t>Not Run</t>
        </is>
      </c>
      <c r="M6" s="25" t="inlineStr">
        <is>
          <t>High</t>
        </is>
      </c>
      <c r="N6" s="23" t="inlineStr">
        <is>
          <t>Related to M08-F04, Rule 5.6</t>
        </is>
      </c>
    </row>
    <row r="7" ht="135" customHeight="1">
      <c r="A7" s="26" t="inlineStr">
        <is>
          <t>TC-M08-006</t>
        </is>
      </c>
      <c r="B7" s="26" t="inlineStr">
        <is>
          <t>Module 08 – Profile Photo Management</t>
        </is>
      </c>
      <c r="C7" s="27" t="inlineStr">
        <is>
          <t>M08-F01</t>
        </is>
      </c>
      <c r="D7" s="28" t="inlineStr">
        <is>
          <t>Photo Upload</t>
        </is>
      </c>
      <c r="E7" s="28" t="inlineStr">
        <is>
          <t>Verify kich thuoc display profile photo o cac vi tri khac nhau</t>
        </is>
      </c>
      <c r="F7" s="28" t="inlineStr">
        <is>
          <t>Verify profile photo display dung kich thuoc cau hinh va dung format hinh tron o moi man hinh.</t>
        </is>
      </c>
      <c r="G7" s="28" t="inlineStr">
        <is>
          <t>User is logged in as Staff.
Hoc sinh PNV26001 da co profile photo hop le.</t>
        </is>
      </c>
      <c r="H7" s="28" t="inlineStr">
        <is>
          <t>StudentCode=PNV26001</t>
        </is>
      </c>
      <c r="I7" s="28" t="inlineStr">
        <is>
          <t>1. Xem photo student tai danh sach student.
2. Nhap xem chi tiet student PNV26001 va observe Sidebar.
3. Mo Dialog edit thong tin student.
4. Ve man hinh Home Dashboard va tim profile photo student do.</t>
        </is>
      </c>
      <c r="J7" s="28" t="inlineStr">
        <is>
          <t>Anh dai dien display as hinh tron voi kich thuoc chuan:
- Danh sach student: 52 x 52 px
- Dialog edit student: 120 x 120 px
- Sidebar chi tiet student: 200 x 200 px
- Home Dashboard: 52 x 52 px</t>
        </is>
      </c>
      <c r="K7" s="28" t="inlineStr"/>
      <c r="L7" s="24" t="inlineStr">
        <is>
          <t>Not Run</t>
        </is>
      </c>
      <c r="M7" s="29" t="inlineStr">
        <is>
          <t>Medium</t>
        </is>
      </c>
      <c r="N7" s="28" t="inlineStr">
        <is>
          <t>Related to Display Locations (Section 6)</t>
        </is>
      </c>
    </row>
    <row r="8" ht="120" customHeight="1">
      <c r="A8" s="21" t="inlineStr">
        <is>
          <t>TC-M08-007</t>
        </is>
      </c>
      <c r="B8" s="21" t="inlineStr">
        <is>
          <t>Module 08 – Profile Photo Management</t>
        </is>
      </c>
      <c r="C8" s="22" t="inlineStr">
        <is>
          <t>M08-F01</t>
        </is>
      </c>
      <c r="D8" s="23" t="inlineStr">
        <is>
          <t>Photo Upload</t>
        </is>
      </c>
      <c r="E8" s="23" t="inlineStr">
        <is>
          <t>Nhan Save profile photo khi chua select file photo</t>
        </is>
      </c>
      <c r="F8" s="23" t="inlineStr">
        <is>
          <t>Verify system bao error khi user co tinh save photo ma chua select tep tin nao.</t>
        </is>
      </c>
      <c r="G8" s="23" t="inlineStr">
        <is>
          <t>Nguoi dung log in quyen Staff.
Dang mo trang Chi tiet Hoc sinh cua mot student chua co photo.</t>
        </is>
      </c>
      <c r="H8" s="23" t="inlineStr">
        <is>
          <t>StudentCode=PNV26001</t>
        </is>
      </c>
      <c r="I8" s="23" t="inlineStr">
        <is>
          <t>1. Select student PNV26001.
2. Kich hoat che do tai profile photo.
3. Khong select bat ky file nao tu thiet bi.
4. Nhan nut "Save" (Save) hoac nut xac nhan tai len.</t>
        </is>
      </c>
      <c r="J8" s="23" t="inlineStr">
        <is>
          <t>System display cphoto bao error requires select tep tin hinh photo (e.g.: "Image file is required" hoac tuong duong).
Khong co bat ky thay doi nao duoc thuc hien.</t>
        </is>
      </c>
      <c r="K8" s="23" t="inlineStr"/>
      <c r="L8" s="24" t="inlineStr">
        <is>
          <t>Not Run</t>
        </is>
      </c>
      <c r="M8" s="25" t="inlineStr">
        <is>
          <t>High</t>
        </is>
      </c>
      <c r="N8" s="23" t="inlineStr">
        <is>
          <t>Related to Validation Rules (Section 8)</t>
        </is>
      </c>
    </row>
    <row r="9" ht="120" customHeight="1">
      <c r="A9" s="26" t="inlineStr">
        <is>
          <t>TC-M08-008</t>
        </is>
      </c>
      <c r="B9" s="26" t="inlineStr">
        <is>
          <t>Module 08 – Profile Photo Management</t>
        </is>
      </c>
      <c r="C9" s="27" t="inlineStr">
        <is>
          <t>M08-F01</t>
        </is>
      </c>
      <c r="D9" s="28" t="inlineStr">
        <is>
          <t>Photo Upload</t>
        </is>
      </c>
      <c r="E9" s="28" t="inlineStr">
        <is>
          <t>Upload file not format hinh photo</t>
        </is>
      </c>
      <c r="F9" s="28" t="inlineStr">
        <is>
          <t>Verify system chan tai len cac tep tin co format is not a photo (nhu .pdf, .docx, .txt).</t>
        </is>
      </c>
      <c r="G9" s="28" t="inlineStr">
        <is>
          <t>User is logged in as Staff.
Dang mo trang Chi tiet Hoc sinh.</t>
        </is>
      </c>
      <c r="H9" s="28" t="inlineStr">
        <is>
          <t>StudentCode=PNV26001; FilePath=document.pdf</t>
        </is>
      </c>
      <c r="I9" s="28" t="inlineStr">
        <is>
          <t>1. Select student PNV26001.
2. Nhap tai profile photo va select file document.pdf.
3. Nhan nut "Save" (Save) hoac nut xac nhan tai len.</t>
        </is>
      </c>
      <c r="J9" s="28" t="inlineStr">
        <is>
          <t>System khong chap nhan file PDF.
Hien thi notification error requires tep tin hinh photo hop le (e.g.: "Invalid file format. Please upload JPG or PNG image").
Khong allows save tep tin nay lam profile photo.</t>
        </is>
      </c>
      <c r="K9" s="28" t="inlineStr"/>
      <c r="L9" s="24" t="inlineStr">
        <is>
          <t>Not Run</t>
        </is>
      </c>
      <c r="M9" s="25" t="inlineStr">
        <is>
          <t>High</t>
        </is>
      </c>
      <c r="N9" s="28" t="inlineStr">
        <is>
          <t>Related to Validation Rules (Section 8)</t>
        </is>
      </c>
    </row>
    <row r="10" ht="135" customHeight="1">
      <c r="A10" s="21" t="inlineStr">
        <is>
          <t>TC-M08-009</t>
        </is>
      </c>
      <c r="B10" s="21" t="inlineStr">
        <is>
          <t>Module 08 – Profile Photo Management</t>
        </is>
      </c>
      <c r="C10" s="22" t="inlineStr">
        <is>
          <t>M08-F01</t>
        </is>
      </c>
      <c r="D10" s="23" t="inlineStr">
        <is>
          <t>Photo Upload</t>
        </is>
      </c>
      <c r="E10" s="23" t="inlineStr">
        <is>
          <t>Verify cau truc ten file save tren Google Drive</t>
        </is>
      </c>
      <c r="F10" s="23" t="inlineStr">
        <is>
          <t>Dam bao file photo tai len duoc doi ten theo dung format {StudentName}_{Timestamp}.jpg.</t>
        </is>
      </c>
      <c r="G10" s="23" t="inlineStr">
        <is>
          <t>Nguoi dung log in quyen Staff.
Hoc sinh ten "John Smith" chua co photo.</t>
        </is>
      </c>
      <c r="H10" s="23" t="inlineStr">
        <is>
          <t>StudentName="John Smith"; ImageFile=avatar.jpg</t>
        </is>
      </c>
      <c r="I10" s="23" t="inlineStr">
        <is>
          <t>1. Select student "John Smith" va tai len photo avatar.jpg.
2. Nhan "Save" (Save).
3. Log in vao account Google Drive quan tri, mo thu muc archive cau hinh.
4. Tim kiem file new photo tai len va kiem tra ten file.</t>
        </is>
      </c>
      <c r="J10" s="23" t="inlineStr">
        <is>
          <t>File photo duoc archive tren Google Drive co ten chinh xac la "John_Smith_YYYYMMDDHHMMSS.jpg" (trong do YYYYMMDDHHMMSS la period luc tai len).
Dinh dang file duoc chuan hoa thanh duoi mo rong .jpg.</t>
        </is>
      </c>
      <c r="K10" s="23" t="inlineStr"/>
      <c r="L10" s="24" t="inlineStr">
        <is>
          <t>Not Run</t>
        </is>
      </c>
      <c r="M10" s="25" t="inlineStr">
        <is>
          <t>High</t>
        </is>
      </c>
      <c r="N10" s="23" t="inlineStr">
        <is>
          <t>Related to Storage Information (Section 3), Google Drive Integration (Section 7)</t>
        </is>
      </c>
    </row>
    <row r="11" ht="120" customHeight="1">
      <c r="A11" s="26" t="inlineStr">
        <is>
          <t>TC-M08-010</t>
        </is>
      </c>
      <c r="B11" s="26" t="inlineStr">
        <is>
          <t>Module 08 – Profile Photo Management</t>
        </is>
      </c>
      <c r="C11" s="27" t="inlineStr">
        <is>
          <t>M08-F01</t>
        </is>
      </c>
      <c r="D11" s="28" t="inlineStr">
        <is>
          <t>Photo Upload</t>
        </is>
      </c>
      <c r="E11" s="28" t="inlineStr">
        <is>
          <t>Upload photo cho student co ten chua ky tu tieng Viet co dau</t>
        </is>
      </c>
      <c r="F11" s="28" t="inlineStr">
        <is>
          <t>Verify whether ten file tren Google Drive co duoc xu ly chuan hoa ky tu tieng Viet co dau va khoang trang hay khong.</t>
        </is>
      </c>
      <c r="G11" s="28" t="inlineStr">
        <is>
          <t>Nguoi dung log in quyen Staff.
Co student ten "Nguyen Hoang Nam".</t>
        </is>
      </c>
      <c r="H11" s="28" t="inlineStr">
        <is>
          <t>StudentName="Nguyen Hoang Nam"; ImageFile=avatar.jpg</t>
        </is>
      </c>
      <c r="I11" s="28" t="inlineStr">
        <is>
          <t>1. Mo trang chi tiet student "Nguyen Hoang Nam" va tai len profile photo.
2. Nhan "Save".
3. Mo Google Drive kiem tra ten file photo vua create.</t>
        </is>
      </c>
      <c r="J11" s="28" t="inlineStr">
        <is>
          <t>File photo duoc tai len successfully.
Ten file tren Google Drive duoc chuan hoa (e.g. chuyen thanh "Nguyen_Hoang_Nam_{Timestamp}.jpg" hoac giu nguyen ky tu tieng Viet co dau nhung khoang trang thay bang gach duoi va khong bi error display/ma hoa ky tu).</t>
        </is>
      </c>
      <c r="K11" s="28" t="inlineStr"/>
      <c r="L11" s="24" t="inlineStr">
        <is>
          <t>Not Run</t>
        </is>
      </c>
      <c r="M11" s="29" t="inlineStr">
        <is>
          <t>Medium</t>
        </is>
      </c>
      <c r="N11" s="28" t="inlineStr">
        <is>
          <t>Related to Storage Information (Section 3), Google Drive Integration (Section 7)</t>
        </is>
      </c>
    </row>
    <row r="12" ht="105" customHeight="1">
      <c r="A12" s="21" t="inlineStr">
        <is>
          <t>TC-M08-011</t>
        </is>
      </c>
      <c r="B12" s="21" t="inlineStr">
        <is>
          <t>Module 08 – Profile Photo Management</t>
        </is>
      </c>
      <c r="C12" s="22" t="inlineStr">
        <is>
          <t>M08-F01</t>
        </is>
      </c>
      <c r="D12" s="23" t="inlineStr">
        <is>
          <t>Photo Upload</t>
        </is>
      </c>
      <c r="E12" s="23" t="inlineStr">
        <is>
          <t>Verify quyen access tep tin (File Permission) tren Google Drive</t>
        </is>
      </c>
      <c r="F12" s="23" t="inlineStr">
        <is>
          <t>Dam bao tep tin photo tai len duoc cau hinh quyen chia se cong khai o che do chi xem de system display duoc.</t>
        </is>
      </c>
      <c r="G12" s="23" t="inlineStr">
        <is>
          <t>Nguoi dung log in quyen Staff.
Tai photo len cho student PNV26001 successfully.</t>
        </is>
      </c>
      <c r="H12" s="23" t="inlineStr">
        <is>
          <t>StudentCode=PNV26001</t>
        </is>
      </c>
      <c r="I12" s="23" t="inlineStr">
        <is>
          <t>1. Mo account Google Drive quan tri, tim file photo cua student PNV26001 vua tai len.
2. Nhap chuot phai select "Chia se" (Share) -&gt; "Nhan lien ket" (Get link).
3. Verify cai dat quyen access chung.</t>
        </is>
      </c>
      <c r="J12" s="23" t="inlineStr">
        <is>
          <t>Quyen access chung cua file duoc thiet lap la "Bat ky ai co lien ket nay" (Anyone with the link) va vai tro duoc gan la "Nguoi xem" (Viewer / View only).</t>
        </is>
      </c>
      <c r="K12" s="23" t="inlineStr"/>
      <c r="L12" s="24" t="inlineStr">
        <is>
          <t>Not Run</t>
        </is>
      </c>
      <c r="M12" s="25" t="inlineStr">
        <is>
          <t>High</t>
        </is>
      </c>
      <c r="N12" s="23" t="inlineStr">
        <is>
          <t>Related to Storage Information (Section 3), Google Drive Integration (Section 7)</t>
        </is>
      </c>
    </row>
    <row r="13" ht="90" customHeight="1">
      <c r="A13" s="26" t="inlineStr">
        <is>
          <t>TC-M08-012</t>
        </is>
      </c>
      <c r="B13" s="26" t="inlineStr">
        <is>
          <t>Module 08 – Profile Photo Management</t>
        </is>
      </c>
      <c r="C13" s="27" t="inlineStr">
        <is>
          <t>M08-F01</t>
        </is>
      </c>
      <c r="D13" s="28" t="inlineStr">
        <is>
          <t>Photo Upload</t>
        </is>
      </c>
      <c r="E13" s="28" t="inlineStr">
        <is>
          <t>Upload photo co size lon</t>
        </is>
      </c>
      <c r="F13" s="28" t="inlineStr">
        <is>
          <t>Verify phan hoi cua system khi co gang tai len mot hinh photo co kich thuoc tep tin lon.</t>
        </is>
      </c>
      <c r="G13" s="28" t="inlineStr">
        <is>
          <t>Nguoi dung log in quyen Staff.
Dang mo interface tai profile photo.</t>
        </is>
      </c>
      <c r="H13" s="28" t="inlineStr">
        <is>
          <t>StudentCode=PNV26001; ImageFile=large_photo.jpg (size 15MB)</t>
        </is>
      </c>
      <c r="I13" s="28" t="inlineStr">
        <is>
          <t>1. Upload tep tin large_photo.jpg size 15MB.
2. Nhan nut "Save" (Save).</t>
        </is>
      </c>
      <c r="J13" s="28" t="inlineStr">
        <is>
          <t>System tai len successfully neu khong cau hinh gioi han kich thuoc, HOAC neu system co gioi han size: display notification error requires photo nho hon muc quy dinh (e.g.: "File size exceeds limit") va ngan khong cho tai len.</t>
        </is>
      </c>
      <c r="K13" s="28" t="inlineStr"/>
      <c r="L13" s="24" t="inlineStr">
        <is>
          <t>Not Run</t>
        </is>
      </c>
      <c r="M13" s="29" t="inlineStr">
        <is>
          <t>Medium</t>
        </is>
      </c>
      <c r="N13" s="28" t="inlineStr">
        <is>
          <t>Related to Test Data Preparation (Section 11 - Large image)</t>
        </is>
      </c>
    </row>
    <row r="14" ht="60" customHeight="1">
      <c r="A14" s="21" t="inlineStr">
        <is>
          <t>TC-M08-013</t>
        </is>
      </c>
      <c r="B14" s="21" t="inlineStr">
        <is>
          <t>Module 08 – Profile Photo Management</t>
        </is>
      </c>
      <c r="C14" s="22" t="inlineStr">
        <is>
          <t>M08-F01</t>
        </is>
      </c>
      <c r="D14" s="23" t="inlineStr">
        <is>
          <t>Photo Upload</t>
        </is>
      </c>
      <c r="E14" s="23" t="inlineStr">
        <is>
          <t>Upload hinh photo co phan mo rong viet hoa (.JPG / .PNG)</t>
        </is>
      </c>
      <c r="F14" s="23" t="inlineStr">
        <is>
          <t>Verify system nhan dien va chap nhan cac duoi mo rong viet hoa nhu .JPG, .PNG ma khong bao error format.</t>
        </is>
      </c>
      <c r="G14" s="23" t="inlineStr">
        <is>
          <t>Nguoi dung log in quyen Staff.
Dang mo interface tai profile photo.</t>
        </is>
      </c>
      <c r="H14" s="23" t="inlineStr">
        <is>
          <t>StudentCode=PNV26001; ImageFile=avatar.JPG</t>
        </is>
      </c>
      <c r="I14" s="23" t="inlineStr">
        <is>
          <t>1. Upload tep tin avatar.JPG (duoi JPG viet hoa).
2. Nhan nut "Save" (Save).</t>
        </is>
      </c>
      <c r="J14" s="23" t="inlineStr">
        <is>
          <t>System nhan dien .JPG la format hinh photo hop le.
Tai photo successfully, cap nhat thong tin student binh thuong.</t>
        </is>
      </c>
      <c r="K14" s="23" t="inlineStr"/>
      <c r="L14" s="24" t="inlineStr">
        <is>
          <t>Not Run</t>
        </is>
      </c>
      <c r="M14" s="29" t="inlineStr">
        <is>
          <t>Medium</t>
        </is>
      </c>
      <c r="N14" s="23" t="inlineStr">
        <is>
          <t>Related to Validation Rules (Section 8 - Image File)</t>
        </is>
      </c>
    </row>
    <row r="15" ht="120" customHeight="1">
      <c r="A15" s="26" t="inlineStr">
        <is>
          <t>TC-M08-014</t>
        </is>
      </c>
      <c r="B15" s="26" t="inlineStr">
        <is>
          <t>Module 08 – Profile Photo Management</t>
        </is>
      </c>
      <c r="C15" s="27" t="inlineStr">
        <is>
          <t>M08-F01</t>
        </is>
      </c>
      <c r="D15" s="28" t="inlineStr">
        <is>
          <t>Photo Upload</t>
        </is>
      </c>
      <c r="E15" s="28" t="inlineStr">
        <is>
          <t>Upload failed do error ket noi Google Drive</t>
        </is>
      </c>
      <c r="F15" s="28" t="inlineStr">
        <is>
          <t>Verify system khong save link photo error va giu nguyen thong tin student neu qua trinh tai len Google Drive failed.</t>
        </is>
      </c>
      <c r="G15" s="28" t="inlineStr">
        <is>
          <t>User is logged in as Staff.
Hoc sinh PNV26003 chua co profile photo.
Duong truyen Google Drive bi ngat ket noi hoac error dich vu trong luc tai.</t>
        </is>
      </c>
      <c r="H15" s="28" t="inlineStr">
        <is>
          <t>StudentCode=PNV26003; ImageFile=student_avatar3.jpg</t>
        </is>
      </c>
      <c r="I15" s="28" t="inlineStr">
        <is>
          <t>1. Select student PNV26003 va mo trang Chi tiet Hoc sinh.
2. Select tai len file student_avatar3.jpg.
3. Nhan "Save" (Save).
4. Observe notification error va kiem tra thong tin student.</t>
        </is>
      </c>
      <c r="J15" s="28" t="inlineStr">
        <is>
          <t>System display notification error tai len (e.g.: "Upload failed" hoac "Google Drive unavailable").
Thong tin student khong bi thay doi, khong save duong dan hong (broken link) vao ho so.
Hoc sinh van tiep tuc display avatar mac dinh.</t>
        </is>
      </c>
      <c r="K15" s="28" t="inlineStr"/>
      <c r="L15" s="24" t="inlineStr">
        <is>
          <t>Not Run</t>
        </is>
      </c>
      <c r="M15" s="25" t="inlineStr">
        <is>
          <t>High</t>
        </is>
      </c>
      <c r="N15" s="28" t="inlineStr">
        <is>
          <t>Related to Rule 5.5, Error Handling (Section 9)</t>
        </is>
      </c>
    </row>
    <row r="16" ht="90" customHeight="1">
      <c r="A16" s="21" t="inlineStr">
        <is>
          <t>TC-M08-015</t>
        </is>
      </c>
      <c r="B16" s="21" t="inlineStr">
        <is>
          <t>Module 08 – Profile Photo Management</t>
        </is>
      </c>
      <c r="C16" s="22" t="inlineStr">
        <is>
          <t>M08-F01</t>
        </is>
      </c>
      <c r="D16" s="23" t="inlineStr">
        <is>
          <t>Photo Upload</t>
        </is>
      </c>
      <c r="E16" s="23" t="inlineStr">
        <is>
          <t>Upload failed do thu muc Google Drive chua cau hinh</t>
        </is>
      </c>
      <c r="F16" s="23" t="inlineStr">
        <is>
          <t>Verify hanh vi cua system khi co gang tai photo len trong khi thu muc Google Drive chua duoc thiet lap.</t>
        </is>
      </c>
      <c r="G16" s="23" t="inlineStr">
        <is>
          <t>Nguoi dung log in quyen Staff.
Thu muc archive Google Drive chua duoc cau hinh trong system.</t>
        </is>
      </c>
      <c r="H16" s="23" t="inlineStr">
        <is>
          <t>StudentCode=PNV26001; ImageFile=student_avatar.jpg</t>
        </is>
      </c>
      <c r="I16" s="23" t="inlineStr">
        <is>
          <t>1. Mo trang Chi tiet Hoc sinh PNV26001.
2. Select tai len file student_avatar.jpg.
3. Nhan nut "Save" (Save).</t>
        </is>
      </c>
      <c r="J16" s="23" t="inlineStr">
        <is>
          <t>System display notification error cau hinh (e.g.: "Google Drive folder not configured or unavailable" hoac "Upload error").
Qua trinh tai len bi huy bo, thong tin student khong bi thay doi.</t>
        </is>
      </c>
      <c r="K16" s="23" t="inlineStr"/>
      <c r="L16" s="24" t="inlineStr">
        <is>
          <t>Not Run</t>
        </is>
      </c>
      <c r="M16" s="29" t="inlineStr">
        <is>
          <t>Medium</t>
        </is>
      </c>
      <c r="N16" s="23" t="inlineStr">
        <is>
          <t>Related to Error Handling (Section 9)</t>
        </is>
      </c>
    </row>
    <row r="17" ht="90" customHeight="1">
      <c r="A17" s="26" t="inlineStr">
        <is>
          <t>TC-M08-016</t>
        </is>
      </c>
      <c r="B17" s="26" t="inlineStr">
        <is>
          <t>Module 08 – Profile Photo Management</t>
        </is>
      </c>
      <c r="C17" s="27" t="inlineStr">
        <is>
          <t>M08-F04</t>
        </is>
      </c>
      <c r="D17" s="28" t="inlineStr">
        <is>
          <t>Fallback Avatar</t>
        </is>
      </c>
      <c r="E17" s="28" t="inlineStr">
        <is>
          <t>Hien thi avatar mac dinh khi URL photo bi error (HTTP 404)</t>
        </is>
      </c>
      <c r="F17" s="28" t="inlineStr">
        <is>
          <t>Verify system tu dong phat hien URL photo bi hong va chuyen sang display avatar mac dinh.</t>
        </is>
      </c>
      <c r="G17" s="28" t="inlineStr">
        <is>
          <t>Hoc sinh "Le Thi B" co URL photo trong ho so student, nhung file goc tren Google Drive da bi delete hoac khong access duoc (error 404).</t>
        </is>
      </c>
      <c r="H17" s="28" t="inlineStr">
        <is>
          <t>StudentName="Le Thi B"</t>
        </is>
      </c>
      <c r="I17" s="28" t="inlineStr">
        <is>
          <t>1. Log in system bang quyen Staff.
2. Truy cap danh sach student hoac chi tiet student "Le Thi B".
3. Observe profile photo display.</t>
        </is>
      </c>
      <c r="J17" s="28" t="inlineStr">
        <is>
          <t>System phat hien khong tai duoc photo tu URL cu, tu dong display avatar mac format hinh tron chua hai initials la "LB" ma khong can bat ky can thiep thu cong nao tu user.</t>
        </is>
      </c>
      <c r="K17" s="28" t="inlineStr"/>
      <c r="L17" s="24" t="inlineStr">
        <is>
          <t>Not Run</t>
        </is>
      </c>
      <c r="M17" s="25" t="inlineStr">
        <is>
          <t>High</t>
        </is>
      </c>
      <c r="N17" s="28" t="inlineStr">
        <is>
          <t>Related to M08-F04, Rule 5.6, Error Handling (Section 9)</t>
        </is>
      </c>
    </row>
    <row r="18" ht="135" customHeight="1">
      <c r="A18" s="21" t="inlineStr">
        <is>
          <t>TC-M08-017</t>
        </is>
      </c>
      <c r="B18" s="21" t="inlineStr">
        <is>
          <t>Module 08 – Profile Photo Management</t>
        </is>
      </c>
      <c r="C18" s="22" t="inlineStr">
        <is>
          <t>M08-F05</t>
        </is>
      </c>
      <c r="D18" s="23" t="inlineStr">
        <is>
          <t>Restricted Access</t>
        </is>
      </c>
      <c r="E18" s="23" t="inlineStr">
        <is>
          <t>Verify quyen han cua Student for profile photo</t>
        </is>
      </c>
      <c r="F18" s="23" t="inlineStr">
        <is>
          <t>Verify account Student chi co quyen xem profile photo cua minh va khong co quyen tai len, edit hoac delete photo.</t>
        </is>
      </c>
      <c r="G18" s="23" t="inlineStr">
        <is>
          <t>Nguoi dung log in voi quyen Student (email domain @student.passerellesnumeriques.org).</t>
        </is>
      </c>
      <c r="H18" s="23" t="inlineStr">
        <is>
          <t>StudentAccount=student01@student.passerellesnumeriques.org</t>
        </is>
      </c>
      <c r="I18" s="23" t="inlineStr">
        <is>
          <t>1. Log in vao Student Portal.
2. Truy cap trang thong tin personal.
3. Verify su ton tai cua cac nut "Tai photo len" (Upload), "Thay the" (Replace) hoac "Delete photo" (Remove).
4. Thu tim cach tuong tac edit profile photo.</t>
        </is>
      </c>
      <c r="J18" s="23" t="inlineStr">
        <is>
          <t>Hoc sinh can nhin thay profile photo cua minh display o goc man hinh hoac trang thong tin.
Khong co nut hoac tuy select nao de tai len, replace hoac delete photo tren interface.
Status access hoan toan la Chi xem (Read-only).</t>
        </is>
      </c>
      <c r="K18" s="23" t="inlineStr"/>
      <c r="L18" s="24" t="inlineStr">
        <is>
          <t>Not Run</t>
        </is>
      </c>
      <c r="M18" s="25" t="inlineStr">
        <is>
          <t>High</t>
        </is>
      </c>
      <c r="N18" s="23" t="inlineStr">
        <is>
          <t>Related to M08-F05, Rule 5.1</t>
        </is>
      </c>
    </row>
    <row r="19" ht="75" customHeight="1">
      <c r="A19" s="26" t="inlineStr">
        <is>
          <t>TC-M08-018</t>
        </is>
      </c>
      <c r="B19" s="26" t="inlineStr">
        <is>
          <t>Module 08 – Profile Photo Management</t>
        </is>
      </c>
      <c r="C19" s="27" t="inlineStr">
        <is>
          <t>M08-F05</t>
        </is>
      </c>
      <c r="D19" s="28" t="inlineStr">
        <is>
          <t>Restricted Access</t>
        </is>
      </c>
      <c r="E19" s="28" t="inlineStr">
        <is>
          <t>Verify chan goi truc tiep API upload tu account Student</t>
        </is>
      </c>
      <c r="F19" s="28" t="inlineStr">
        <is>
          <t>Verify co che bao mat phia backend denies requires upload/replace/delete profile photo gui tu account Student.</t>
        </is>
      </c>
      <c r="G19" s="28" t="inlineStr">
        <is>
          <t>Nguoi dung log in quyen Student.
Su dung DevTools hoac cong cu ben Tuesday gui request truc tiep den ham upload/replace/remove photo cua backend.</t>
        </is>
      </c>
      <c r="H19" s="28" t="inlineStr">
        <is>
          <t>StudentAccount=student01@student.passerellesnumeriques.org</t>
        </is>
      </c>
      <c r="I19" s="28" t="inlineStr">
        <is>
          <t>1. Thuc hien gui request truc tiep den API upload/replace/remove photo su dung token/session cua Student.
2. Observe phan hoi tra ve tu backend.</t>
        </is>
      </c>
      <c r="J19" s="28" t="inlineStr">
        <is>
          <t>Backend denies requires, tra ve ma error denies quyen access (Access Denied / Unauthorized).
Thong tin profile photo student khong bi photo huong.</t>
        </is>
      </c>
      <c r="K19" s="28" t="inlineStr"/>
      <c r="L19" s="24" t="inlineStr">
        <is>
          <t>Not Run</t>
        </is>
      </c>
      <c r="M19" s="25" t="inlineStr">
        <is>
          <t>High</t>
        </is>
      </c>
      <c r="N19" s="28" t="inlineStr">
        <is>
          <t>Related to Rule 5.1, Error Handling (Section 9)</t>
        </is>
      </c>
    </row>
    <row r="20" ht="75" customHeight="1">
      <c r="A20" s="21" t="inlineStr">
        <is>
          <t>TC-M08-019</t>
        </is>
      </c>
      <c r="B20" s="21" t="inlineStr">
        <is>
          <t>Module 08 – Profile Photo Management</t>
        </is>
      </c>
      <c r="C20" s="22" t="inlineStr">
        <is>
          <t>M08-F05</t>
        </is>
      </c>
      <c r="D20" s="23" t="inlineStr">
        <is>
          <t>Restricted Access</t>
        </is>
      </c>
      <c r="E20" s="23" t="inlineStr">
        <is>
          <t>Tu choi access for account external organization</t>
        </is>
      </c>
      <c r="F20" s="23" t="inlineStr">
        <is>
          <t>Dam bao user voi email khong thuoc organization (e.g.: @gmail.com) cannot access system va xem profile photo.</t>
        </is>
      </c>
      <c r="G20" s="23" t="inlineStr">
        <is>
          <t>Nguoi dung su dung account email personal not domain @passerellesnumeriques.org hay @student.passerellesnumeriques.org.</t>
        </is>
      </c>
      <c r="H20" s="23" t="inlineStr">
        <is>
          <t>UserEmail=guest_user@gmail.com</t>
        </is>
      </c>
      <c r="I20" s="23" t="inlineStr">
        <is>
          <t>1. Mo trinh duyet an danh.
2. Truy cap URL cua system.
3. Log in bang account guest_user@gmail.com.</t>
        </is>
      </c>
      <c r="J20" s="23" t="inlineStr">
        <is>
          <t>System denies log in va redirect user den trang "Access Denied" (Tu choi access).
Khong xem duoc bat cu thong tin student nao bao gom ca profile photo.</t>
        </is>
      </c>
      <c r="K20" s="23" t="inlineStr"/>
      <c r="L20" s="24" t="inlineStr">
        <is>
          <t>Not Run</t>
        </is>
      </c>
      <c r="M20" s="25" t="inlineStr">
        <is>
          <t>High</t>
        </is>
      </c>
      <c r="N20" s="23" t="inlineStr">
        <is>
          <t>Related to Docs - Section 4 (User Roles) &amp; Section 6 (Authentication Flow)</t>
        </is>
      </c>
    </row>
    <row r="21" ht="120" customHeight="1">
      <c r="A21" s="26" t="inlineStr">
        <is>
          <t>TC-M08-020</t>
        </is>
      </c>
      <c r="B21" s="26" t="inlineStr">
        <is>
          <t>Module 08 – Profile Photo Management</t>
        </is>
      </c>
      <c r="C21" s="27" t="inlineStr">
        <is>
          <t>M08-F01</t>
        </is>
      </c>
      <c r="D21" s="28" t="inlineStr">
        <is>
          <t>Photo Upload</t>
        </is>
      </c>
      <c r="E21" s="28" t="inlineStr">
        <is>
          <t>Verify khong tich hop tinh nang edit/cat photo</t>
        </is>
      </c>
      <c r="F21" s="28" t="inlineStr">
        <is>
          <t>Verify system khong tich hop cac chuc nang edit photo, cat photo hoac xem lich su cac old profile photo.</t>
        </is>
      </c>
      <c r="G21" s="28" t="inlineStr">
        <is>
          <t>Nguoi dung log in quyen Staff.
Dang trong tien trinh select va chuan bi tai photo len.</t>
        </is>
      </c>
      <c r="H21" s="28" t="inlineStr">
        <is>
          <t>StudentCode=PNV26001; ImageFile=avatar.jpg</t>
        </is>
      </c>
      <c r="I21" s="28" t="inlineStr">
        <is>
          <t>1. Select tai len file avatar.jpg.
2. Observe cac nut va tuy select thao tac display tren interface xem truoc photo.
3. Verify whether co chuc nang xoay, cat (crop) hoac xem danh sach old photo da tai len khong.</t>
        </is>
      </c>
      <c r="J21" s="28" t="inlineStr">
        <is>
          <t>Interface chi display preview photo don gian de user kiem tra truc quan.
Khong co cong cu edit, cat ghep hoac xem lai phien ban old photo nao tren system.</t>
        </is>
      </c>
      <c r="K21" s="28" t="inlineStr"/>
      <c r="L21" s="24" t="inlineStr">
        <is>
          <t>Not Run</t>
        </is>
      </c>
      <c r="M21" s="30" t="inlineStr">
        <is>
          <t>Low</t>
        </is>
      </c>
      <c r="N21" s="28" t="inlineStr">
        <is>
          <t>Related to Out of Scope (Section 13)</t>
        </is>
      </c>
    </row>
  </sheetData>
  <autoFilter ref="A1:N21"/>
  <dataValidations count="2">
    <dataValidation sqref="L2:L121" showDropDown="0" showInputMessage="0" showErrorMessage="0" allowBlank="1" errorTitle="Invalid Status" error="Please select a valid state: Passed, Failed, or Not Run" type="list">
      <formula1>"Passed,Failed,Not Run"</formula1>
    </dataValidation>
    <dataValidation sqref="M2:M12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35" customHeight="1">
      <c r="A2" s="21" t="inlineStr">
        <is>
          <t>TC-M09-001</t>
        </is>
      </c>
      <c r="B2" s="21" t="inlineStr">
        <is>
          <t>Module 09 – Student Portal</t>
        </is>
      </c>
      <c r="C2" s="22" t="inlineStr">
        <is>
          <t>M09-F01</t>
        </is>
      </c>
      <c r="D2" s="23" t="inlineStr">
        <is>
          <t>Role-based Auto-login</t>
        </is>
      </c>
      <c r="E2" s="23" t="inlineStr">
        <is>
          <t>Log in with a valid Student account</t>
        </is>
      </c>
      <c r="F2" s="23" t="inlineStr">
        <is>
          <t>Verify student co email thuoc domain @student.passerellesnumeriques.org log in successfully vao Student Portal qua Google OAuth.</t>
        </is>
      </c>
      <c r="G2" s="23" t="inlineStr">
        <is>
          <t>Nguoi dung chua log in system. Trinh duyet da ket noi internet va ho tro Google OAuth.</t>
        </is>
      </c>
      <c r="H2" s="23" t="inlineStr">
        <is>
          <t>UserEmail=student01@student.passerellesnumeriques.org; Role=Student</t>
        </is>
      </c>
      <c r="I2" s="23" t="inlineStr">
        <is>
          <t>1. Truy cap URL cua system.
2. Tai man hinh log in Google OAuth, enter account student01@student.passerellesnumeriques.org.
3. Enter mat khau hop le va dong y cap quyen neu co.
4. Observe trang web sau khi redirect.</t>
        </is>
      </c>
      <c r="J2" s="23" t="inlineStr">
        <is>
          <t>Log in successfully. Interface tu dong redirect den Student Portal (mac dinh mo tab Academic).
Thong tin cua student display chinh xac bao gom Ho ten, Ma student o goc man hinh.
Du lieu grade hoc tap cua chinh student nay duoc tai len successfully.</t>
        </is>
      </c>
      <c r="K2" s="23" t="inlineStr"/>
      <c r="L2" s="24" t="inlineStr">
        <is>
          <t>Not Run</t>
        </is>
      </c>
      <c r="M2" s="25" t="inlineStr">
        <is>
          <t>High</t>
        </is>
      </c>
      <c r="N2" s="23" t="inlineStr">
        <is>
          <t>Related to M09-F01, M09-F07, Rule 7.1, Rule 7.9</t>
        </is>
      </c>
    </row>
    <row r="3" ht="105" customHeight="1">
      <c r="A3" s="26" t="inlineStr">
        <is>
          <t>TC-M09-002</t>
        </is>
      </c>
      <c r="B3" s="26" t="inlineStr">
        <is>
          <t>Module 09 – Student Portal</t>
        </is>
      </c>
      <c r="C3" s="27" t="inlineStr">
        <is>
          <t>M09-F01</t>
        </is>
      </c>
      <c r="D3" s="28" t="inlineStr">
        <is>
          <t>Role-based Auto-login</t>
        </is>
      </c>
      <c r="E3" s="28" t="inlineStr">
        <is>
          <t>Log in with an organization Staff account</t>
        </is>
      </c>
      <c r="F3" s="28" t="inlineStr">
        <is>
          <t>Verify account Staff khi log in qua Google OAuth se duoc tu dong nhan dien domain va redirect den Staff Portal thay vi Student Portal.</t>
        </is>
      </c>
      <c r="G3" s="28" t="inlineStr">
        <is>
          <t>Nguoi dung chua log in system.</t>
        </is>
      </c>
      <c r="H3" s="28" t="inlineStr">
        <is>
          <t>UserEmail=staff_user@passerellesnumeriques.org; Role=Staff</t>
        </is>
      </c>
      <c r="I3" s="28" t="inlineStr">
        <is>
          <t>1. Truy cap URL cua system.
2. Thuc hien log in qua Google OAuth bang account staff_user@passerellesnumeriques.org.
3. Observe interface sau khi log in successfully.</t>
        </is>
      </c>
      <c r="J3" s="28" t="inlineStr">
        <is>
          <t>Log in successfully.
System tu dong nhan dien email thuoc domain @passerellesnumeriques.org.
Chuyen huong user sang Staff Portal voi day du tinh nang quan tri. Khong display interface Student Portal.</t>
        </is>
      </c>
      <c r="K3" s="28" t="inlineStr"/>
      <c r="L3" s="24" t="inlineStr">
        <is>
          <t>Not Run</t>
        </is>
      </c>
      <c r="M3" s="25" t="inlineStr">
        <is>
          <t>High</t>
        </is>
      </c>
      <c r="N3" s="28" t="inlineStr">
        <is>
          <t>Related to M09-F01, Rule 7.1, Docs - Section 6</t>
        </is>
      </c>
    </row>
    <row r="4" ht="105" customHeight="1">
      <c r="A4" s="21" t="inlineStr">
        <is>
          <t>TC-M09-003</t>
        </is>
      </c>
      <c r="B4" s="21" t="inlineStr">
        <is>
          <t>Module 09 – Student Portal</t>
        </is>
      </c>
      <c r="C4" s="22" t="inlineStr">
        <is>
          <t>M09-F01</t>
        </is>
      </c>
      <c r="D4" s="23" t="inlineStr">
        <is>
          <t>Role-based Auto-login</t>
        </is>
      </c>
      <c r="E4" s="23" t="inlineStr">
        <is>
          <t>Log in with an external personal account</t>
        </is>
      </c>
      <c r="F4" s="23" t="inlineStr">
        <is>
          <t>Verify account email khong thuoc cac domain cua organization (e.g. @gmail.com) bi system chan access.</t>
        </is>
      </c>
      <c r="G4" s="23" t="inlineStr">
        <is>
          <t>Nguoi dung chua log in system.</t>
        </is>
      </c>
      <c r="H4" s="23" t="inlineStr">
        <is>
          <t>UserEmail=guest_user@gmail.com; Role=Guest</t>
        </is>
      </c>
      <c r="I4" s="23" t="inlineStr">
        <is>
          <t>1. Truy cap URL cua system.
2. Thuc hien log in qua Google OAuth bang account guest_user@gmail.com.
3. Observe phan hoi cua system.</t>
        </is>
      </c>
      <c r="J4" s="23" t="inlineStr">
        <is>
          <t>Log in failed.
System denies quyen access cua email domain @gmail.com.
Chuyen huong user sang trang bao error "Access Denied" (Tu choi access). Khong tai bat ky du lieu nao cua system.</t>
        </is>
      </c>
      <c r="K4" s="23" t="inlineStr"/>
      <c r="L4" s="24" t="inlineStr">
        <is>
          <t>Not Run</t>
        </is>
      </c>
      <c r="M4" s="25" t="inlineStr">
        <is>
          <t>High</t>
        </is>
      </c>
      <c r="N4" s="23" t="inlineStr">
        <is>
          <t>Related to M09-F01, Rule 7.1, Error Handling (Section 9)</t>
        </is>
      </c>
    </row>
    <row r="5" ht="105" customHeight="1">
      <c r="A5" s="26" t="inlineStr">
        <is>
          <t>TC-M09-004</t>
        </is>
      </c>
      <c r="B5" s="26" t="inlineStr">
        <is>
          <t>Module 09 – Student Portal</t>
        </is>
      </c>
      <c r="C5" s="27" t="inlineStr">
        <is>
          <t>M09-F01</t>
        </is>
      </c>
      <c r="D5" s="28" t="inlineStr">
        <is>
          <t>Role-based Auto-login</t>
        </is>
      </c>
      <c r="E5" s="28" t="inlineStr">
        <is>
          <t>Log in with valid student email but without academic records in system</t>
        </is>
      </c>
      <c r="F5" s="28" t="inlineStr">
        <is>
          <t>Verify system khong bi error crash va display thong diep phu hop khi email student thuoc domain hop le nhung khong nam trong danh sach du lieu student.</t>
        </is>
      </c>
      <c r="G5" s="28" t="inlineStr">
        <is>
          <t>Nguoi dung chua log in system. Tai khoan Google student ton tai nhung email nay chua duoc cau hinh trong Sheet danh sach student.</t>
        </is>
      </c>
      <c r="H5" s="28" t="inlineStr">
        <is>
          <t>UserEmail=new_student@student.passerellesnumeriques.org</t>
        </is>
      </c>
      <c r="I5" s="28" t="inlineStr">
        <is>
          <t>1. Truy cap URL cua system.
2. Thuc hien log in qua Google OAuth bang account new_student@student.passerellesnumeriques.org.
3. Observe interface sau khi redirect successfully.</t>
        </is>
      </c>
      <c r="J5" s="28" t="inlineStr">
        <is>
          <t>Log in successfully vao Student Portal.
System khong bi error crash/trang man hinh.
Hien thi notification ro rang cho user: "No academic records found." (Khong tim thay du lieu hoc tap).</t>
        </is>
      </c>
      <c r="K5" s="28" t="inlineStr"/>
      <c r="L5" s="24" t="inlineStr">
        <is>
          <t>Not Run</t>
        </is>
      </c>
      <c r="M5" s="25" t="inlineStr">
        <is>
          <t>High</t>
        </is>
      </c>
      <c r="N5" s="28" t="inlineStr">
        <is>
          <t>Related to M09-F01, M09-F07, Error Handling (Section 9)</t>
        </is>
      </c>
    </row>
    <row r="6" ht="180" customHeight="1">
      <c r="A6" s="21" t="inlineStr">
        <is>
          <t>TC-M09-005</t>
        </is>
      </c>
      <c r="B6" s="21" t="inlineStr">
        <is>
          <t>Module 09 – Student Portal</t>
        </is>
      </c>
      <c r="C6" s="22" t="inlineStr">
        <is>
          <t>M09-F02</t>
        </is>
      </c>
      <c r="D6" s="23" t="inlineStr">
        <is>
          <t>Read-only Academic View</t>
        </is>
      </c>
      <c r="E6" s="23" t="inlineStr">
        <is>
          <t>Switching between semesters (Semester Selector)</t>
        </is>
      </c>
      <c r="F6" s="23" t="inlineStr">
        <is>
          <t>Verify tinh nang switching semester display dung du lieu grade cua semester duoc select.</t>
        </is>
      </c>
      <c r="G6" s="23" t="inlineStr">
        <is>
          <t>Hoc sinh da log in successfully vao Student Portal.
Hoc sinh nay da co du lieu grade o nhieu semester (e.g.: Semester 1 va Semester 2).</t>
        </is>
      </c>
      <c r="H6" s="23" t="inlineStr">
        <is>
          <t>StudentCode=PNV26001; TargetSemester=Semester 2</t>
        </is>
      </c>
      <c r="I6" s="23" t="inlineStr">
        <is>
          <t>1. Tai interface Student Portal, dinh vi bo select semester (Semester Selector).
2. Nhap vao danh sach tha xuong va select "Semester 2" (Semester 2).
3. Observe danh sach course va grades display.
4. Nhap select lai "Semester 1" (Semester 1).
5. Observe danh sach course va grades display.</t>
        </is>
      </c>
      <c r="J6" s="23" t="inlineStr">
        <is>
          <t>Bang grade cap nhat nhanh chong va chinh xac theo semester duoc select.
Khi select "Semester 2", system chi tai cac course va grades thuoc Semester 2.
Khi select "Semester 1", system chi tai cac course va grades thuoc Semester 1.</t>
        </is>
      </c>
      <c r="K6" s="23" t="inlineStr"/>
      <c r="L6" s="24" t="inlineStr">
        <is>
          <t>Not Run</t>
        </is>
      </c>
      <c r="M6" s="25" t="inlineStr">
        <is>
          <t>High</t>
        </is>
      </c>
      <c r="N6" s="23" t="inlineStr">
        <is>
          <t>Related to M09-F02, Rule 7.2</t>
        </is>
      </c>
    </row>
    <row r="7" ht="150" customHeight="1">
      <c r="A7" s="26" t="inlineStr">
        <is>
          <t>TC-M09-006</t>
        </is>
      </c>
      <c r="B7" s="26" t="inlineStr">
        <is>
          <t>Module 09 – Student Portal</t>
        </is>
      </c>
      <c r="C7" s="27" t="inlineStr">
        <is>
          <t>M09-F02</t>
        </is>
      </c>
      <c r="D7" s="28" t="inlineStr">
        <is>
          <t>Read-only Academic View</t>
        </is>
      </c>
      <c r="E7" s="28" t="inlineStr">
        <is>
          <t>Verify categorization course theo category (Subject Categories)</t>
        </is>
      </c>
      <c r="F7" s="28" t="inlineStr">
        <is>
          <t>Verify cac course trong semester display dung categorization theo 4 category dao create.</t>
        </is>
      </c>
      <c r="G7" s="28" t="inlineStr">
        <is>
          <t>Hoc sinh da log in successfully vao Student Portal.
Semester hien tai co chua cac course thuoc ca 4 category.</t>
        </is>
      </c>
      <c r="H7" s="28" t="inlineStr">
        <is>
          <t>StudentCode=PNV26001; SelectedSemester=Semester 1</t>
        </is>
      </c>
      <c r="I7" s="28" t="inlineStr">
        <is>
          <t>1. Select Semester 1.
2. Observe bo cuc display cua danh sach course.
3. Verify whether cac course co duoc xep duoi cac tieu de group tuong ung hay khong: Fundamental, IT, English, Soft Skills.
4. Doi chieu course cu the (e.g. mon Math phai thuoc Fundamental, Java thuoc IT).</t>
        </is>
      </c>
      <c r="J7" s="28" t="inlineStr">
        <is>
          <t>Cac course duoc categorization chinh xac va display duoi cac tieu de category: Fundamental, IT, English, Soft Skills.
Bo cuc categorization ro rang, de doc, khong co course nao bi xep sai group hoac khong co group.</t>
        </is>
      </c>
      <c r="K7" s="28" t="inlineStr"/>
      <c r="L7" s="24" t="inlineStr">
        <is>
          <t>Not Run</t>
        </is>
      </c>
      <c r="M7" s="29" t="inlineStr">
        <is>
          <t>Medium</t>
        </is>
      </c>
      <c r="N7" s="28" t="inlineStr">
        <is>
          <t>Related to M09-F02, Rule 7.3</t>
        </is>
      </c>
    </row>
    <row r="8" ht="165" customHeight="1">
      <c r="A8" s="21" t="inlineStr">
        <is>
          <t>TC-M09-007</t>
        </is>
      </c>
      <c r="B8" s="21" t="inlineStr">
        <is>
          <t>Module 09 – Student Portal</t>
        </is>
      </c>
      <c r="C8" s="22" t="inlineStr">
        <is>
          <t>M09-F02</t>
        </is>
      </c>
      <c r="D8" s="23" t="inlineStr">
        <is>
          <t>Read-only Academic View</t>
        </is>
      </c>
      <c r="E8" s="23" t="inlineStr">
        <is>
          <t>Verify tinh nang Read-only (Read-only) cua Student Portal</t>
        </is>
      </c>
      <c r="F8" s="23" t="inlineStr">
        <is>
          <t>Verify student hoan toan khong co quyen edit grades hay thuc hien cac tac vu thay doi du lieu tren interface.</t>
        </is>
      </c>
      <c r="G8" s="23" t="inlineStr">
        <is>
          <t>Hoc sinh da log in successfully vao Student Portal va dang o man hinh display grade.</t>
        </is>
      </c>
      <c r="H8" s="23" t="inlineStr">
        <is>
          <t>StudentCode=PNV26001</t>
        </is>
      </c>
      <c r="I8" s="23" t="inlineStr">
        <is>
          <t>1. Observe toan bo interface man hinh Academic.
2. Verify su xuat hien cua cac nut: Edit (Edit), Save (Save), Delete (Delete), Enter grade (Import), Upload (Upload).
3. Thu click chuot vao cac o grades (KT TX, DK1-DK6, TCK, TLCK, Final Score, GPA).
4. Thu go ban phim de thay doi gia tri grade.</t>
        </is>
      </c>
      <c r="J8" s="23" t="inlineStr">
        <is>
          <t>Interface not displayed bat ky nut hoac cong cu nao allows edit, save, delete hoac enter du lieu.
Tat ca grades display as van ban tinh (read-only), cannot click vao de edit hay enter lieu tu ban phim.</t>
        </is>
      </c>
      <c r="K8" s="23" t="inlineStr"/>
      <c r="L8" s="24" t="inlineStr">
        <is>
          <t>Not Run</t>
        </is>
      </c>
      <c r="M8" s="25" t="inlineStr">
        <is>
          <t>High</t>
        </is>
      </c>
      <c r="N8" s="23" t="inlineStr">
        <is>
          <t>Related to M09-F02, Rule 7.4</t>
        </is>
      </c>
    </row>
    <row r="9" ht="90" customHeight="1">
      <c r="A9" s="26" t="inlineStr">
        <is>
          <t>TC-M09-008</t>
        </is>
      </c>
      <c r="B9" s="26" t="inlineStr">
        <is>
          <t>Module 09 – Student Portal</t>
        </is>
      </c>
      <c r="C9" s="27" t="inlineStr">
        <is>
          <t>M09-F03</t>
        </is>
      </c>
      <c r="D9" s="28" t="inlineStr">
        <is>
          <t>Empty Grade Display</t>
        </is>
      </c>
      <c r="E9" s="28" t="inlineStr">
        <is>
          <t>Hien thi grades chua duoc enter (Empty Grades)</t>
        </is>
      </c>
      <c r="F9" s="28" t="inlineStr">
        <is>
          <t>Verify cac o grades chua co du lieu se display ky tu "—" de tranh gay hieu lam cho student.</t>
        </is>
      </c>
      <c r="G9" s="28" t="inlineStr">
        <is>
          <t>Hoc sinh da log in. Hoc sinh nay co mot so cot grade chua duoc giao vien enter (e.g. grade thi lai TLCK hoac grade dinh ky DK3 dang trong tren Sheets).</t>
        </is>
      </c>
      <c r="H9" s="28" t="inlineStr">
        <is>
          <t>StudentCode=PNV26001; Subject=Java Programming; EmptyColumn=TLCK</t>
        </is>
      </c>
      <c r="I9" s="28" t="inlineStr">
        <is>
          <t>1. Truy cap transcript cua semester chua mon Java Programming.
2. Observe display tai cot thi lai "TLCK" va cac o grade trong khac cua course nay.</t>
        </is>
      </c>
      <c r="J9" s="28" t="inlineStr">
        <is>
          <t>System display ky tu "—" (gach quang) tai cac o grade chua duoc enter.
Khong display so "0" hoac "0.0" hoac de khoang trong gay hieu lam, khong xay ra error display hoac error system.</t>
        </is>
      </c>
      <c r="K9" s="28" t="inlineStr"/>
      <c r="L9" s="24" t="inlineStr">
        <is>
          <t>Not Run</t>
        </is>
      </c>
      <c r="M9" s="25" t="inlineStr">
        <is>
          <t>High</t>
        </is>
      </c>
      <c r="N9" s="28" t="inlineStr">
        <is>
          <t>Related to M09-F03, Rule 7.5, Error Handling (Section 9)</t>
        </is>
      </c>
    </row>
    <row r="10" ht="75" customHeight="1">
      <c r="A10" s="21" t="inlineStr">
        <is>
          <t>TC-M09-009</t>
        </is>
      </c>
      <c r="B10" s="21" t="inlineStr">
        <is>
          <t>Module 09 – Student Portal</t>
        </is>
      </c>
      <c r="C10" s="22" t="inlineStr">
        <is>
          <t>M09-F04</t>
        </is>
      </c>
      <c r="D10" s="23" t="inlineStr">
        <is>
          <t>Score Color Coding</t>
        </is>
      </c>
      <c r="E10" s="23" t="inlineStr">
        <is>
          <t>Ma mau grade tong ket (/10) dat loai Gioi (&gt;= 8.0)</t>
        </is>
      </c>
      <c r="F10" s="23" t="inlineStr">
        <is>
          <t>Verify grade tong ket lon hon hoac bang 8.0 display mau Xanh la (Green).</t>
        </is>
      </c>
      <c r="G10" s="23" t="inlineStr">
        <is>
          <t>Hoc sinh da log in va dang xem transcript semester. Mon Math co grade tong ket la 8.0, mon IT Basics co grade tong ket la 9.2.</t>
        </is>
      </c>
      <c r="H10" s="23" t="inlineStr">
        <is>
          <t>StudentCode=PNV26001; Subject1=Math; FinalScore1=8.0; Subject2=IT Basics; FinalScore2=9.2</t>
        </is>
      </c>
      <c r="I10" s="23" t="inlineStr">
        <is>
          <t>1. Tim den cac mon Math va IT Basics tren transcript.
2. Observe mau sac cua grades display tai cot grade tong ket "/10".</t>
        </is>
      </c>
      <c r="J10" s="23" t="inlineStr">
        <is>
          <t>Diem so "8.0" va "9.2" display voi mau xanh la cay (Green) ro rang.</t>
        </is>
      </c>
      <c r="K10" s="23" t="inlineStr"/>
      <c r="L10" s="24" t="inlineStr">
        <is>
          <t>Not Run</t>
        </is>
      </c>
      <c r="M10" s="29" t="inlineStr">
        <is>
          <t>Medium</t>
        </is>
      </c>
      <c r="N10" s="23" t="inlineStr">
        <is>
          <t>Related to M09-F04, Rule 5.5, Rule 7.6</t>
        </is>
      </c>
    </row>
    <row r="11" ht="60" customHeight="1">
      <c r="A11" s="26" t="inlineStr">
        <is>
          <t>TC-M09-010</t>
        </is>
      </c>
      <c r="B11" s="26" t="inlineStr">
        <is>
          <t>Module 09 – Student Portal</t>
        </is>
      </c>
      <c r="C11" s="27" t="inlineStr">
        <is>
          <t>M09-F04</t>
        </is>
      </c>
      <c r="D11" s="28" t="inlineStr">
        <is>
          <t>Score Color Coding</t>
        </is>
      </c>
      <c r="E11" s="28" t="inlineStr">
        <is>
          <t>Ma mau grade tong ket (/10) dat loai Kha/Trung binh (5.5 – 7.9)</t>
        </is>
      </c>
      <c r="F11" s="28" t="inlineStr">
        <is>
          <t>Verify grade tong ket tu 5.5 den 7.9 display mau Cam (Orange).</t>
        </is>
      </c>
      <c r="G11" s="28" t="inlineStr">
        <is>
          <t>Hoc sinh da log in va dang xem transcript semester. Mon English co grade tong ket la 5.5, mon Soft Skills co grade tong ket la 7.9.</t>
        </is>
      </c>
      <c r="H11" s="28" t="inlineStr">
        <is>
          <t>StudentCode=PNV26001; Subject1=English; FinalScore1=5.5; Subject2=Soft Skills; FinalScore2=7.9</t>
        </is>
      </c>
      <c r="I11" s="28" t="inlineStr">
        <is>
          <t>1. Tim mon English va Soft Skills tren transcript.
2. Observe mau sac display cua grades tai cot grade tong ket "/10".</t>
        </is>
      </c>
      <c r="J11" s="28" t="inlineStr">
        <is>
          <t>Diem so "5.5" va "7.9" display voi mau cam (Orange) ro rang.</t>
        </is>
      </c>
      <c r="K11" s="28" t="inlineStr"/>
      <c r="L11" s="24" t="inlineStr">
        <is>
          <t>Not Run</t>
        </is>
      </c>
      <c r="M11" s="29" t="inlineStr">
        <is>
          <t>Medium</t>
        </is>
      </c>
      <c r="N11" s="28" t="inlineStr">
        <is>
          <t>Related to M09-F04, Rule 5.5, Rule 7.6</t>
        </is>
      </c>
    </row>
    <row r="12" ht="75" customHeight="1">
      <c r="A12" s="21" t="inlineStr">
        <is>
          <t>TC-M09-011</t>
        </is>
      </c>
      <c r="B12" s="21" t="inlineStr">
        <is>
          <t>Module 09 – Student Portal</t>
        </is>
      </c>
      <c r="C12" s="22" t="inlineStr">
        <is>
          <t>M09-F04</t>
        </is>
      </c>
      <c r="D12" s="23" t="inlineStr">
        <is>
          <t>Score Color Coding</t>
        </is>
      </c>
      <c r="E12" s="23" t="inlineStr">
        <is>
          <t>Ma mau grade tong ket (/10) loai Yeu (&lt; 5.5)</t>
        </is>
      </c>
      <c r="F12" s="23" t="inlineStr">
        <is>
          <t>Verify grade tong ket nho hon 5.5 display mau Do (Red).</t>
        </is>
      </c>
      <c r="G12" s="23" t="inlineStr">
        <is>
          <t>Hoc sinh da log in va dang xem transcript. Mon Web Development co grade tong ket la 5.4, mon Algorithms co grade tong ket la 4.0.</t>
        </is>
      </c>
      <c r="H12" s="23" t="inlineStr">
        <is>
          <t>StudentCode=PNV26001; Subject1=Web Development; FinalScore1=5.4; Subject2=Algorithms; FinalScore2=4.0</t>
        </is>
      </c>
      <c r="I12" s="23" t="inlineStr">
        <is>
          <t>1. Tim mon Web Development va Algorithms tren transcript.
2. Observe mau sac display cua grades tai cot grade tong ket "/10".</t>
        </is>
      </c>
      <c r="J12" s="23" t="inlineStr">
        <is>
          <t>Diem so "5.4" va "4.0" display voi mau do (Red) ro rang.</t>
        </is>
      </c>
      <c r="K12" s="23" t="inlineStr"/>
      <c r="L12" s="24" t="inlineStr">
        <is>
          <t>Not Run</t>
        </is>
      </c>
      <c r="M12" s="29" t="inlineStr">
        <is>
          <t>Medium</t>
        </is>
      </c>
      <c r="N12" s="23" t="inlineStr">
        <is>
          <t>Related to M09-F04, Rule 5.5, Rule 7.6</t>
        </is>
      </c>
    </row>
    <row r="13" ht="60" customHeight="1">
      <c r="A13" s="26" t="inlineStr">
        <is>
          <t>TC-M09-012</t>
        </is>
      </c>
      <c r="B13" s="26" t="inlineStr">
        <is>
          <t>Module 09 – Student Portal</t>
        </is>
      </c>
      <c r="C13" s="27" t="inlineStr">
        <is>
          <t>M09-F04</t>
        </is>
      </c>
      <c r="D13" s="28" t="inlineStr">
        <is>
          <t>Score Color Coding</t>
        </is>
      </c>
      <c r="E13" s="28" t="inlineStr">
        <is>
          <t>Ma mau grade GPA (/4) dat loai Gioi/Xuat sac (&gt;= 3.5)</t>
        </is>
      </c>
      <c r="F13" s="28" t="inlineStr">
        <is>
          <t>Verify grade trung binh tich luy semester GPA lon hon hoac bang 3.5 display mau Xanh la (Green).</t>
        </is>
      </c>
      <c r="G13" s="28" t="inlineStr">
        <is>
          <t>Hoc sinh da log in. Semester hien tai student dat grade trung binh GPA la 3.5 hoac 3.8.</t>
        </is>
      </c>
      <c r="H13" s="28" t="inlineStr">
        <is>
          <t>StudentCode=PNV26001; GPA=3.5; GPA2=3.8</t>
        </is>
      </c>
      <c r="I13" s="28" t="inlineStr">
        <is>
          <t>1. Observe vung display grade trung binh GPA semester hien tai tren interface.
2. Verify mau sac display cua grade GPA.</t>
        </is>
      </c>
      <c r="J13" s="28" t="inlineStr">
        <is>
          <t>Diem so GPA "3.5" va "3.8" display voi mau xanh la cay (Green).</t>
        </is>
      </c>
      <c r="K13" s="28" t="inlineStr"/>
      <c r="L13" s="24" t="inlineStr">
        <is>
          <t>Not Run</t>
        </is>
      </c>
      <c r="M13" s="29" t="inlineStr">
        <is>
          <t>Medium</t>
        </is>
      </c>
      <c r="N13" s="28" t="inlineStr">
        <is>
          <t>Related to M09-F04, Rule 5.5, Rule 7.6</t>
        </is>
      </c>
    </row>
    <row r="14" ht="60" customHeight="1">
      <c r="A14" s="21" t="inlineStr">
        <is>
          <t>TC-M09-013</t>
        </is>
      </c>
      <c r="B14" s="21" t="inlineStr">
        <is>
          <t>Module 09 – Student Portal</t>
        </is>
      </c>
      <c r="C14" s="22" t="inlineStr">
        <is>
          <t>M09-F04</t>
        </is>
      </c>
      <c r="D14" s="23" t="inlineStr">
        <is>
          <t>Score Color Coding</t>
        </is>
      </c>
      <c r="E14" s="23" t="inlineStr">
        <is>
          <t>Ma mau grade GPA (/4) dat loai Trung binh/Kha (2.0 – 3.4)</t>
        </is>
      </c>
      <c r="F14" s="23" t="inlineStr">
        <is>
          <t>Verify grade trung binh tich luy semester GPA tu 2.0 den 3.4 display mau Cam (Orange).</t>
        </is>
      </c>
      <c r="G14" s="23" t="inlineStr">
        <is>
          <t>Hoc sinh da log in. Semester hien tai student dat GPA la 2.0 hoac 3.1.</t>
        </is>
      </c>
      <c r="H14" s="23" t="inlineStr">
        <is>
          <t>StudentCode=PNV26001; GPA=2.0; GPA2=3.1</t>
        </is>
      </c>
      <c r="I14" s="23" t="inlineStr">
        <is>
          <t>1. Observe khu vuc display grade trung binh GPA tren man hinh.
2. Verify mau sac display cua grade GPA.</t>
        </is>
      </c>
      <c r="J14" s="23" t="inlineStr">
        <is>
          <t>Diem GPA "2.0" va "3.1" display voi mau cam (Orange).</t>
        </is>
      </c>
      <c r="K14" s="23" t="inlineStr"/>
      <c r="L14" s="24" t="inlineStr">
        <is>
          <t>Not Run</t>
        </is>
      </c>
      <c r="M14" s="29" t="inlineStr">
        <is>
          <t>Medium</t>
        </is>
      </c>
      <c r="N14" s="23" t="inlineStr">
        <is>
          <t>Related to M09-F04, Rule 5.5, Rule 7.6</t>
        </is>
      </c>
    </row>
    <row r="15" ht="60" customHeight="1">
      <c r="A15" s="26" t="inlineStr">
        <is>
          <t>TC-M09-014</t>
        </is>
      </c>
      <c r="B15" s="26" t="inlineStr">
        <is>
          <t>Module 09 – Student Portal</t>
        </is>
      </c>
      <c r="C15" s="27" t="inlineStr">
        <is>
          <t>M09-F04</t>
        </is>
      </c>
      <c r="D15" s="28" t="inlineStr">
        <is>
          <t>Score Color Coding</t>
        </is>
      </c>
      <c r="E15" s="28" t="inlineStr">
        <is>
          <t>Ma mau grade GPA (/4) loai Yeu (&lt; 2.0)</t>
        </is>
      </c>
      <c r="F15" s="28" t="inlineStr">
        <is>
          <t>Verify grade trung binh tich luy semester GPA nho hon 2.0 display mau Do (Red).</t>
        </is>
      </c>
      <c r="G15" s="28" t="inlineStr">
        <is>
          <t>Hoc sinh da log in. Semester hien tai student dat GPA la 1.9 hoac 1.2.</t>
        </is>
      </c>
      <c r="H15" s="28" t="inlineStr">
        <is>
          <t>StudentCode=PNV26001; GPA=1.9; GPA2=1.2</t>
        </is>
      </c>
      <c r="I15" s="28" t="inlineStr">
        <is>
          <t>1. Observe khu vuc display grade trung binh GPA tren man hinh.
2. Verify mau sac display cua grade GPA.</t>
        </is>
      </c>
      <c r="J15" s="28" t="inlineStr">
        <is>
          <t>Diem GPA "1.9" va "1.2" display voi mau do (Red).</t>
        </is>
      </c>
      <c r="K15" s="28" t="inlineStr"/>
      <c r="L15" s="24" t="inlineStr">
        <is>
          <t>Not Run</t>
        </is>
      </c>
      <c r="M15" s="29" t="inlineStr">
        <is>
          <t>Medium</t>
        </is>
      </c>
      <c r="N15" s="28" t="inlineStr">
        <is>
          <t>Related to M09-F04, Rule 5.5, Rule 7.6</t>
        </is>
      </c>
    </row>
    <row r="16" ht="75" customHeight="1">
      <c r="A16" s="21" t="inlineStr">
        <is>
          <t>TC-M09-015</t>
        </is>
      </c>
      <c r="B16" s="21" t="inlineStr">
        <is>
          <t>Module 09 – Student Portal</t>
        </is>
      </c>
      <c r="C16" s="22" t="inlineStr">
        <is>
          <t>M09-F05</t>
        </is>
      </c>
      <c r="D16" s="23" t="inlineStr">
        <is>
          <t>Re-study Flag Display</t>
        </is>
      </c>
      <c r="E16" s="23" t="inlineStr">
        <is>
          <t>Hien thi nhan Hoc lai (Re-study) cho course bi danh dau hoc lai</t>
        </is>
      </c>
      <c r="F16" s="23" t="inlineStr">
        <is>
          <t>Verify course bi danh dau hoc lai tren system (Re-study = True) se display nhan cphoto bao mau do.</t>
        </is>
      </c>
      <c r="G16" s="23" t="inlineStr">
        <is>
          <t>Hoc sinh da log in. Mon Database Management cua student nay bi danh dau Re-study = True tren Sheets database. Mon Java Basics co Re-study = False.</t>
        </is>
      </c>
      <c r="H16" s="23" t="inlineStr">
        <is>
          <t>StudentCode=PNV26001; Subject1=Database Management; ReStudy1=True; Subject2=Java Basics; ReStudy2=False</t>
        </is>
      </c>
      <c r="I16" s="23" t="inlineStr">
        <is>
          <t>1. Truy cap transcript semester chua mon Database Management va Java Basics.
2. Verify cot "Re-study" hoac phan nhan ben canh ten moi course.</t>
        </is>
      </c>
      <c r="J16" s="23" t="inlineStr">
        <is>
          <t>Mon Database Management display mot nhan hoac huy hieu "Re-study" mau do noi bat.
Mon Java Basics not displayed bat ky nhan cphoto bao hoc lai nao.</t>
        </is>
      </c>
      <c r="K16" s="23" t="inlineStr"/>
      <c r="L16" s="24" t="inlineStr">
        <is>
          <t>Not Run</t>
        </is>
      </c>
      <c r="M16" s="25" t="inlineStr">
        <is>
          <t>High</t>
        </is>
      </c>
      <c r="N16" s="23" t="inlineStr">
        <is>
          <t>Related to M09-F05, Rule 7.7</t>
        </is>
      </c>
    </row>
    <row r="17" ht="120" customHeight="1">
      <c r="A17" s="26" t="inlineStr">
        <is>
          <t>TC-M09-016</t>
        </is>
      </c>
      <c r="B17" s="26" t="inlineStr">
        <is>
          <t>Module 09 – Student Portal</t>
        </is>
      </c>
      <c r="C17" s="27" t="inlineStr">
        <is>
          <t>M09-F06</t>
        </is>
      </c>
      <c r="D17" s="28" t="inlineStr">
        <is>
          <t>Quick Access to Bi-Weekly Reports</t>
        </is>
      </c>
      <c r="E17" s="28" t="inlineStr">
        <is>
          <t>Hien thi shortcut Bao cao internship khi internship group dang hoat dong (On-going)</t>
        </is>
      </c>
      <c r="F17" s="28" t="inlineStr">
        <is>
          <t>Verify shortcut dan den Bao cao internship display khi student thuoc internship group o status On-going.</t>
        </is>
      </c>
      <c r="G17" s="28" t="inlineStr">
        <is>
          <t>Hoc sinh PNV26001 duoc phan bo vao internship group "Internship Group 2026". Status cua internship group nay trong Sheet la "On-going".</t>
        </is>
      </c>
      <c r="H17" s="28" t="inlineStr">
        <is>
          <t>StudentCode=PNV26001; InternshipGroup=Internship Group 2026; Status=On-going</t>
        </is>
      </c>
      <c r="I17" s="28" t="inlineStr">
        <is>
          <t>1. Log in account student PNV26001.
2. Observe interface Student Portal (khu vuc thanh dieu huong hoac bang dieu khien).
3. Verify su xuat hien cua shortcut/nut "Bi-Weekly Internship Reports" (Bao cao internship dinh ky).</t>
        </is>
      </c>
      <c r="J17" s="28" t="inlineStr">
        <is>
          <t>Shortcut "Bi-Weekly Internship Reports" xuat hien ro rang tren interface.
Hoc sinh can click vao de mo interface internship report.</t>
        </is>
      </c>
      <c r="K17" s="28" t="inlineStr"/>
      <c r="L17" s="24" t="inlineStr">
        <is>
          <t>Not Run</t>
        </is>
      </c>
      <c r="M17" s="25" t="inlineStr">
        <is>
          <t>High</t>
        </is>
      </c>
      <c r="N17" s="28" t="inlineStr">
        <is>
          <t>Related to M09-F06, Rule 7.8</t>
        </is>
      </c>
    </row>
    <row r="18" ht="90" customHeight="1">
      <c r="A18" s="21" t="inlineStr">
        <is>
          <t>TC-M09-017</t>
        </is>
      </c>
      <c r="B18" s="21" t="inlineStr">
        <is>
          <t>Module 09 – Student Portal</t>
        </is>
      </c>
      <c r="C18" s="22" t="inlineStr">
        <is>
          <t>M09-F06</t>
        </is>
      </c>
      <c r="D18" s="23" t="inlineStr">
        <is>
          <t>Quick Access to Bi-Weekly Reports</t>
        </is>
      </c>
      <c r="E18" s="23" t="inlineStr">
        <is>
          <t>An shortcut Bao cao internship khi internship group o status khac On-going</t>
        </is>
      </c>
      <c r="F18" s="23" t="inlineStr">
        <is>
          <t>Verify shortcut dan den Bao cao internship bi an khi internship group cua student o status Planned hoac Completed.</t>
        </is>
      </c>
      <c r="G18" s="23" t="inlineStr">
        <is>
          <t>Hoc sinh PNV26002 thuoc internship group "Internship Group 2025" da hoan thanh (status "Completed" tren system).</t>
        </is>
      </c>
      <c r="H18" s="23" t="inlineStr">
        <is>
          <t>StudentCode=PNV26002; InternshipGroup=Internship Group 2025; Status=Completed</t>
        </is>
      </c>
      <c r="I18" s="23" t="inlineStr">
        <is>
          <t>1. Log in account student PNV26002.
2. Observe interface Student Portal.
3. Verify su xuat hien cua nut/shortcut "Bi-Weekly Internship Reports".</t>
        </is>
      </c>
      <c r="J18" s="23" t="inlineStr">
        <is>
          <t>Shortcut/nut lien ket den Bao cao internship hoan toan an khoi interface.
Hoc sinh cannot nhin thay hay click button nay.</t>
        </is>
      </c>
      <c r="K18" s="23" t="inlineStr"/>
      <c r="L18" s="24" t="inlineStr">
        <is>
          <t>Not Run</t>
        </is>
      </c>
      <c r="M18" s="25" t="inlineStr">
        <is>
          <t>High</t>
        </is>
      </c>
      <c r="N18" s="23" t="inlineStr">
        <is>
          <t>Related to M09-F06, Rule 7.8</t>
        </is>
      </c>
    </row>
    <row r="19" ht="90" customHeight="1">
      <c r="A19" s="26" t="inlineStr">
        <is>
          <t>TC-M09-018</t>
        </is>
      </c>
      <c r="B19" s="26" t="inlineStr">
        <is>
          <t>Module 09 – Student Portal</t>
        </is>
      </c>
      <c r="C19" s="27" t="inlineStr">
        <is>
          <t>M09-F06</t>
        </is>
      </c>
      <c r="D19" s="28" t="inlineStr">
        <is>
          <t>Quick Access to Bi-Weekly Reports</t>
        </is>
      </c>
      <c r="E19" s="28" t="inlineStr">
        <is>
          <t>An shortcut Bao cao internship khi student chua duoc phan bo internship</t>
        </is>
      </c>
      <c r="F19" s="28" t="inlineStr">
        <is>
          <t>Verify shortcut Bao cao internship bi an khi student khong thuoc bat ky internship group nao.</t>
        </is>
      </c>
      <c r="G19" s="28" t="inlineStr">
        <is>
          <t>Hoc sinh PNV26003 chua duoc gan vao bat ky internship group nao tren Sheets co so du lieu.</t>
        </is>
      </c>
      <c r="H19" s="28" t="inlineStr">
        <is>
          <t>StudentCode=PNV26003; InternshipGroup=None</t>
        </is>
      </c>
      <c r="I19" s="28" t="inlineStr">
        <is>
          <t>1. Log in account student PNV26003.
2. Observe interface Student Portal.
3. Verify su xuat hien cua nut/shortcut "Bi-Weekly Internship Reports".</t>
        </is>
      </c>
      <c r="J19" s="28" t="inlineStr">
        <is>
          <t>Shortcut/nut lien ket den Bao cao internship an hoan toan, not displayed tren interface cua student.</t>
        </is>
      </c>
      <c r="K19" s="28" t="inlineStr"/>
      <c r="L19" s="24" t="inlineStr">
        <is>
          <t>Not Run</t>
        </is>
      </c>
      <c r="M19" s="25" t="inlineStr">
        <is>
          <t>High</t>
        </is>
      </c>
      <c r="N19" s="28" t="inlineStr">
        <is>
          <t>Related to M09-F06, Rule 7.8</t>
        </is>
      </c>
    </row>
    <row r="20" ht="165" customHeight="1">
      <c r="A20" s="21" t="inlineStr">
        <is>
          <t>TC-M09-019</t>
        </is>
      </c>
      <c r="B20" s="21" t="inlineStr">
        <is>
          <t>Module 09 – Student Portal</t>
        </is>
      </c>
      <c r="C20" s="22" t="inlineStr">
        <is>
          <t>M09-F07</t>
        </is>
      </c>
      <c r="D20" s="23" t="inlineStr">
        <is>
          <t>Data Isolation</t>
        </is>
      </c>
      <c r="E20" s="23" t="inlineStr">
        <is>
          <t>Verify cach ly du lieu giua cac student (Data Isolation)</t>
        </is>
      </c>
      <c r="F20" s="23" t="inlineStr">
        <is>
          <t>Verify co che bao mat phia server dam bao student chi xem duoc grade cua chinh minh va bi denies access du lieu cua student khac.</t>
        </is>
      </c>
      <c r="G20" s="23" t="inlineStr">
        <is>
          <t>Hoc sinh PNV26001 va student PNV26002 deu exist in system. Da log in bang account student PNV26001.</t>
        </is>
      </c>
      <c r="H20" s="23" t="inlineStr">
        <is>
          <t>AuthEmail=student01@student.passerellesnumeriques.org; TargetStudentCode=PNV26002</t>
        </is>
      </c>
      <c r="I20" s="23" t="inlineStr">
        <is>
          <t>1. Log in bang account student01@student.passerellesnumeriques.org.
2. Tai interface transcript, thu thay doi tham so tren URL (e.g. tu `?studentCode=PNV26001` thanh `?studentCode=PNV26002`) hoac dung DevTools sua ma request gui ve API backend de requires du lieu grade cua student PNV26002.
3. Observe ket qua display va phan hoi tu system.</t>
        </is>
      </c>
      <c r="J20" s="23" t="inlineStr">
        <is>
          <t>System denies requires access du lieu grade cua student B.
Man hinh not displayed grade cua student B.
Backend tra ve notification error phan quyen (e.g.: "Unauthorized access" hoac Access Denied).
Bang grade display tren interface van giu nguyen cua student PNV26001 (hoac display trang notification error bao mat).</t>
        </is>
      </c>
      <c r="K20" s="23" t="inlineStr"/>
      <c r="L20" s="24" t="inlineStr">
        <is>
          <t>Not Run</t>
        </is>
      </c>
      <c r="M20" s="25" t="inlineStr">
        <is>
          <t>High</t>
        </is>
      </c>
      <c r="N20" s="23" t="inlineStr">
        <is>
          <t>Related to M09-F07, Rule 7.9, Error Handling (Section 9)</t>
        </is>
      </c>
    </row>
    <row r="21" ht="105" customHeight="1">
      <c r="A21" s="26" t="inlineStr">
        <is>
          <t>TC-M09-020</t>
        </is>
      </c>
      <c r="B21" s="26" t="inlineStr">
        <is>
          <t>Module 09 – Student Portal</t>
        </is>
      </c>
      <c r="C21" s="27" t="inlineStr">
        <is>
          <t>M09-F07</t>
        </is>
      </c>
      <c r="D21" s="28" t="inlineStr">
        <is>
          <t>Data Isolation</t>
        </is>
      </c>
      <c r="E21" s="28" t="inlineStr">
        <is>
          <t>Chan goi API lay grade tu ben external khi chua xac thuc</t>
        </is>
      </c>
      <c r="F21" s="28" t="inlineStr">
        <is>
          <t>Verify cac requires goi API lay grade cua student gui truc tiep tu ben external ma chua qua log in Google OAuth deu bi denies.</t>
        </is>
      </c>
      <c r="G21" s="28" t="inlineStr">
        <is>
          <t>Nguoi dung chua log in account. Trinh duyet o che do an danh hoac su dung cong cu kiem thu API (nhu Postman).</t>
        </is>
      </c>
      <c r="H21" s="28" t="inlineStr">
        <is>
          <t>TargetApiUrl=https://script.google.com/macros/s/.../exec?action=getGrades&amp;studentCode=PNV26001</t>
        </is>
      </c>
      <c r="I21" s="28" t="inlineStr">
        <is>
          <t>1. Mo cua so an danh hoac cong cu kiem thu API.
2. Gui request truc tiep (HTTP GET/POST) den URL API cua system de lay du lieu grade cua student PNV26001.
3. Observe phan hoi tra ve tu system.</t>
        </is>
      </c>
      <c r="J21" s="28" t="inlineStr">
        <is>
          <t>Yeu cau bi denies.
System phan hoi ma error 401 Unauthorized (hoac tuong duong) hoac redirect request ve interface log in Google OAuth.
Khong co du lieu grade nao duoc tra ve.</t>
        </is>
      </c>
      <c r="K21" s="28" t="inlineStr"/>
      <c r="L21" s="24" t="inlineStr">
        <is>
          <t>Not Run</t>
        </is>
      </c>
      <c r="M21" s="25" t="inlineStr">
        <is>
          <t>High</t>
        </is>
      </c>
      <c r="N21" s="28" t="inlineStr">
        <is>
          <t>Related to M09-F07, Rule 7.9</t>
        </is>
      </c>
    </row>
    <row r="22" ht="165" customHeight="1">
      <c r="A22" s="21" t="inlineStr">
        <is>
          <t>TC-M09-021</t>
        </is>
      </c>
      <c r="B22" s="21" t="inlineStr">
        <is>
          <t>Module 09 – Student Portal</t>
        </is>
      </c>
      <c r="C22" s="22" t="inlineStr">
        <is>
          <t>M09-UI</t>
        </is>
      </c>
      <c r="D22" s="23" t="inlineStr">
        <is>
          <t>User Interface &amp; Responsiveness</t>
        </is>
      </c>
      <c r="E22" s="23" t="inlineStr">
        <is>
          <t>Verify display interface tren thiet bi di dong (Responsive UI)</t>
        </is>
      </c>
      <c r="F22" s="23" t="inlineStr">
        <is>
          <t>Verify interface Student Portal display tot tren cac thiet bi di dong ma khong bi vo khung hoac mat thong tin grades.</t>
        </is>
      </c>
      <c r="G22" s="23" t="inlineStr">
        <is>
          <t>Hoc sinh da log in successfully.</t>
        </is>
      </c>
      <c r="H22" s="23" t="inlineStr">
        <is>
          <t>ViewportSize=375x812 (iPhone X)</t>
        </is>
      </c>
      <c r="I22" s="23" t="inlineStr">
        <is>
          <t>1. Log in Student Portal.
2. Mo DevTools (F12) va kich hoat che do Responsive Viewport gia lap man hinh iPhone X (375x812 px).
3. Observe bo select semester, cac category va transcript.
4. Thao tac vuot cuon ngang transcript de xem day du cac cot grade (KT TX, DK1-DK6, TCK, TLCK...).</t>
        </is>
      </c>
      <c r="J22" s="23" t="inlineStr">
        <is>
          <t>Interface tu dong co gian tuong thich.
Cac tieu de category va chu display ro rang, khong de len nhau.
Bang grade display thanh cuon ngang muot ma allows xem het cac cot grade ma khong pha vo bo cuc tong the cua trang.</t>
        </is>
      </c>
      <c r="K22" s="23" t="inlineStr"/>
      <c r="L22" s="24" t="inlineStr">
        <is>
          <t>Not Run</t>
        </is>
      </c>
      <c r="M22" s="29" t="inlineStr">
        <is>
          <t>Medium</t>
        </is>
      </c>
      <c r="N22" s="23" t="inlineStr">
        <is>
          <t>Related to Testing Environment (Section 9)</t>
        </is>
      </c>
    </row>
    <row r="23" ht="150" customHeight="1">
      <c r="A23" s="26" t="inlineStr">
        <is>
          <t>TC-M09-022</t>
        </is>
      </c>
      <c r="B23" s="26" t="inlineStr">
        <is>
          <t>Module 09 – Student Portal</t>
        </is>
      </c>
      <c r="C23" s="27" t="inlineStr">
        <is>
          <t>M09-F01</t>
        </is>
      </c>
      <c r="D23" s="28" t="inlineStr">
        <is>
          <t>Role-based Auto-login</t>
        </is>
      </c>
      <c r="E23" s="28" t="inlineStr">
        <is>
          <t>Verify hanh vi khi het han phien lam viec Google (Google Sign-Out)</t>
        </is>
      </c>
      <c r="F23" s="28" t="inlineStr">
        <is>
          <t>Dam bao system phat hien phien log in Google da ket thuc va ngan student tiep tuc access du lieu.</t>
        </is>
      </c>
      <c r="G23" s="28" t="inlineStr">
        <is>
          <t>Hoc sinh dang log in va mo tab Student Portal.</t>
        </is>
      </c>
      <c r="H23" s="28" t="inlineStr">
        <is>
          <t>Action=Google Sign-Out</t>
        </is>
      </c>
      <c r="I23" s="28" t="inlineStr">
        <is>
          <t>1. Mo mot tab trinh duyet khac, access accounts.google.com va dang xuat account Google hien tai.
2. Quay lai tab Student Portal.
3. Thuc hien switching semester tren bo select Semester Selector hoac click F5 de tai lai trang.
4. Observe phan hoi cua system.</t>
        </is>
      </c>
      <c r="J23" s="28" t="inlineStr">
        <is>
          <t>System phat hien phien lam viec da ket thuc.
Cac thao tac requires du lieu semester moi bi dung lai.
Nguoi dung duoc redirect ve trang log in Google OAuth hoac display thong diep requires log in lai de tiep tuc.</t>
        </is>
      </c>
      <c r="K23" s="28" t="inlineStr"/>
      <c r="L23" s="24" t="inlineStr">
        <is>
          <t>Not Run</t>
        </is>
      </c>
      <c r="M23" s="25" t="inlineStr">
        <is>
          <t>High</t>
        </is>
      </c>
      <c r="N23" s="28" t="inlineStr">
        <is>
          <t>Related to Rule 7.1</t>
        </is>
      </c>
    </row>
    <row r="24" ht="120" customHeight="1">
      <c r="A24" s="21" t="inlineStr">
        <is>
          <t>TC-M09-023</t>
        </is>
      </c>
      <c r="B24" s="21" t="inlineStr">
        <is>
          <t>Module 09 – Student Portal</t>
        </is>
      </c>
      <c r="C24" s="22" t="inlineStr">
        <is>
          <t>M09-F02</t>
        </is>
      </c>
      <c r="D24" s="23" t="inlineStr">
        <is>
          <t>Read-only Academic View</t>
        </is>
      </c>
      <c r="E24" s="23" t="inlineStr">
        <is>
          <t>Verify xac thuc tham so semester khong hop le (Semester Validation)</t>
        </is>
      </c>
      <c r="F24" s="23" t="inlineStr">
        <is>
          <t>Verify system khong bi error crash va tu dong xu ly an toan khi tham so semester duoc truyen vao khong hop le hoac khong ton tai.</t>
        </is>
      </c>
      <c r="G24" s="23" t="inlineStr">
        <is>
          <t>Hoc sinh da log in successfully.</t>
        </is>
      </c>
      <c r="H24" s="23" t="inlineStr">
        <is>
          <t>InvalidSemester=Semester 7; InvalidSemester2=abc</t>
        </is>
      </c>
      <c r="I24" s="23" t="inlineStr">
        <is>
          <t>1. Co y thay doi tham so semester tren duong dan URL thanh gia tri khong hop le (e.g.: `?semester=7` or `?semester=abc`).
2. Tai lai trang hoac co tinh gui request voi tham so khong hop le do.
3. Observe phan hoi cua interface.</t>
        </is>
      </c>
      <c r="J24" s="23" t="inlineStr">
        <is>
          <t>System khong bi error crash/trang trang.
Tu dong quay ve display du lieu cua semester mac dinh (e.g.: Semester 1 hoac semester hien tai hoat dong gan nhat), hoac display notification error "Semester khong hop le".</t>
        </is>
      </c>
      <c r="K24" s="23" t="inlineStr"/>
      <c r="L24" s="24" t="inlineStr">
        <is>
          <t>Not Run</t>
        </is>
      </c>
      <c r="M24" s="29" t="inlineStr">
        <is>
          <t>Medium</t>
        </is>
      </c>
      <c r="N24" s="23" t="inlineStr">
        <is>
          <t>Related to Validation Rules (Section 8 - Semester)</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2026-07-22T09:41:07Z</dcterms:created>
  <dcterms:modified xmlns:dcterms="http://purl.org/dc/terms/" xmlns:xsi="http://www.w3.org/2001/XMLSchema-instance" xsi:type="dcterms:W3CDTF">2026-07-22T09:41:08Z</dcterms:modified>
</cp:coreProperties>
</file>