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Summary" sheetId="2" state="visible" r:id="rId2"/>
    <sheet xmlns:r="http://schemas.openxmlformats.org/officeDocument/2006/relationships" name="Module 01" sheetId="3" state="visible" r:id="rId3"/>
    <sheet xmlns:r="http://schemas.openxmlformats.org/officeDocument/2006/relationships" name="Module 02" sheetId="4" state="visible" r:id="rId4"/>
    <sheet xmlns:r="http://schemas.openxmlformats.org/officeDocument/2006/relationships" name="Module 03" sheetId="5" state="visible" r:id="rId5"/>
    <sheet xmlns:r="http://schemas.openxmlformats.org/officeDocument/2006/relationships" name="Module 04" sheetId="6" state="visible" r:id="rId6"/>
    <sheet xmlns:r="http://schemas.openxmlformats.org/officeDocument/2006/relationships" name="Module 05" sheetId="7" state="visible" r:id="rId7"/>
    <sheet xmlns:r="http://schemas.openxmlformats.org/officeDocument/2006/relationships" name="Module 06" sheetId="8" state="visible" r:id="rId8"/>
    <sheet xmlns:r="http://schemas.openxmlformats.org/officeDocument/2006/relationships" name="Module 07" sheetId="9" state="visible" r:id="rId9"/>
    <sheet xmlns:r="http://schemas.openxmlformats.org/officeDocument/2006/relationships" name="Module 08" sheetId="10" state="visible" r:id="rId10"/>
    <sheet xmlns:r="http://schemas.openxmlformats.org/officeDocument/2006/relationships" name="Module 09" sheetId="11" state="visible" r:id="rId11"/>
  </sheets>
  <definedNames>
    <definedName name="_xlnm._FilterDatabase" localSheetId="2" hidden="1">'Module 01'!$A$1:$O$34</definedName>
    <definedName name="_xlnm._FilterDatabase" localSheetId="3" hidden="1">'Module 02'!$A$1:$O$26</definedName>
    <definedName name="_xlnm._FilterDatabase" localSheetId="4" hidden="1">'Module 03'!$A$1:$O$23</definedName>
    <definedName name="_xlnm._FilterDatabase" localSheetId="5" hidden="1">'Module 04'!$A$1:$O$34</definedName>
    <definedName name="_xlnm._FilterDatabase" localSheetId="6" hidden="1">'Module 05'!$A$1:$O$24</definedName>
    <definedName name="_xlnm._FilterDatabase" localSheetId="7" hidden="1">'Module 06'!$A$1:$P$32</definedName>
    <definedName name="_xlnm._FilterDatabase" localSheetId="8" hidden="1">'Module 07'!$A$1:$O$42</definedName>
    <definedName name="_xlnm._FilterDatabase" localSheetId="9" hidden="1">'Module 08'!$A$1:$O$21</definedName>
    <definedName name="_xlnm._FilterDatabase" localSheetId="10" hidden="1">'Module 09'!$A$1:$O$24</definedName>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Segoe UI"/>
      <b val="1"/>
      <color rgb="00FFFFFF"/>
      <sz val="11"/>
    </font>
    <font>
      <name val="Segoe UI"/>
      <color rgb="00000000"/>
      <sz val="10"/>
    </font>
    <font>
      <name val="Segoe UI"/>
      <b val="1"/>
      <color rgb="001F4E78"/>
      <sz val="10"/>
    </font>
    <font>
      <name val="Segoe UI"/>
      <b val="1"/>
      <color rgb="00137333"/>
      <sz val="10"/>
    </font>
    <font>
      <name val="Segoe UI"/>
      <b val="1"/>
      <color rgb="00A50E0E"/>
      <sz val="10"/>
    </font>
    <font>
      <name val="Segoe UI"/>
      <b val="1"/>
      <color rgb="00B06000"/>
      <sz val="10"/>
    </font>
    <font>
      <name val="Segoe UI"/>
      <b val="1"/>
      <color rgb="0064748B"/>
      <sz val="10"/>
    </font>
    <font>
      <name val="Segoe UI"/>
      <b val="1"/>
      <color rgb="00FFFFFF"/>
      <sz val="16"/>
    </font>
    <font>
      <name val="Segoe UI"/>
      <b val="1"/>
      <color rgb="00555555"/>
      <sz val="9"/>
    </font>
    <font>
      <name val="Segoe UI"/>
      <b val="1"/>
      <color rgb="001E293B"/>
      <sz val="18"/>
    </font>
    <font>
      <name val="Segoe UI"/>
      <b val="1"/>
      <color rgb="001F4E78"/>
      <sz val="18"/>
    </font>
    <font>
      <name val="Segoe UI"/>
      <b val="1"/>
      <color rgb="00A50E0E"/>
      <sz val="18"/>
    </font>
    <font>
      <name val="Segoe UI"/>
      <b val="1"/>
      <color rgb="00B06000"/>
      <sz val="18"/>
    </font>
    <font>
      <name val="Segoe UI"/>
      <b val="1"/>
      <color rgb="001F4E78"/>
      <sz val="13"/>
    </font>
    <font>
      <name val="Segoe UI"/>
      <sz val="10"/>
    </font>
    <font>
      <name val="Segoe UI"/>
      <b val="1"/>
      <color rgb="00000000"/>
      <sz val="10"/>
    </font>
    <font>
      <name val="Segoe UI"/>
      <b val="1"/>
      <color rgb="001F4E78"/>
      <sz val="16"/>
    </font>
    <font>
      <name val="Segoe UI"/>
      <i val="1"/>
      <color rgb="00555555"/>
      <sz val="10"/>
    </font>
    <font>
      <name val="Segoe UI"/>
      <b val="1"/>
      <color rgb="0064748B"/>
      <sz val="9"/>
    </font>
    <font>
      <name val="Segoe UI"/>
      <b val="1"/>
      <color rgb="00137333"/>
      <sz val="18"/>
    </font>
    <font>
      <name val="Segoe UI"/>
      <b val="1"/>
      <color rgb="001F4E78"/>
      <sz val="12"/>
    </font>
  </fonts>
  <fills count="11">
    <fill>
      <patternFill/>
    </fill>
    <fill>
      <patternFill patternType="gray125"/>
    </fill>
    <fill>
      <patternFill patternType="solid">
        <fgColor rgb="001F4E78"/>
        <bgColor rgb="001F4E78"/>
      </patternFill>
    </fill>
    <fill>
      <patternFill patternType="solid">
        <fgColor rgb="00E6F4EA"/>
        <bgColor rgb="00E6F4EA"/>
      </patternFill>
    </fill>
    <fill>
      <patternFill patternType="solid">
        <fgColor rgb="00FCE8E6"/>
        <bgColor rgb="00FCE8E6"/>
      </patternFill>
    </fill>
    <fill>
      <patternFill patternType="solid">
        <fgColor rgb="00F8FAFC"/>
        <bgColor rgb="00F8FAFC"/>
      </patternFill>
    </fill>
    <fill>
      <patternFill patternType="solid">
        <fgColor rgb="00FEF7E0"/>
        <bgColor rgb="00FEF7E0"/>
      </patternFill>
    </fill>
    <fill>
      <patternFill patternType="solid">
        <fgColor rgb="00F1F5F9"/>
        <bgColor rgb="00F1F5F9"/>
      </patternFill>
    </fill>
    <fill>
      <patternFill patternType="solid">
        <fgColor rgb="00E2E8F0"/>
        <bgColor rgb="00E2E8F0"/>
      </patternFill>
    </fill>
    <fill>
      <patternFill patternType="solid">
        <fgColor rgb="002B3E50"/>
        <bgColor rgb="002B3E50"/>
      </patternFill>
    </fill>
    <fill>
      <patternFill patternType="solid">
        <fgColor rgb="00FFFFFF"/>
        <bgColor rgb="00FFFFFF"/>
      </patternFill>
    </fill>
  </fills>
  <borders count="4">
    <border>
      <left/>
      <right/>
      <top/>
      <bottom/>
      <diagonal/>
    </border>
    <border>
      <left style="thin">
        <color rgb="00CBD5E1"/>
      </left>
      <right style="thin">
        <color rgb="00CBD5E1"/>
      </right>
      <top style="thin">
        <color rgb="00CBD5E1"/>
      </top>
      <bottom style="thin">
        <color rgb="00CBD5E1"/>
      </bottom>
    </border>
    <border>
      <left style="thin">
        <color rgb="001E293B"/>
      </left>
      <right style="thin">
        <color rgb="001E293B"/>
      </right>
      <top style="thin">
        <color rgb="001E293B"/>
      </top>
      <bottom style="thin">
        <color rgb="001E293B"/>
      </bottom>
    </border>
    <border>
      <left style="thin">
        <color rgb="00CBD5E1"/>
      </left>
      <right style="thin">
        <color rgb="00CBD5E1"/>
      </right>
      <top style="medium">
        <color rgb="001E293B"/>
      </top>
      <bottom style="double">
        <color rgb="001E293B"/>
      </bottom>
    </border>
  </borders>
  <cellStyleXfs count="1">
    <xf numFmtId="0" fontId="0" fillId="0" borderId="0"/>
  </cellStyleXfs>
  <cellXfs count="48">
    <xf numFmtId="0" fontId="0" fillId="0" borderId="0" pivotButton="0" quotePrefix="0" xfId="0"/>
    <xf numFmtId="0" fontId="8" fillId="2" borderId="0" applyAlignment="1" pivotButton="0" quotePrefix="0" xfId="0">
      <alignment horizontal="center" vertical="center"/>
    </xf>
    <xf numFmtId="0" fontId="9" fillId="0" borderId="0" applyAlignment="1" pivotButton="0" quotePrefix="0" xfId="0">
      <alignment horizontal="center" vertical="center"/>
    </xf>
    <xf numFmtId="0" fontId="10" fillId="7" borderId="1" applyAlignment="1" pivotButton="0" quotePrefix="0" xfId="0">
      <alignment horizontal="center" vertical="center"/>
    </xf>
    <xf numFmtId="0" fontId="11" fillId="8" borderId="1" applyAlignment="1" pivotButton="0" quotePrefix="0" xfId="0">
      <alignment horizontal="center" vertical="center"/>
    </xf>
    <xf numFmtId="0" fontId="12" fillId="4" borderId="1" applyAlignment="1" pivotButton="0" quotePrefix="0" xfId="0">
      <alignment horizontal="center" vertical="center"/>
    </xf>
    <xf numFmtId="0" fontId="13" fillId="6" borderId="1" applyAlignment="1" pivotButton="0" quotePrefix="0" xfId="0">
      <alignment horizontal="center" vertical="center"/>
    </xf>
    <xf numFmtId="0" fontId="14" fillId="0" borderId="0" pivotButton="0" quotePrefix="0" xfId="0"/>
    <xf numFmtId="0" fontId="1" fillId="9" borderId="2" applyAlignment="1" pivotButton="0" quotePrefix="0" xfId="0">
      <alignment horizontal="left" vertical="center"/>
    </xf>
    <xf numFmtId="0" fontId="1" fillId="9" borderId="2" applyAlignment="1" pivotButton="0" quotePrefix="0" xfId="0">
      <alignment horizontal="center" vertical="center"/>
    </xf>
    <xf numFmtId="0" fontId="15" fillId="10" borderId="1" applyAlignment="1" pivotButton="0" quotePrefix="0" xfId="0">
      <alignment horizontal="left" vertical="center"/>
    </xf>
    <xf numFmtId="0" fontId="15" fillId="10" borderId="1" applyAlignment="1" pivotButton="0" quotePrefix="0" xfId="0">
      <alignment horizontal="center" vertical="center"/>
    </xf>
    <xf numFmtId="0" fontId="15" fillId="5" borderId="1" applyAlignment="1" pivotButton="0" quotePrefix="0" xfId="0">
      <alignment horizontal="left" vertical="center"/>
    </xf>
    <xf numFmtId="0" fontId="15" fillId="5" borderId="1" applyAlignment="1" pivotButton="0" quotePrefix="0" xfId="0">
      <alignment horizontal="center" vertical="center"/>
    </xf>
    <xf numFmtId="0" fontId="16" fillId="8" borderId="3" applyAlignment="1" pivotButton="0" quotePrefix="0" xfId="0">
      <alignment horizontal="left" vertical="center"/>
    </xf>
    <xf numFmtId="0" fontId="16" fillId="8" borderId="3" applyAlignment="1" pivotButton="0" quotePrefix="0" xfId="0">
      <alignment horizontal="center" vertical="center"/>
    </xf>
    <xf numFmtId="0" fontId="1" fillId="2" borderId="2" applyAlignment="1" pivotButton="0" quotePrefix="0" xfId="0">
      <alignment horizontal="left" vertical="center"/>
    </xf>
    <xf numFmtId="0" fontId="1" fillId="2" borderId="2" applyAlignment="1" pivotButton="0" quotePrefix="0" xfId="0">
      <alignment horizontal="center" vertical="center"/>
    </xf>
    <xf numFmtId="0" fontId="3" fillId="10" borderId="1" applyAlignment="1" pivotButton="0" quotePrefix="0" xfId="0">
      <alignment horizontal="center" vertical="center"/>
    </xf>
    <xf numFmtId="0" fontId="3" fillId="5" borderId="1" applyAlignment="1" pivotButton="0" quotePrefix="0" xfId="0">
      <alignment horizontal="center" vertical="center"/>
    </xf>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3" fillId="0" borderId="1" applyAlignment="1" pivotButton="0" quotePrefix="0" xfId="0">
      <alignment horizontal="center" vertical="top" wrapText="1"/>
    </xf>
    <xf numFmtId="0" fontId="2" fillId="0" borderId="1" applyAlignment="1" pivotButton="0" quotePrefix="0" xfId="0">
      <alignment horizontal="left" vertical="top" wrapText="1"/>
    </xf>
    <xf numFmtId="0" fontId="4" fillId="3" borderId="1" applyAlignment="1" pivotButton="0" quotePrefix="0" xfId="0">
      <alignment horizontal="center" vertical="top" wrapText="1"/>
    </xf>
    <xf numFmtId="0" fontId="5" fillId="4" borderId="1" applyAlignment="1" pivotButton="0" quotePrefix="0" xfId="0">
      <alignment horizontal="center" vertical="top" wrapText="1"/>
    </xf>
    <xf numFmtId="0" fontId="2" fillId="5" borderId="1" applyAlignment="1" pivotButton="0" quotePrefix="0" xfId="0">
      <alignment horizontal="center" vertical="top" wrapText="1"/>
    </xf>
    <xf numFmtId="0" fontId="3" fillId="5" borderId="1" applyAlignment="1" pivotButton="0" quotePrefix="0" xfId="0">
      <alignment horizontal="center" vertical="top" wrapText="1"/>
    </xf>
    <xf numFmtId="0" fontId="2" fillId="5" borderId="1" applyAlignment="1" pivotButton="0" quotePrefix="0" xfId="0">
      <alignment horizontal="left" vertical="top" wrapText="1"/>
    </xf>
    <xf numFmtId="0" fontId="6" fillId="6" borderId="1" applyAlignment="1" pivotButton="0" quotePrefix="0" xfId="0">
      <alignment horizontal="center" vertical="top" wrapText="1"/>
    </xf>
    <xf numFmtId="0" fontId="7" fillId="7" borderId="1" applyAlignment="1" pivotButton="0" quotePrefix="0" xfId="0">
      <alignment horizontal="center" vertical="top" wrapText="1"/>
    </xf>
    <xf numFmtId="0" fontId="17" fillId="0" borderId="0" pivotButton="0" quotePrefix="0" xfId="0"/>
    <xf numFmtId="0" fontId="18" fillId="0" borderId="0" pivotButton="0" quotePrefix="0" xfId="0"/>
    <xf numFmtId="0" fontId="19" fillId="0" borderId="0" applyAlignment="1" pivotButton="0" quotePrefix="0" xfId="0">
      <alignment horizontal="center" vertical="center"/>
    </xf>
    <xf numFmtId="0" fontId="20" fillId="3" borderId="1" applyAlignment="1" pivotButton="0" quotePrefix="0" xfId="0">
      <alignment horizontal="center" vertical="center"/>
    </xf>
    <xf numFmtId="0" fontId="21" fillId="0" borderId="0" pivotButton="0" quotePrefix="0" xfId="0"/>
    <xf numFmtId="0" fontId="1" fillId="2" borderId="1" applyAlignment="1" pivotButton="0" quotePrefix="0" xfId="0">
      <alignment horizontal="left" vertical="center"/>
    </xf>
    <xf numFmtId="0" fontId="1" fillId="2" borderId="1" applyAlignment="1" pivotButton="0" quotePrefix="0" xfId="0">
      <alignment horizontal="center" vertical="center"/>
    </xf>
    <xf numFmtId="0" fontId="2" fillId="5" borderId="1" applyAlignment="1" pivotButton="0" quotePrefix="0" xfId="0">
      <alignment horizontal="left" vertical="center"/>
    </xf>
    <xf numFmtId="0" fontId="5" fillId="5" borderId="1" applyAlignment="1" pivotButton="0" quotePrefix="0" xfId="0">
      <alignment horizontal="center" vertical="center"/>
    </xf>
    <xf numFmtId="0" fontId="6" fillId="5" borderId="1" applyAlignment="1" pivotButton="0" quotePrefix="0" xfId="0">
      <alignment horizontal="center" vertical="center"/>
    </xf>
    <xf numFmtId="0" fontId="4" fillId="5" borderId="1" applyAlignment="1" pivotButton="0" quotePrefix="0" xfId="0">
      <alignment horizontal="center" vertical="center"/>
    </xf>
    <xf numFmtId="0" fontId="2" fillId="5" borderId="1" applyAlignment="1" pivotButton="0" quotePrefix="0" xfId="0">
      <alignment horizontal="center" vertical="center"/>
    </xf>
    <xf numFmtId="0" fontId="2" fillId="0" borderId="1" applyAlignment="1" pivotButton="0" quotePrefix="0" xfId="0">
      <alignment horizontal="left" vertical="center"/>
    </xf>
    <xf numFmtId="0" fontId="5" fillId="0" borderId="1" applyAlignment="1" pivotButton="0" quotePrefix="0" xfId="0">
      <alignment horizontal="center" vertical="center"/>
    </xf>
    <xf numFmtId="0" fontId="6" fillId="0" borderId="1" applyAlignment="1" pivotButton="0" quotePrefix="0" xfId="0">
      <alignment horizontal="center" vertical="center"/>
    </xf>
    <xf numFmtId="0" fontId="4"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Test Cases by Module (Grouped by Priority)</a:t>
            </a:r>
          </a:p>
        </rich>
      </tx>
    </title>
    <plotArea>
      <barChart>
        <barDir val="col"/>
        <grouping val="clustered"/>
        <ser>
          <idx val="0"/>
          <order val="0"/>
          <tx>
            <strRef>
              <f>'Report'!B8</f>
            </strRef>
          </tx>
          <spPr>
            <a:solidFill xmlns:a="http://schemas.openxmlformats.org/drawingml/2006/main">
              <a:srgbClr val="FF0000"/>
            </a:solidFill>
            <a:ln xmlns:a="http://schemas.openxmlformats.org/drawingml/2006/main">
              <a:prstDash val="solid"/>
            </a:ln>
          </spPr>
          <cat>
            <numRef>
              <f>'Report'!$A$9:$A$17</f>
            </numRef>
          </cat>
          <val>
            <numRef>
              <f>'Report'!$B$9:$B$17</f>
            </numRef>
          </val>
        </ser>
        <ser>
          <idx val="1"/>
          <order val="1"/>
          <tx>
            <strRef>
              <f>'Report'!C8</f>
            </strRef>
          </tx>
          <spPr>
            <a:solidFill xmlns:a="http://schemas.openxmlformats.org/drawingml/2006/main">
              <a:srgbClr val="FFFF00"/>
            </a:solidFill>
            <a:ln xmlns:a="http://schemas.openxmlformats.org/drawingml/2006/main">
              <a:prstDash val="solid"/>
            </a:ln>
          </spPr>
          <cat>
            <numRef>
              <f>'Report'!$A$9:$A$17</f>
            </numRef>
          </cat>
          <val>
            <numRef>
              <f>'Report'!$C$9:$C$17</f>
            </numRef>
          </val>
        </ser>
        <ser>
          <idx val="2"/>
          <order val="2"/>
          <tx>
            <strRef>
              <f>'Report'!D8</f>
            </strRef>
          </tx>
          <spPr>
            <a:solidFill xmlns:a="http://schemas.openxmlformats.org/drawingml/2006/main">
              <a:srgbClr val="00FF00"/>
            </a:solidFill>
            <a:ln xmlns:a="http://schemas.openxmlformats.org/drawingml/2006/main">
              <a:prstDash val="solid"/>
            </a:ln>
          </spPr>
          <cat>
            <numRef>
              <f>'Report'!$A$9:$A$17</f>
            </numRef>
          </cat>
          <val>
            <numRef>
              <f>'Report'!$D$9:$D$17</f>
            </numRef>
          </val>
        </ser>
        <gapWidth val="150"/>
        <overlap val="-20"/>
        <axId val="10"/>
        <axId val="100"/>
      </barChart>
      <catAx>
        <axId val="10"/>
        <scaling>
          <orientation val="minMax"/>
        </scaling>
        <axPos val="l"/>
        <title>
          <tx>
            <rich>
              <a:bodyPr xmlns:a="http://schemas.openxmlformats.org/drawingml/2006/main"/>
              <a:p xmlns:a="http://schemas.openxmlformats.org/drawingml/2006/main">
                <a:pPr>
                  <a:defRPr/>
                </a:pPr>
                <a:r>
                  <a:t>Module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Number of Test Cases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6</col>
      <colOff>0</colOff>
      <row>3</row>
      <rowOff>0</rowOff>
    </from>
    <ext cx="792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18"/>
  <sheetViews>
    <sheetView showGridLines="1" workbookViewId="0">
      <selection activeCell="A1" sqref="A1"/>
    </sheetView>
  </sheetViews>
  <sheetFormatPr baseColWidth="8" defaultRowHeight="15"/>
  <cols>
    <col width="24" customWidth="1" min="1" max="1"/>
    <col width="18" customWidth="1" min="2" max="2"/>
    <col width="18" customWidth="1" min="3" max="3"/>
    <col width="18" customWidth="1" min="4" max="4"/>
    <col width="18" customWidth="1" min="5" max="5"/>
  </cols>
  <sheetData>
    <row r="1">
      <c r="A1" s="31" t="inlineStr">
        <is>
          <t>Academic Portal - Test Coverage &amp; Feature Report</t>
        </is>
      </c>
    </row>
    <row r="2">
      <c r="A2" s="32" t="inlineStr">
        <is>
          <t>Summary of test cases per module, calculated via Excel formulas</t>
        </is>
      </c>
    </row>
    <row r="4" ht="18" customHeight="1">
      <c r="A4" s="33" t="inlineStr">
        <is>
          <t>Total Modules</t>
        </is>
      </c>
      <c r="B4" s="33" t="inlineStr">
        <is>
          <t>Total Test Cases</t>
        </is>
      </c>
      <c r="C4" s="33" t="inlineStr">
        <is>
          <t>High Priority TCs</t>
        </is>
      </c>
      <c r="D4" s="33" t="inlineStr">
        <is>
          <t>Medium Priority TCs</t>
        </is>
      </c>
      <c r="E4" s="33" t="inlineStr">
        <is>
          <t>Low Priority TCs</t>
        </is>
      </c>
    </row>
    <row r="5" ht="32" customHeight="1">
      <c r="A5" s="3">
        <f>COUNTA(A9:A17)</f>
        <v/>
      </c>
      <c r="B5" s="4">
        <f>E18</f>
        <v/>
      </c>
      <c r="C5" s="5">
        <f>B18</f>
        <v/>
      </c>
      <c r="D5" s="6">
        <f>C18</f>
        <v/>
      </c>
      <c r="E5" s="34">
        <f>D18</f>
        <v/>
      </c>
    </row>
    <row r="7">
      <c r="A7" s="35" t="inlineStr">
        <is>
          <t>Module Test Case Breakdown by Priority</t>
        </is>
      </c>
    </row>
    <row r="8" ht="26" customHeight="1">
      <c r="A8" s="36" t="inlineStr">
        <is>
          <t>Module Name</t>
        </is>
      </c>
      <c r="B8" s="37" t="inlineStr">
        <is>
          <t>High Priority</t>
        </is>
      </c>
      <c r="C8" s="37" t="inlineStr">
        <is>
          <t>Medium Priority</t>
        </is>
      </c>
      <c r="D8" s="37" t="inlineStr">
        <is>
          <t>Low Priority</t>
        </is>
      </c>
      <c r="E8" s="37" t="inlineStr">
        <is>
          <t>Total TCs</t>
        </is>
      </c>
    </row>
    <row r="9" ht="22" customHeight="1">
      <c r="A9" s="38" t="inlineStr">
        <is>
          <t>Module 01</t>
        </is>
      </c>
      <c r="B9" s="39">
        <f>COUNTIF('Module 01'!$N$2:$N$500, "High")</f>
        <v/>
      </c>
      <c r="C9" s="40">
        <f>COUNTIF('Module 01'!$N$2:$N$500, "Medium")</f>
        <v/>
      </c>
      <c r="D9" s="41">
        <f>COUNTIF('Module 01'!$N$2:$N$500, "Low")</f>
        <v/>
      </c>
      <c r="E9" s="42">
        <f>SUM(B9:D9)</f>
        <v/>
      </c>
    </row>
    <row r="10" ht="22" customHeight="1">
      <c r="A10" s="43" t="inlineStr">
        <is>
          <t>Module 02</t>
        </is>
      </c>
      <c r="B10" s="44">
        <f>COUNTIF('Module 02'!$N$2:$N$500, "High")</f>
        <v/>
      </c>
      <c r="C10" s="45">
        <f>COUNTIF('Module 02'!$N$2:$N$500, "Medium")</f>
        <v/>
      </c>
      <c r="D10" s="46">
        <f>COUNTIF('Module 02'!$N$2:$N$500, "Low")</f>
        <v/>
      </c>
      <c r="E10" s="47">
        <f>SUM(B10:D10)</f>
        <v/>
      </c>
    </row>
    <row r="11" ht="22" customHeight="1">
      <c r="A11" s="38" t="inlineStr">
        <is>
          <t>Module 03</t>
        </is>
      </c>
      <c r="B11" s="39">
        <f>COUNTIF('Module 03'!$N$2:$N$500, "High")</f>
        <v/>
      </c>
      <c r="C11" s="40">
        <f>COUNTIF('Module 03'!$N$2:$N$500, "Medium")</f>
        <v/>
      </c>
      <c r="D11" s="41">
        <f>COUNTIF('Module 03'!$N$2:$N$500, "Low")</f>
        <v/>
      </c>
      <c r="E11" s="42">
        <f>SUM(B11:D11)</f>
        <v/>
      </c>
    </row>
    <row r="12" ht="22" customHeight="1">
      <c r="A12" s="43" t="inlineStr">
        <is>
          <t>Module 04</t>
        </is>
      </c>
      <c r="B12" s="44">
        <f>COUNTIF('Module 04'!$N$2:$N$500, "High")</f>
        <v/>
      </c>
      <c r="C12" s="45">
        <f>COUNTIF('Module 04'!$N$2:$N$500, "Medium")</f>
        <v/>
      </c>
      <c r="D12" s="46">
        <f>COUNTIF('Module 04'!$N$2:$N$500, "Low")</f>
        <v/>
      </c>
      <c r="E12" s="47">
        <f>SUM(B12:D12)</f>
        <v/>
      </c>
    </row>
    <row r="13" ht="22" customHeight="1">
      <c r="A13" s="38" t="inlineStr">
        <is>
          <t>Module 05</t>
        </is>
      </c>
      <c r="B13" s="39">
        <f>COUNTIF('Module 05'!$N$2:$N$500, "High")</f>
        <v/>
      </c>
      <c r="C13" s="40">
        <f>COUNTIF('Module 05'!$N$2:$N$500, "Medium")</f>
        <v/>
      </c>
      <c r="D13" s="41">
        <f>COUNTIF('Module 05'!$N$2:$N$500, "Low")</f>
        <v/>
      </c>
      <c r="E13" s="42">
        <f>SUM(B13:D13)</f>
        <v/>
      </c>
    </row>
    <row r="14" ht="22" customHeight="1">
      <c r="A14" s="43" t="inlineStr">
        <is>
          <t>Module 06</t>
        </is>
      </c>
      <c r="B14" s="44">
        <f>COUNTIF('Module 06'!$O$2:$O$500, "High")</f>
        <v/>
      </c>
      <c r="C14" s="45">
        <f>COUNTIF('Module 06'!$O$2:$O$500, "Medium")</f>
        <v/>
      </c>
      <c r="D14" s="46">
        <f>COUNTIF('Module 06'!$O$2:$O$500, "Low")</f>
        <v/>
      </c>
      <c r="E14" s="47">
        <f>SUM(B14:D14)</f>
        <v/>
      </c>
    </row>
    <row r="15" ht="22" customHeight="1">
      <c r="A15" s="38" t="inlineStr">
        <is>
          <t>Module 07</t>
        </is>
      </c>
      <c r="B15" s="39">
        <f>COUNTIF('Module 07'!$N$2:$N$500, "High")</f>
        <v/>
      </c>
      <c r="C15" s="40">
        <f>COUNTIF('Module 07'!$N$2:$N$500, "Medium")</f>
        <v/>
      </c>
      <c r="D15" s="41">
        <f>COUNTIF('Module 07'!$N$2:$N$500, "Low")</f>
        <v/>
      </c>
      <c r="E15" s="42">
        <f>SUM(B15:D15)</f>
        <v/>
      </c>
    </row>
    <row r="16" ht="22" customHeight="1">
      <c r="A16" s="43" t="inlineStr">
        <is>
          <t>Module 08</t>
        </is>
      </c>
      <c r="B16" s="44">
        <f>COUNTIF('Module 08'!$N$2:$N$500, "High")</f>
        <v/>
      </c>
      <c r="C16" s="45">
        <f>COUNTIF('Module 08'!$N$2:$N$500, "Medium")</f>
        <v/>
      </c>
      <c r="D16" s="46">
        <f>COUNTIF('Module 08'!$N$2:$N$500, "Low")</f>
        <v/>
      </c>
      <c r="E16" s="47">
        <f>SUM(B16:D16)</f>
        <v/>
      </c>
    </row>
    <row r="17" ht="22" customHeight="1">
      <c r="A17" s="38" t="inlineStr">
        <is>
          <t>Module 09</t>
        </is>
      </c>
      <c r="B17" s="39">
        <f>COUNTIF('Module 09'!$N$2:$N$500, "High")</f>
        <v/>
      </c>
      <c r="C17" s="40">
        <f>COUNTIF('Module 09'!$N$2:$N$500, "Medium")</f>
        <v/>
      </c>
      <c r="D17" s="41">
        <f>COUNTIF('Module 09'!$N$2:$N$500, "Low")</f>
        <v/>
      </c>
      <c r="E17" s="42">
        <f>SUM(B17:D17)</f>
        <v/>
      </c>
    </row>
    <row r="18" ht="24" customHeight="1">
      <c r="A18" s="14" t="inlineStr">
        <is>
          <t>Total</t>
        </is>
      </c>
      <c r="B18" s="15">
        <f>SUM(B9:B17)</f>
        <v/>
      </c>
      <c r="C18" s="15">
        <f>SUM(C9:C17)</f>
        <v/>
      </c>
      <c r="D18" s="15">
        <f>SUM(D9:D17)</f>
        <v/>
      </c>
      <c r="E18" s="15">
        <f>SUM(E9:E17)</f>
        <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102"/>
  <sheetViews>
    <sheetView showGridLines="1" workbookViewId="0">
      <selection activeCell="A1" sqref="A1"/>
    </sheetView>
  </sheetViews>
  <sheetFormatPr baseColWidth="8" defaultRowHeight="15"/>
  <cols>
    <col width="24" customWidth="1" min="1" max="1"/>
    <col width="16" customWidth="1" min="2" max="2"/>
    <col width="36" customWidth="1" min="3" max="3"/>
    <col width="16" customWidth="1" min="4" max="4"/>
    <col width="16" customWidth="1" min="5" max="5"/>
    <col width="18" customWidth="1" min="6" max="6"/>
    <col width="16" customWidth="1" min="7" max="7"/>
  </cols>
  <sheetData>
    <row r="1" ht="40" customHeight="1">
      <c r="A1" s="1" t="inlineStr">
        <is>
          <t>Academic Portal - Comprehensive Test Suite &amp; Feature Breakdown</t>
        </is>
      </c>
    </row>
    <row r="3" ht="20" customHeight="1">
      <c r="A3" s="2" t="inlineStr">
        <is>
          <t>Total Modules</t>
        </is>
      </c>
      <c r="B3" s="2" t="inlineStr">
        <is>
          <t>Total Features</t>
        </is>
      </c>
      <c r="C3" s="2" t="inlineStr">
        <is>
          <t>Total Test Cases</t>
        </is>
      </c>
      <c r="D3" s="2" t="inlineStr">
        <is>
          <t>High Priority</t>
        </is>
      </c>
      <c r="E3" s="2" t="inlineStr">
        <is>
          <t>Medium Priority</t>
        </is>
      </c>
    </row>
    <row r="4" ht="35" customHeight="1">
      <c r="A4" s="3" t="n">
        <v>9</v>
      </c>
      <c r="B4" s="4" t="n">
        <v>81</v>
      </c>
      <c r="C4" s="4" t="n">
        <v>251</v>
      </c>
      <c r="D4" s="5" t="n">
        <v>192</v>
      </c>
      <c r="E4" s="6" t="n">
        <v>55</v>
      </c>
    </row>
    <row r="6">
      <c r="A6" s="7" t="inlineStr">
        <is>
          <t>1. Module Summary Overview</t>
        </is>
      </c>
    </row>
    <row r="7" ht="26" customHeight="1">
      <c r="A7" s="8" t="inlineStr">
        <is>
          <t>Module Name</t>
        </is>
      </c>
      <c r="B7" s="9" t="inlineStr">
        <is>
          <t>Total Test Cases</t>
        </is>
      </c>
      <c r="C7" s="9" t="inlineStr">
        <is>
          <t>High Priority</t>
        </is>
      </c>
      <c r="D7" s="9" t="inlineStr">
        <is>
          <t>Medium Priority</t>
        </is>
      </c>
      <c r="E7" s="9" t="inlineStr">
        <is>
          <t>Low Priority</t>
        </is>
      </c>
    </row>
    <row r="8" ht="22" customHeight="1">
      <c r="A8" s="10" t="inlineStr">
        <is>
          <t>Module 01</t>
        </is>
      </c>
      <c r="B8" s="11" t="n">
        <v>33</v>
      </c>
      <c r="C8" s="11" t="n">
        <v>27</v>
      </c>
      <c r="D8" s="11" t="n">
        <v>6</v>
      </c>
      <c r="E8" s="11" t="n">
        <v>0</v>
      </c>
    </row>
    <row r="9" ht="22" customHeight="1">
      <c r="A9" s="12" t="inlineStr">
        <is>
          <t>Module 02</t>
        </is>
      </c>
      <c r="B9" s="13" t="n">
        <v>25</v>
      </c>
      <c r="C9" s="13" t="n">
        <v>17</v>
      </c>
      <c r="D9" s="13" t="n">
        <v>8</v>
      </c>
      <c r="E9" s="13" t="n">
        <v>0</v>
      </c>
    </row>
    <row r="10" ht="22" customHeight="1">
      <c r="A10" s="10" t="inlineStr">
        <is>
          <t>Module 03</t>
        </is>
      </c>
      <c r="B10" s="11" t="n">
        <v>22</v>
      </c>
      <c r="C10" s="11" t="n">
        <v>19</v>
      </c>
      <c r="D10" s="11" t="n">
        <v>2</v>
      </c>
      <c r="E10" s="11" t="n">
        <v>0</v>
      </c>
    </row>
    <row r="11" ht="22" customHeight="1">
      <c r="A11" s="12" t="inlineStr">
        <is>
          <t>Module 04</t>
        </is>
      </c>
      <c r="B11" s="13" t="n">
        <v>33</v>
      </c>
      <c r="C11" s="13" t="n">
        <v>19</v>
      </c>
      <c r="D11" s="13" t="n">
        <v>12</v>
      </c>
      <c r="E11" s="13" t="n">
        <v>2</v>
      </c>
    </row>
    <row r="12" ht="22" customHeight="1">
      <c r="A12" s="10" t="inlineStr">
        <is>
          <t>Module 05</t>
        </is>
      </c>
      <c r="B12" s="11" t="n">
        <v>23</v>
      </c>
      <c r="C12" s="11" t="n">
        <v>19</v>
      </c>
      <c r="D12" s="11" t="n">
        <v>4</v>
      </c>
      <c r="E12" s="11" t="n">
        <v>0</v>
      </c>
    </row>
    <row r="13" ht="22" customHeight="1">
      <c r="A13" s="12" t="inlineStr">
        <is>
          <t>Module 06</t>
        </is>
      </c>
      <c r="B13" s="13" t="n">
        <v>31</v>
      </c>
      <c r="C13" s="13" t="n">
        <v>28</v>
      </c>
      <c r="D13" s="13" t="n">
        <v>3</v>
      </c>
      <c r="E13" s="13" t="n">
        <v>0</v>
      </c>
    </row>
    <row r="14" ht="22" customHeight="1">
      <c r="A14" s="10" t="inlineStr">
        <is>
          <t>Module 07</t>
        </is>
      </c>
      <c r="B14" s="11" t="n">
        <v>41</v>
      </c>
      <c r="C14" s="11" t="n">
        <v>32</v>
      </c>
      <c r="D14" s="11" t="n">
        <v>9</v>
      </c>
      <c r="E14" s="11" t="n">
        <v>0</v>
      </c>
    </row>
    <row r="15" ht="22" customHeight="1">
      <c r="A15" s="12" t="inlineStr">
        <is>
          <t>Module 08</t>
        </is>
      </c>
      <c r="B15" s="13" t="n">
        <v>20</v>
      </c>
      <c r="C15" s="13" t="n">
        <v>12</v>
      </c>
      <c r="D15" s="13" t="n">
        <v>7</v>
      </c>
      <c r="E15" s="13" t="n">
        <v>1</v>
      </c>
    </row>
    <row r="16" ht="22" customHeight="1">
      <c r="A16" s="10" t="inlineStr">
        <is>
          <t>Module 09</t>
        </is>
      </c>
      <c r="B16" s="11" t="n">
        <v>23</v>
      </c>
      <c r="C16" s="11" t="n">
        <v>19</v>
      </c>
      <c r="D16" s="11" t="n">
        <v>4</v>
      </c>
      <c r="E16" s="11" t="n">
        <v>0</v>
      </c>
    </row>
    <row r="17" ht="24" customHeight="1">
      <c r="A17" s="14" t="inlineStr">
        <is>
          <t>Total</t>
        </is>
      </c>
      <c r="B17" s="15" t="n">
        <v>251</v>
      </c>
      <c r="C17" s="15" t="n">
        <v>192</v>
      </c>
      <c r="D17" s="15" t="n">
        <v>55</v>
      </c>
      <c r="E17" s="15" t="n">
        <v>3</v>
      </c>
    </row>
    <row r="20">
      <c r="A20" s="7" t="inlineStr">
        <is>
          <t>2. Feature Categorization Breakdown</t>
        </is>
      </c>
    </row>
    <row r="21" ht="26" customHeight="1">
      <c r="A21" s="16" t="inlineStr">
        <is>
          <t>Module</t>
        </is>
      </c>
      <c r="B21" s="17" t="inlineStr">
        <is>
          <t>Feature ID</t>
        </is>
      </c>
      <c r="C21" s="16" t="inlineStr">
        <is>
          <t>Feature Name</t>
        </is>
      </c>
      <c r="D21" s="17" t="inlineStr">
        <is>
          <t>Test Cases</t>
        </is>
      </c>
      <c r="E21" s="17" t="inlineStr">
        <is>
          <t>High Priority</t>
        </is>
      </c>
      <c r="F21" s="17" t="inlineStr">
        <is>
          <t>Medium Priority</t>
        </is>
      </c>
      <c r="G21" s="17" t="inlineStr">
        <is>
          <t>Low Priority</t>
        </is>
      </c>
    </row>
    <row r="22" ht="22" customHeight="1">
      <c r="A22" s="10" t="inlineStr">
        <is>
          <t>Module 01</t>
        </is>
      </c>
      <c r="B22" s="18" t="inlineStr">
        <is>
          <t>M01-F01</t>
        </is>
      </c>
      <c r="C22" s="10" t="inlineStr">
        <is>
          <t>Batch Creation</t>
        </is>
      </c>
      <c r="D22" s="11" t="n">
        <v>7</v>
      </c>
      <c r="E22" s="11" t="n">
        <v>7</v>
      </c>
      <c r="F22" s="11" t="n">
        <v>0</v>
      </c>
      <c r="G22" s="11" t="n">
        <v>0</v>
      </c>
    </row>
    <row r="23" ht="22" customHeight="1">
      <c r="A23" s="12" t="inlineStr">
        <is>
          <t>Module 01</t>
        </is>
      </c>
      <c r="B23" s="19" t="inlineStr">
        <is>
          <t>M01-F02</t>
        </is>
      </c>
      <c r="C23" s="12" t="inlineStr">
        <is>
          <t>Batch Editing</t>
        </is>
      </c>
      <c r="D23" s="13" t="n">
        <v>3</v>
      </c>
      <c r="E23" s="13" t="n">
        <v>3</v>
      </c>
      <c r="F23" s="13" t="n">
        <v>0</v>
      </c>
      <c r="G23" s="13" t="n">
        <v>0</v>
      </c>
    </row>
    <row r="24" ht="22" customHeight="1">
      <c r="A24" s="10" t="inlineStr">
        <is>
          <t>Module 01</t>
        </is>
      </c>
      <c r="B24" s="18" t="inlineStr">
        <is>
          <t>M01-F03</t>
        </is>
      </c>
      <c r="C24" s="10" t="inlineStr">
        <is>
          <t>Batch Archiving</t>
        </is>
      </c>
      <c r="D24" s="11" t="n">
        <v>3</v>
      </c>
      <c r="E24" s="11" t="n">
        <v>2</v>
      </c>
      <c r="F24" s="11" t="n">
        <v>1</v>
      </c>
      <c r="G24" s="11" t="n">
        <v>0</v>
      </c>
    </row>
    <row r="25" ht="22" customHeight="1">
      <c r="A25" s="12" t="inlineStr">
        <is>
          <t>Module 01</t>
        </is>
      </c>
      <c r="B25" s="19" t="inlineStr">
        <is>
          <t>M01-F04</t>
        </is>
      </c>
      <c r="C25" s="12" t="inlineStr">
        <is>
          <t>Single Student Creation</t>
        </is>
      </c>
      <c r="D25" s="13" t="n">
        <v>3</v>
      </c>
      <c r="E25" s="13" t="n">
        <v>3</v>
      </c>
      <c r="F25" s="13" t="n">
        <v>0</v>
      </c>
      <c r="G25" s="13" t="n">
        <v>0</v>
      </c>
    </row>
    <row r="26" ht="22" customHeight="1">
      <c r="A26" s="10" t="inlineStr">
        <is>
          <t>Module 01</t>
        </is>
      </c>
      <c r="B26" s="18" t="inlineStr">
        <is>
          <t>M01-F05</t>
        </is>
      </c>
      <c r="C26" s="10" t="inlineStr">
        <is>
          <t>Bulk Student Import</t>
        </is>
      </c>
      <c r="D26" s="11" t="n">
        <v>4</v>
      </c>
      <c r="E26" s="11" t="n">
        <v>4</v>
      </c>
      <c r="F26" s="11" t="n">
        <v>0</v>
      </c>
      <c r="G26" s="11" t="n">
        <v>0</v>
      </c>
    </row>
    <row r="27" ht="22" customHeight="1">
      <c r="A27" s="12" t="inlineStr">
        <is>
          <t>Module 01</t>
        </is>
      </c>
      <c r="B27" s="19" t="inlineStr">
        <is>
          <t>M01-F06</t>
        </is>
      </c>
      <c r="C27" s="12" t="inlineStr">
        <is>
          <t>Student Editing</t>
        </is>
      </c>
      <c r="D27" s="13" t="n">
        <v>2</v>
      </c>
      <c r="E27" s="13" t="n">
        <v>2</v>
      </c>
      <c r="F27" s="13" t="n">
        <v>0</v>
      </c>
      <c r="G27" s="13" t="n">
        <v>0</v>
      </c>
    </row>
    <row r="28" ht="22" customHeight="1">
      <c r="A28" s="10" t="inlineStr">
        <is>
          <t>Module 01</t>
        </is>
      </c>
      <c r="B28" s="18" t="inlineStr">
        <is>
          <t>M01-F07</t>
        </is>
      </c>
      <c r="C28" s="10" t="inlineStr">
        <is>
          <t>Follow-up Flag</t>
        </is>
      </c>
      <c r="D28" s="11" t="n">
        <v>1</v>
      </c>
      <c r="E28" s="11" t="n">
        <v>1</v>
      </c>
      <c r="F28" s="11" t="n">
        <v>0</v>
      </c>
      <c r="G28" s="11" t="n">
        <v>0</v>
      </c>
    </row>
    <row r="29" ht="22" customHeight="1">
      <c r="A29" s="12" t="inlineStr">
        <is>
          <t>Module 01</t>
        </is>
      </c>
      <c r="B29" s="19" t="inlineStr">
        <is>
          <t>M01-F08</t>
        </is>
      </c>
      <c r="C29" s="12" t="inlineStr">
        <is>
          <t>Student Status Management</t>
        </is>
      </c>
      <c r="D29" s="13" t="n">
        <v>2</v>
      </c>
      <c r="E29" s="13" t="n">
        <v>2</v>
      </c>
      <c r="F29" s="13" t="n">
        <v>0</v>
      </c>
      <c r="G29" s="13" t="n">
        <v>0</v>
      </c>
    </row>
    <row r="30" ht="22" customHeight="1">
      <c r="A30" s="10" t="inlineStr">
        <is>
          <t>Module 01</t>
        </is>
      </c>
      <c r="B30" s="18" t="inlineStr">
        <is>
          <t>M01-F09</t>
        </is>
      </c>
      <c r="C30" s="10" t="inlineStr">
        <is>
          <t>Search &amp; Filter</t>
        </is>
      </c>
      <c r="D30" s="11" t="n">
        <v>3</v>
      </c>
      <c r="E30" s="11" t="n">
        <v>0</v>
      </c>
      <c r="F30" s="11" t="n">
        <v>3</v>
      </c>
      <c r="G30" s="11" t="n">
        <v>0</v>
      </c>
    </row>
    <row r="31" ht="22" customHeight="1">
      <c r="A31" s="12" t="inlineStr">
        <is>
          <t>Module 01</t>
        </is>
      </c>
      <c r="B31" s="19" t="inlineStr">
        <is>
          <t>M01-F10</t>
        </is>
      </c>
      <c r="C31" s="12" t="inlineStr">
        <is>
          <t>Dashboard Overview</t>
        </is>
      </c>
      <c r="D31" s="13" t="n">
        <v>2</v>
      </c>
      <c r="E31" s="13" t="n">
        <v>0</v>
      </c>
      <c r="F31" s="13" t="n">
        <v>2</v>
      </c>
      <c r="G31" s="13" t="n">
        <v>0</v>
      </c>
    </row>
    <row r="32" ht="22" customHeight="1">
      <c r="A32" s="10" t="inlineStr">
        <is>
          <t>Module 01</t>
        </is>
      </c>
      <c r="B32" s="18" t="inlineStr">
        <is>
          <t>M01-SEC</t>
        </is>
      </c>
      <c r="C32" s="10" t="inlineStr">
        <is>
          <t>Access Control &amp; Security</t>
        </is>
      </c>
      <c r="D32" s="11" t="n">
        <v>3</v>
      </c>
      <c r="E32" s="11" t="n">
        <v>3</v>
      </c>
      <c r="F32" s="11" t="n">
        <v>0</v>
      </c>
      <c r="G32" s="11" t="n">
        <v>0</v>
      </c>
    </row>
    <row r="33" ht="22" customHeight="1">
      <c r="A33" s="12" t="inlineStr">
        <is>
          <t>Module 02</t>
        </is>
      </c>
      <c r="B33" s="19" t="inlineStr">
        <is>
          <t>M02-F01</t>
        </is>
      </c>
      <c r="C33" s="12" t="inlineStr">
        <is>
          <t>Single Observation Entry</t>
        </is>
      </c>
      <c r="D33" s="13" t="n">
        <v>3</v>
      </c>
      <c r="E33" s="13" t="n">
        <v>3</v>
      </c>
      <c r="F33" s="13" t="n">
        <v>0</v>
      </c>
      <c r="G33" s="13" t="n">
        <v>0</v>
      </c>
    </row>
    <row r="34" ht="22" customHeight="1">
      <c r="A34" s="10" t="inlineStr">
        <is>
          <t>Module 02</t>
        </is>
      </c>
      <c r="B34" s="18" t="inlineStr">
        <is>
          <t>M02-F02</t>
        </is>
      </c>
      <c r="C34" s="10" t="inlineStr">
        <is>
          <t>Auto Rating Suggestion</t>
        </is>
      </c>
      <c r="D34" s="11" t="n">
        <v>4</v>
      </c>
      <c r="E34" s="11" t="n">
        <v>2</v>
      </c>
      <c r="F34" s="11" t="n">
        <v>2</v>
      </c>
      <c r="G34" s="11" t="n">
        <v>0</v>
      </c>
    </row>
    <row r="35" ht="22" customHeight="1">
      <c r="A35" s="12" t="inlineStr">
        <is>
          <t>Module 02</t>
        </is>
      </c>
      <c r="B35" s="19" t="inlineStr">
        <is>
          <t>M02-F03</t>
        </is>
      </c>
      <c r="C35" s="12" t="inlineStr">
        <is>
          <t>Batch Entry – All Subjects</t>
        </is>
      </c>
      <c r="D35" s="13" t="n">
        <v>2</v>
      </c>
      <c r="E35" s="13" t="n">
        <v>2</v>
      </c>
      <c r="F35" s="13" t="n">
        <v>0</v>
      </c>
      <c r="G35" s="13" t="n">
        <v>0</v>
      </c>
    </row>
    <row r="36" ht="22" customHeight="1">
      <c r="A36" s="10" t="inlineStr">
        <is>
          <t>Module 02</t>
        </is>
      </c>
      <c r="B36" s="18" t="inlineStr">
        <is>
          <t>M02-F04</t>
        </is>
      </c>
      <c r="C36" s="10" t="inlineStr">
        <is>
          <t>Batch Entry – By Subject</t>
        </is>
      </c>
      <c r="D36" s="11" t="n">
        <v>2</v>
      </c>
      <c r="E36" s="11" t="n">
        <v>2</v>
      </c>
      <c r="F36" s="11" t="n">
        <v>0</v>
      </c>
      <c r="G36" s="11" t="n">
        <v>0</v>
      </c>
    </row>
    <row r="37" ht="22" customHeight="1">
      <c r="A37" s="12" t="inlineStr">
        <is>
          <t>Module 02</t>
        </is>
      </c>
      <c r="B37" s="19" t="inlineStr">
        <is>
          <t>M02-F05</t>
        </is>
      </c>
      <c r="C37" s="12" t="inlineStr">
        <is>
          <t>Observation Editing</t>
        </is>
      </c>
      <c r="D37" s="13" t="n">
        <v>2</v>
      </c>
      <c r="E37" s="13" t="n">
        <v>2</v>
      </c>
      <c r="F37" s="13" t="n">
        <v>0</v>
      </c>
      <c r="G37" s="13" t="n">
        <v>0</v>
      </c>
    </row>
    <row r="38" ht="22" customHeight="1">
      <c r="A38" s="10" t="inlineStr">
        <is>
          <t>Module 02</t>
        </is>
      </c>
      <c r="B38" s="18" t="inlineStr">
        <is>
          <t>M02-F06</t>
        </is>
      </c>
      <c r="C38" s="10" t="inlineStr">
        <is>
          <t>Duplicate Detection &amp; Merge</t>
        </is>
      </c>
      <c r="D38" s="11" t="n">
        <v>2</v>
      </c>
      <c r="E38" s="11" t="n">
        <v>2</v>
      </c>
      <c r="F38" s="11" t="n">
        <v>0</v>
      </c>
      <c r="G38" s="11" t="n">
        <v>0</v>
      </c>
    </row>
    <row r="39" ht="22" customHeight="1">
      <c r="A39" s="12" t="inlineStr">
        <is>
          <t>Module 02</t>
        </is>
      </c>
      <c r="B39" s="19" t="inlineStr">
        <is>
          <t>M02-F07</t>
        </is>
      </c>
      <c r="C39" s="12" t="inlineStr">
        <is>
          <t>Session Management</t>
        </is>
      </c>
      <c r="D39" s="13" t="n">
        <v>4</v>
      </c>
      <c r="E39" s="13" t="n">
        <v>3</v>
      </c>
      <c r="F39" s="13" t="n">
        <v>1</v>
      </c>
      <c r="G39" s="13" t="n">
        <v>0</v>
      </c>
    </row>
    <row r="40" ht="22" customHeight="1">
      <c r="A40" s="10" t="inlineStr">
        <is>
          <t>Module 02</t>
        </is>
      </c>
      <c r="B40" s="18" t="inlineStr">
        <is>
          <t>M02-F08</t>
        </is>
      </c>
      <c r="C40" s="10" t="inlineStr">
        <is>
          <t>Session Progress</t>
        </is>
      </c>
      <c r="D40" s="11" t="n">
        <v>1</v>
      </c>
      <c r="E40" s="11" t="n">
        <v>0</v>
      </c>
      <c r="F40" s="11" t="n">
        <v>1</v>
      </c>
      <c r="G40" s="11" t="n">
        <v>0</v>
      </c>
    </row>
    <row r="41" ht="22" customHeight="1">
      <c r="A41" s="12" t="inlineStr">
        <is>
          <t>Module 02</t>
        </is>
      </c>
      <c r="B41" s="19" t="inlineStr">
        <is>
          <t>M02-F10</t>
        </is>
      </c>
      <c r="C41" s="12" t="inlineStr">
        <is>
          <t>Search, Filter &amp; Sorting</t>
        </is>
      </c>
      <c r="D41" s="13" t="n">
        <v>2</v>
      </c>
      <c r="E41" s="13" t="n">
        <v>0</v>
      </c>
      <c r="F41" s="13" t="n">
        <v>2</v>
      </c>
      <c r="G41" s="13" t="n">
        <v>0</v>
      </c>
    </row>
    <row r="42" ht="22" customHeight="1">
      <c r="A42" s="10" t="inlineStr">
        <is>
          <t>Module 02</t>
        </is>
      </c>
      <c r="B42" s="18" t="inlineStr">
        <is>
          <t>M02-F11</t>
        </is>
      </c>
      <c r="C42" s="10" t="inlineStr">
        <is>
          <t>Dashboard Overview</t>
        </is>
      </c>
      <c r="D42" s="11" t="n">
        <v>2</v>
      </c>
      <c r="E42" s="11" t="n">
        <v>0</v>
      </c>
      <c r="F42" s="11" t="n">
        <v>2</v>
      </c>
      <c r="G42" s="11" t="n">
        <v>0</v>
      </c>
    </row>
    <row r="43" ht="22" customHeight="1">
      <c r="A43" s="12" t="inlineStr">
        <is>
          <t>Module 02</t>
        </is>
      </c>
      <c r="B43" s="19" t="inlineStr">
        <is>
          <t>M02-SEC</t>
        </is>
      </c>
      <c r="C43" s="12" t="inlineStr">
        <is>
          <t>Access Control &amp; Security</t>
        </is>
      </c>
      <c r="D43" s="13" t="n">
        <v>1</v>
      </c>
      <c r="E43" s="13" t="n">
        <v>1</v>
      </c>
      <c r="F43" s="13" t="n">
        <v>0</v>
      </c>
      <c r="G43" s="13" t="n">
        <v>0</v>
      </c>
    </row>
    <row r="44" ht="22" customHeight="1">
      <c r="A44" s="10" t="inlineStr">
        <is>
          <t>Module 03</t>
        </is>
      </c>
      <c r="B44" s="18" t="inlineStr">
        <is>
          <t>M03-F01</t>
        </is>
      </c>
      <c r="C44" s="10" t="inlineStr">
        <is>
          <t>Course / Subject Creation</t>
        </is>
      </c>
      <c r="D44" s="11" t="n">
        <v>3</v>
      </c>
      <c r="E44" s="11" t="n">
        <v>3</v>
      </c>
      <c r="F44" s="11" t="n">
        <v>0</v>
      </c>
      <c r="G44" s="11" t="n">
        <v>0</v>
      </c>
    </row>
    <row r="45" ht="22" customHeight="1">
      <c r="A45" s="12" t="inlineStr">
        <is>
          <t>Module 03</t>
        </is>
      </c>
      <c r="B45" s="19" t="inlineStr">
        <is>
          <t>M03-F02</t>
        </is>
      </c>
      <c r="C45" s="12" t="inlineStr">
        <is>
          <t>Grade Entry Structure</t>
        </is>
      </c>
      <c r="D45" s="13" t="n">
        <v>1</v>
      </c>
      <c r="E45" s="13" t="n">
        <v>1</v>
      </c>
      <c r="F45" s="13" t="n">
        <v>0</v>
      </c>
      <c r="G45" s="13" t="n">
        <v>0</v>
      </c>
    </row>
    <row r="46" ht="22" customHeight="1">
      <c r="A46" s="10" t="inlineStr">
        <is>
          <t>Module 03</t>
        </is>
      </c>
      <c r="B46" s="18" t="inlineStr">
        <is>
          <t>M03-F03</t>
        </is>
      </c>
      <c r="C46" s="10" t="inlineStr">
        <is>
          <t>Automatic TBKT Calculation</t>
        </is>
      </c>
      <c r="D46" s="11" t="n">
        <v>6</v>
      </c>
      <c r="E46" s="11" t="n">
        <v>6</v>
      </c>
      <c r="F46" s="11" t="n">
        <v>0</v>
      </c>
      <c r="G46" s="11" t="n">
        <v>0</v>
      </c>
    </row>
    <row r="47" ht="22" customHeight="1">
      <c r="A47" s="12" t="inlineStr">
        <is>
          <t>Module 03</t>
        </is>
      </c>
      <c r="B47" s="19" t="inlineStr">
        <is>
          <t>M03-F04</t>
        </is>
      </c>
      <c r="C47" s="12" t="inlineStr">
        <is>
          <t>Grade Upload via CSV</t>
        </is>
      </c>
      <c r="D47" s="13" t="n">
        <v>5</v>
      </c>
      <c r="E47" s="13" t="n">
        <v>4</v>
      </c>
      <c r="F47" s="13" t="n">
        <v>0</v>
      </c>
      <c r="G47" s="13" t="n">
        <v>0</v>
      </c>
    </row>
    <row r="48" ht="22" customHeight="1">
      <c r="A48" s="10" t="inlineStr">
        <is>
          <t>Module 03</t>
        </is>
      </c>
      <c r="B48" s="18" t="inlineStr">
        <is>
          <t>M03-F05</t>
        </is>
      </c>
      <c r="C48" s="10" t="inlineStr">
        <is>
          <t>Subject Deletion</t>
        </is>
      </c>
      <c r="D48" s="11" t="n">
        <v>1</v>
      </c>
      <c r="E48" s="11" t="n">
        <v>1</v>
      </c>
      <c r="F48" s="11" t="n">
        <v>0</v>
      </c>
      <c r="G48" s="11" t="n">
        <v>0</v>
      </c>
    </row>
    <row r="49" ht="22" customHeight="1">
      <c r="A49" s="12" t="inlineStr">
        <is>
          <t>Module 03</t>
        </is>
      </c>
      <c r="B49" s="19" t="inlineStr">
        <is>
          <t>M03-F06</t>
        </is>
      </c>
      <c r="C49" s="12" t="inlineStr">
        <is>
          <t>PDF Transcript Export</t>
        </is>
      </c>
      <c r="D49" s="13" t="n">
        <v>4</v>
      </c>
      <c r="E49" s="13" t="n">
        <v>2</v>
      </c>
      <c r="F49" s="13" t="n">
        <v>2</v>
      </c>
      <c r="G49" s="13" t="n">
        <v>0</v>
      </c>
    </row>
    <row r="50" ht="22" customHeight="1">
      <c r="A50" s="10" t="inlineStr">
        <is>
          <t>Module 03</t>
        </is>
      </c>
      <c r="B50" s="18" t="inlineStr">
        <is>
          <t>M03-F07</t>
        </is>
      </c>
      <c r="C50" s="10" t="inlineStr">
        <is>
          <t>Manual GPA &amp; Letter Grade Entry</t>
        </is>
      </c>
      <c r="D50" s="11" t="n">
        <v>1</v>
      </c>
      <c r="E50" s="11" t="n">
        <v>1</v>
      </c>
      <c r="F50" s="11" t="n">
        <v>0</v>
      </c>
      <c r="G50" s="11" t="n">
        <v>0</v>
      </c>
    </row>
    <row r="51" ht="22" customHeight="1">
      <c r="A51" s="12" t="inlineStr">
        <is>
          <t>Module 03</t>
        </is>
      </c>
      <c r="B51" s="19" t="inlineStr">
        <is>
          <t>M03-SEC</t>
        </is>
      </c>
      <c r="C51" s="12" t="inlineStr">
        <is>
          <t>Access Control &amp; Security</t>
        </is>
      </c>
      <c r="D51" s="13" t="n">
        <v>1</v>
      </c>
      <c r="E51" s="13" t="n">
        <v>1</v>
      </c>
      <c r="F51" s="13" t="n">
        <v>0</v>
      </c>
      <c r="G51" s="13" t="n">
        <v>0</v>
      </c>
    </row>
    <row r="52" ht="22" customHeight="1">
      <c r="A52" s="10" t="inlineStr">
        <is>
          <t>Module 04</t>
        </is>
      </c>
      <c r="B52" s="18" t="inlineStr">
        <is>
          <t>M04-F01</t>
        </is>
      </c>
      <c r="C52" s="10" t="inlineStr">
        <is>
          <t>Council Feedback Record</t>
        </is>
      </c>
      <c r="D52" s="11" t="n">
        <v>5</v>
      </c>
      <c r="E52" s="11" t="n">
        <v>5</v>
      </c>
      <c r="F52" s="11" t="n">
        <v>0</v>
      </c>
      <c r="G52" s="11" t="n">
        <v>0</v>
      </c>
    </row>
    <row r="53" ht="22" customHeight="1">
      <c r="A53" s="12" t="inlineStr">
        <is>
          <t>Module 04</t>
        </is>
      </c>
      <c r="B53" s="19" t="inlineStr">
        <is>
          <t>M04-F02</t>
        </is>
      </c>
      <c r="C53" s="12" t="inlineStr">
        <is>
          <t>Academic Warning Flag</t>
        </is>
      </c>
      <c r="D53" s="13" t="n">
        <v>5</v>
      </c>
      <c r="E53" s="13" t="n">
        <v>2</v>
      </c>
      <c r="F53" s="13" t="n">
        <v>3</v>
      </c>
      <c r="G53" s="13" t="n">
        <v>0</v>
      </c>
    </row>
    <row r="54" ht="22" customHeight="1">
      <c r="A54" s="10" t="inlineStr">
        <is>
          <t>Module 04</t>
        </is>
      </c>
      <c r="B54" s="18" t="inlineStr">
        <is>
          <t>M04-F03</t>
        </is>
      </c>
      <c r="C54" s="10" t="inlineStr">
        <is>
          <t>Duplicate Record Prevention</t>
        </is>
      </c>
      <c r="D54" s="11" t="n">
        <v>2</v>
      </c>
      <c r="E54" s="11" t="n">
        <v>2</v>
      </c>
      <c r="F54" s="11" t="n">
        <v>0</v>
      </c>
      <c r="G54" s="11" t="n">
        <v>0</v>
      </c>
    </row>
    <row r="55" ht="22" customHeight="1">
      <c r="A55" s="12" t="inlineStr">
        <is>
          <t>Module 04</t>
        </is>
      </c>
      <c r="B55" s="19" t="inlineStr">
        <is>
          <t>M04-F04</t>
        </is>
      </c>
      <c r="C55" s="12" t="inlineStr">
        <is>
          <t>Auto Draft Saving</t>
        </is>
      </c>
      <c r="D55" s="13" t="n">
        <v>4</v>
      </c>
      <c r="E55" s="13" t="n">
        <v>1</v>
      </c>
      <c r="F55" s="13" t="n">
        <v>2</v>
      </c>
      <c r="G55" s="13" t="n">
        <v>1</v>
      </c>
    </row>
    <row r="56" ht="22" customHeight="1">
      <c r="A56" s="10" t="inlineStr">
        <is>
          <t>Module 04</t>
        </is>
      </c>
      <c r="B56" s="18" t="inlineStr">
        <is>
          <t>M04-F05</t>
        </is>
      </c>
      <c r="C56" s="10" t="inlineStr">
        <is>
          <t>Draft Recovery / Discard</t>
        </is>
      </c>
      <c r="D56" s="11" t="n">
        <v>3</v>
      </c>
      <c r="E56" s="11" t="n">
        <v>2</v>
      </c>
      <c r="F56" s="11" t="n">
        <v>1</v>
      </c>
      <c r="G56" s="11" t="n">
        <v>0</v>
      </c>
    </row>
    <row r="57" ht="22" customHeight="1">
      <c r="A57" s="12" t="inlineStr">
        <is>
          <t>Module 04</t>
        </is>
      </c>
      <c r="B57" s="19" t="inlineStr">
        <is>
          <t>M04-F06</t>
        </is>
      </c>
      <c r="C57" s="12" t="inlineStr">
        <is>
          <t>Batch Feedback Entry</t>
        </is>
      </c>
      <c r="D57" s="13" t="n">
        <v>4</v>
      </c>
      <c r="E57" s="13" t="n">
        <v>2</v>
      </c>
      <c r="F57" s="13" t="n">
        <v>1</v>
      </c>
      <c r="G57" s="13" t="n">
        <v>1</v>
      </c>
    </row>
    <row r="58" ht="22" customHeight="1">
      <c r="A58" s="10" t="inlineStr">
        <is>
          <t>Module 04</t>
        </is>
      </c>
      <c r="B58" s="18" t="inlineStr">
        <is>
          <t>M04-F07</t>
        </is>
      </c>
      <c r="C58" s="10" t="inlineStr">
        <is>
          <t>Concurrent Edit Conflict Handling</t>
        </is>
      </c>
      <c r="D58" s="11" t="n">
        <v>3</v>
      </c>
      <c r="E58" s="11" t="n">
        <v>2</v>
      </c>
      <c r="F58" s="11" t="n">
        <v>1</v>
      </c>
      <c r="G58" s="11" t="n">
        <v>0</v>
      </c>
    </row>
    <row r="59" ht="22" customHeight="1">
      <c r="A59" s="12" t="inlineStr">
        <is>
          <t>Module 04</t>
        </is>
      </c>
      <c r="B59" s="19" t="inlineStr">
        <is>
          <t>M04-F08</t>
        </is>
      </c>
      <c r="C59" s="12" t="inlineStr">
        <is>
          <t>PDF Report Export</t>
        </is>
      </c>
      <c r="D59" s="13" t="n">
        <v>5</v>
      </c>
      <c r="E59" s="13" t="n">
        <v>1</v>
      </c>
      <c r="F59" s="13" t="n">
        <v>4</v>
      </c>
      <c r="G59" s="13" t="n">
        <v>0</v>
      </c>
    </row>
    <row r="60" ht="22" customHeight="1">
      <c r="A60" s="10" t="inlineStr">
        <is>
          <t>Module 04</t>
        </is>
      </c>
      <c r="B60" s="18" t="inlineStr">
        <is>
          <t>M04-SEC</t>
        </is>
      </c>
      <c r="C60" s="10" t="inlineStr">
        <is>
          <t>Access Control &amp; Security</t>
        </is>
      </c>
      <c r="D60" s="11" t="n">
        <v>2</v>
      </c>
      <c r="E60" s="11" t="n">
        <v>2</v>
      </c>
      <c r="F60" s="11" t="n">
        <v>0</v>
      </c>
      <c r="G60" s="11" t="n">
        <v>0</v>
      </c>
    </row>
    <row r="61" ht="22" customHeight="1">
      <c r="A61" s="12" t="inlineStr">
        <is>
          <t>Module 05</t>
        </is>
      </c>
      <c r="B61" s="19" t="inlineStr">
        <is>
          <t>M05-F01</t>
        </is>
      </c>
      <c r="C61" s="12" t="inlineStr">
        <is>
          <t>Internship Group Creation</t>
        </is>
      </c>
      <c r="D61" s="13" t="n">
        <v>6</v>
      </c>
      <c r="E61" s="13" t="n">
        <v>5</v>
      </c>
      <c r="F61" s="13" t="n">
        <v>1</v>
      </c>
      <c r="G61" s="13" t="n">
        <v>0</v>
      </c>
    </row>
    <row r="62" ht="22" customHeight="1">
      <c r="A62" s="10" t="inlineStr">
        <is>
          <t>Module 05</t>
        </is>
      </c>
      <c r="B62" s="18" t="inlineStr">
        <is>
          <t>M05-F03</t>
        </is>
      </c>
      <c r="C62" s="10" t="inlineStr">
        <is>
          <t>Partner Company Management</t>
        </is>
      </c>
      <c r="D62" s="11" t="n">
        <v>4</v>
      </c>
      <c r="E62" s="11" t="n">
        <v>3</v>
      </c>
      <c r="F62" s="11" t="n">
        <v>1</v>
      </c>
      <c r="G62" s="11" t="n">
        <v>0</v>
      </c>
    </row>
    <row r="63" ht="22" customHeight="1">
      <c r="A63" s="12" t="inlineStr">
        <is>
          <t>Module 05</t>
        </is>
      </c>
      <c r="B63" s="19" t="inlineStr">
        <is>
          <t>M05-F04</t>
        </is>
      </c>
      <c r="C63" s="12" t="inlineStr">
        <is>
          <t>Single Student Internship Assignment</t>
        </is>
      </c>
      <c r="D63" s="13" t="n">
        <v>3</v>
      </c>
      <c r="E63" s="13" t="n">
        <v>2</v>
      </c>
      <c r="F63" s="13" t="n">
        <v>1</v>
      </c>
      <c r="G63" s="13" t="n">
        <v>0</v>
      </c>
    </row>
    <row r="64" ht="22" customHeight="1">
      <c r="A64" s="10" t="inlineStr">
        <is>
          <t>Module 05</t>
        </is>
      </c>
      <c r="B64" s="18" t="inlineStr">
        <is>
          <t>M05-F05</t>
        </is>
      </c>
      <c r="C64" s="10" t="inlineStr">
        <is>
          <t>Batch Student Internship Assignment</t>
        </is>
      </c>
      <c r="D64" s="11" t="n">
        <v>1</v>
      </c>
      <c r="E64" s="11" t="n">
        <v>1</v>
      </c>
      <c r="F64" s="11" t="n">
        <v>0</v>
      </c>
      <c r="G64" s="11" t="n">
        <v>0</v>
      </c>
    </row>
    <row r="65" ht="22" customHeight="1">
      <c r="A65" s="12" t="inlineStr">
        <is>
          <t>Module 05</t>
        </is>
      </c>
      <c r="B65" s="19" t="inlineStr">
        <is>
          <t>M05-F06</t>
        </is>
      </c>
      <c r="C65" s="12" t="inlineStr">
        <is>
          <t>Company Hiding &amp; Deletion Safety</t>
        </is>
      </c>
      <c r="D65" s="13" t="n">
        <v>2</v>
      </c>
      <c r="E65" s="13" t="n">
        <v>2</v>
      </c>
      <c r="F65" s="13" t="n">
        <v>0</v>
      </c>
      <c r="G65" s="13" t="n">
        <v>0</v>
      </c>
    </row>
    <row r="66" ht="22" customHeight="1">
      <c r="A66" s="10" t="inlineStr">
        <is>
          <t>Module 05</t>
        </is>
      </c>
      <c r="B66" s="18" t="inlineStr">
        <is>
          <t>M05-F07</t>
        </is>
      </c>
      <c r="C66" s="10" t="inlineStr">
        <is>
          <t>Feedback Recording by Team</t>
        </is>
      </c>
      <c r="D66" s="11" t="n">
        <v>4</v>
      </c>
      <c r="E66" s="11" t="n">
        <v>3</v>
      </c>
      <c r="F66" s="11" t="n">
        <v>1</v>
      </c>
      <c r="G66" s="11" t="n">
        <v>0</v>
      </c>
    </row>
    <row r="67" ht="22" customHeight="1">
      <c r="A67" s="12" t="inlineStr">
        <is>
          <t>Module 05</t>
        </is>
      </c>
      <c r="B67" s="19" t="inlineStr">
        <is>
          <t>M05-F08</t>
        </is>
      </c>
      <c r="C67" s="12" t="inlineStr">
        <is>
          <t>Same for All Feedback</t>
        </is>
      </c>
      <c r="D67" s="13" t="n">
        <v>1</v>
      </c>
      <c r="E67" s="13" t="n">
        <v>1</v>
      </c>
      <c r="F67" s="13" t="n">
        <v>0</v>
      </c>
      <c r="G67" s="13" t="n">
        <v>0</v>
      </c>
    </row>
    <row r="68" ht="22" customHeight="1">
      <c r="A68" s="10" t="inlineStr">
        <is>
          <t>Module 05</t>
        </is>
      </c>
      <c r="B68" s="18" t="inlineStr">
        <is>
          <t>M05-F09</t>
        </is>
      </c>
      <c r="C68" s="10" t="inlineStr">
        <is>
          <t>Feedback Editing</t>
        </is>
      </c>
      <c r="D68" s="11" t="n">
        <v>2</v>
      </c>
      <c r="E68" s="11" t="n">
        <v>2</v>
      </c>
      <c r="F68" s="11" t="n">
        <v>0</v>
      </c>
      <c r="G68" s="11" t="n">
        <v>0</v>
      </c>
    </row>
    <row r="69" ht="22" customHeight="1">
      <c r="A69" s="12" t="inlineStr">
        <is>
          <t>Module 06</t>
        </is>
      </c>
      <c r="B69" s="19" t="inlineStr">
        <is>
          <t>M06-F01</t>
        </is>
      </c>
      <c r="C69" s="12" t="inlineStr">
        <is>
          <t>Report Creation</t>
        </is>
      </c>
      <c r="D69" s="13" t="n">
        <v>4</v>
      </c>
      <c r="E69" s="13" t="n">
        <v>4</v>
      </c>
      <c r="F69" s="13" t="n">
        <v>0</v>
      </c>
      <c r="G69" s="13" t="n">
        <v>0</v>
      </c>
    </row>
    <row r="70" ht="22" customHeight="1">
      <c r="A70" s="10" t="inlineStr">
        <is>
          <t>Module 06</t>
        </is>
      </c>
      <c r="B70" s="18" t="inlineStr">
        <is>
          <t>M06-F02</t>
        </is>
      </c>
      <c r="C70" s="10" t="inlineStr">
        <is>
          <t>Draft Saving &amp; Editing</t>
        </is>
      </c>
      <c r="D70" s="11" t="n">
        <v>3</v>
      </c>
      <c r="E70" s="11" t="n">
        <v>3</v>
      </c>
      <c r="F70" s="11" t="n">
        <v>0</v>
      </c>
      <c r="G70" s="11" t="n">
        <v>0</v>
      </c>
    </row>
    <row r="71" ht="22" customHeight="1">
      <c r="A71" s="12" t="inlineStr">
        <is>
          <t>Module 06</t>
        </is>
      </c>
      <c r="B71" s="19" t="inlineStr">
        <is>
          <t>M06-F03</t>
        </is>
      </c>
      <c r="C71" s="12" t="inlineStr">
        <is>
          <t>Automatic Date Calculation</t>
        </is>
      </c>
      <c r="D71" s="13" t="n">
        <v>3</v>
      </c>
      <c r="E71" s="13" t="n">
        <v>3</v>
      </c>
      <c r="F71" s="13" t="n">
        <v>0</v>
      </c>
      <c r="G71" s="13" t="n">
        <v>0</v>
      </c>
    </row>
    <row r="72" ht="22" customHeight="1">
      <c r="A72" s="10" t="inlineStr">
        <is>
          <t>Module 06</t>
        </is>
      </c>
      <c r="B72" s="18" t="inlineStr">
        <is>
          <t>M06-F04</t>
        </is>
      </c>
      <c r="C72" s="10" t="inlineStr">
        <is>
          <t>Dynamic Task Table Management</t>
        </is>
      </c>
      <c r="D72" s="11" t="n">
        <v>3</v>
      </c>
      <c r="E72" s="11" t="n">
        <v>3</v>
      </c>
      <c r="F72" s="11" t="n">
        <v>0</v>
      </c>
      <c r="G72" s="11" t="n">
        <v>0</v>
      </c>
    </row>
    <row r="73" ht="22" customHeight="1">
      <c r="A73" s="12" t="inlineStr">
        <is>
          <t>Module 06</t>
        </is>
      </c>
      <c r="B73" s="19" t="inlineStr">
        <is>
          <t>M06-F05</t>
        </is>
      </c>
      <c r="C73" s="12" t="inlineStr">
        <is>
          <t>Working Hours Calculation</t>
        </is>
      </c>
      <c r="D73" s="13" t="n">
        <v>4</v>
      </c>
      <c r="E73" s="13" t="n">
        <v>3</v>
      </c>
      <c r="F73" s="13" t="n">
        <v>1</v>
      </c>
      <c r="G73" s="13" t="n">
        <v>0</v>
      </c>
    </row>
    <row r="74" ht="22" customHeight="1">
      <c r="A74" s="10" t="inlineStr">
        <is>
          <t>Module 06</t>
        </is>
      </c>
      <c r="B74" s="18" t="inlineStr">
        <is>
          <t>M06-F06</t>
        </is>
      </c>
      <c r="C74" s="10" t="inlineStr">
        <is>
          <t>Report Submission</t>
        </is>
      </c>
      <c r="D74" s="11" t="n">
        <v>9</v>
      </c>
      <c r="E74" s="11" t="n">
        <v>8</v>
      </c>
      <c r="F74" s="11" t="n">
        <v>1</v>
      </c>
      <c r="G74" s="11" t="n">
        <v>0</v>
      </c>
    </row>
    <row r="75" ht="22" customHeight="1">
      <c r="A75" s="12" t="inlineStr">
        <is>
          <t>Module 06</t>
        </is>
      </c>
      <c r="B75" s="19" t="inlineStr">
        <is>
          <t>M06-F07</t>
        </is>
      </c>
      <c r="C75" s="12" t="inlineStr">
        <is>
          <t>Read-only Submitted Reports</t>
        </is>
      </c>
      <c r="D75" s="13" t="n">
        <v>1</v>
      </c>
      <c r="E75" s="13" t="n">
        <v>1</v>
      </c>
      <c r="F75" s="13" t="n">
        <v>0</v>
      </c>
      <c r="G75" s="13" t="n">
        <v>0</v>
      </c>
    </row>
    <row r="76" ht="22" customHeight="1">
      <c r="A76" s="10" t="inlineStr">
        <is>
          <t>Module 06</t>
        </is>
      </c>
      <c r="B76" s="18" t="inlineStr">
        <is>
          <t>M06-F08</t>
        </is>
      </c>
      <c r="C76" s="10" t="inlineStr">
        <is>
          <t>Automated Email Notifications</t>
        </is>
      </c>
      <c r="D76" s="11" t="n">
        <v>2</v>
      </c>
      <c r="E76" s="11" t="n">
        <v>1</v>
      </c>
      <c r="F76" s="11" t="n">
        <v>1</v>
      </c>
      <c r="G76" s="11" t="n">
        <v>0</v>
      </c>
    </row>
    <row r="77" ht="22" customHeight="1">
      <c r="A77" s="12" t="inlineStr">
        <is>
          <t>Module 06</t>
        </is>
      </c>
      <c r="B77" s="19" t="inlineStr">
        <is>
          <t>M06-F09</t>
        </is>
      </c>
      <c r="C77" s="12" t="inlineStr">
        <is>
          <t>Staff Report Viewing</t>
        </is>
      </c>
      <c r="D77" s="13" t="n">
        <v>2</v>
      </c>
      <c r="E77" s="13" t="n">
        <v>2</v>
      </c>
      <c r="F77" s="13" t="n">
        <v>0</v>
      </c>
      <c r="G77" s="13" t="n">
        <v>0</v>
      </c>
    </row>
    <row r="78" ht="22" customHeight="1">
      <c r="A78" s="10" t="inlineStr">
        <is>
          <t>Module 07</t>
        </is>
      </c>
      <c r="B78" s="18" t="inlineStr">
        <is>
          <t>M07-F02</t>
        </is>
      </c>
      <c r="C78" s="10" t="inlineStr">
        <is>
          <t>Category Management</t>
        </is>
      </c>
      <c r="D78" s="11" t="n">
        <v>4</v>
      </c>
      <c r="E78" s="11" t="n">
        <v>3</v>
      </c>
      <c r="F78" s="11" t="n">
        <v>1</v>
      </c>
      <c r="G78" s="11" t="n">
        <v>0</v>
      </c>
    </row>
    <row r="79" ht="22" customHeight="1">
      <c r="A79" s="12" t="inlineStr">
        <is>
          <t>Module 07</t>
        </is>
      </c>
      <c r="B79" s="19" t="inlineStr">
        <is>
          <t>M07-F03</t>
        </is>
      </c>
      <c r="C79" s="12" t="inlineStr">
        <is>
          <t>Course Management</t>
        </is>
      </c>
      <c r="D79" s="13" t="n">
        <v>8</v>
      </c>
      <c r="E79" s="13" t="n">
        <v>7</v>
      </c>
      <c r="F79" s="13" t="n">
        <v>1</v>
      </c>
      <c r="G79" s="13" t="n">
        <v>0</v>
      </c>
    </row>
    <row r="80" ht="22" customHeight="1">
      <c r="A80" s="10" t="inlineStr">
        <is>
          <t>Module 07</t>
        </is>
      </c>
      <c r="B80" s="18" t="inlineStr">
        <is>
          <t>M07-F04</t>
        </is>
      </c>
      <c r="C80" s="10" t="inlineStr">
        <is>
          <t>Session Management</t>
        </is>
      </c>
      <c r="D80" s="11" t="n">
        <v>6</v>
      </c>
      <c r="E80" s="11" t="n">
        <v>4</v>
      </c>
      <c r="F80" s="11" t="n">
        <v>2</v>
      </c>
      <c r="G80" s="11" t="n">
        <v>0</v>
      </c>
    </row>
    <row r="81" ht="22" customHeight="1">
      <c r="A81" s="12" t="inlineStr">
        <is>
          <t>Module 07</t>
        </is>
      </c>
      <c r="B81" s="19" t="inlineStr">
        <is>
          <t>M07-F05</t>
        </is>
      </c>
      <c r="C81" s="12" t="inlineStr">
        <is>
          <t>Exam Management</t>
        </is>
      </c>
      <c r="D81" s="13" t="n">
        <v>6</v>
      </c>
      <c r="E81" s="13" t="n">
        <v>4</v>
      </c>
      <c r="F81" s="13" t="n">
        <v>2</v>
      </c>
      <c r="G81" s="13" t="n">
        <v>0</v>
      </c>
    </row>
    <row r="82" ht="22" customHeight="1">
      <c r="A82" s="10" t="inlineStr">
        <is>
          <t>Module 07</t>
        </is>
      </c>
      <c r="B82" s="18" t="inlineStr">
        <is>
          <t>M07-F06</t>
        </is>
      </c>
      <c r="C82" s="10" t="inlineStr">
        <is>
          <t>Material Link Attachment</t>
        </is>
      </c>
      <c r="D82" s="11" t="n">
        <v>6</v>
      </c>
      <c r="E82" s="11" t="n">
        <v>5</v>
      </c>
      <c r="F82" s="11" t="n">
        <v>1</v>
      </c>
      <c r="G82" s="11" t="n">
        <v>0</v>
      </c>
    </row>
    <row r="83" ht="22" customHeight="1">
      <c r="A83" s="12" t="inlineStr">
        <is>
          <t>Module 07</t>
        </is>
      </c>
      <c r="B83" s="19" t="inlineStr">
        <is>
          <t>M07-F07</t>
        </is>
      </c>
      <c r="C83" s="12" t="inlineStr">
        <is>
          <t>CSV Export &amp; Import</t>
        </is>
      </c>
      <c r="D83" s="13" t="n">
        <v>8</v>
      </c>
      <c r="E83" s="13" t="n">
        <v>6</v>
      </c>
      <c r="F83" s="13" t="n">
        <v>2</v>
      </c>
      <c r="G83" s="13" t="n">
        <v>0</v>
      </c>
    </row>
    <row r="84" ht="22" customHeight="1">
      <c r="A84" s="10" t="inlineStr">
        <is>
          <t>Module 07</t>
        </is>
      </c>
      <c r="B84" s="18" t="inlineStr">
        <is>
          <t>M07-F08</t>
        </is>
      </c>
      <c r="C84" s="10" t="inlineStr">
        <is>
          <t>Role Permissions &amp; Access Control</t>
        </is>
      </c>
      <c r="D84" s="11" t="n">
        <v>3</v>
      </c>
      <c r="E84" s="11" t="n">
        <v>3</v>
      </c>
      <c r="F84" s="11" t="n">
        <v>0</v>
      </c>
      <c r="G84" s="11" t="n">
        <v>0</v>
      </c>
    </row>
    <row r="85" ht="22" customHeight="1">
      <c r="A85" s="12" t="inlineStr">
        <is>
          <t>Module 08</t>
        </is>
      </c>
      <c r="B85" s="19" t="inlineStr">
        <is>
          <t>M08-F01</t>
        </is>
      </c>
      <c r="C85" s="12" t="inlineStr">
        <is>
          <t>Photo Upload</t>
        </is>
      </c>
      <c r="D85" s="13" t="n">
        <v>7</v>
      </c>
      <c r="E85" s="13" t="n">
        <v>6</v>
      </c>
      <c r="F85" s="13" t="n">
        <v>1</v>
      </c>
      <c r="G85" s="13" t="n">
        <v>0</v>
      </c>
    </row>
    <row r="86" ht="22" customHeight="1">
      <c r="A86" s="10" t="inlineStr">
        <is>
          <t>Module 08</t>
        </is>
      </c>
      <c r="B86" s="18" t="inlineStr">
        <is>
          <t>M08-F02</t>
        </is>
      </c>
      <c r="C86" s="10" t="inlineStr">
        <is>
          <t>Photo Deletion</t>
        </is>
      </c>
      <c r="D86" s="11" t="n">
        <v>1</v>
      </c>
      <c r="E86" s="11" t="n">
        <v>1</v>
      </c>
      <c r="F86" s="11" t="n">
        <v>0</v>
      </c>
      <c r="G86" s="11" t="n">
        <v>0</v>
      </c>
    </row>
    <row r="87" ht="22" customHeight="1">
      <c r="A87" s="12" t="inlineStr">
        <is>
          <t>Module 08</t>
        </is>
      </c>
      <c r="B87" s="19" t="inlineStr">
        <is>
          <t>M08-F03</t>
        </is>
      </c>
      <c r="C87" s="12" t="inlineStr">
        <is>
          <t>Default Avatar Display</t>
        </is>
      </c>
      <c r="D87" s="13" t="n">
        <v>2</v>
      </c>
      <c r="E87" s="13" t="n">
        <v>1</v>
      </c>
      <c r="F87" s="13" t="n">
        <v>1</v>
      </c>
      <c r="G87" s="13" t="n">
        <v>0</v>
      </c>
    </row>
    <row r="88" ht="22" customHeight="1">
      <c r="A88" s="10" t="inlineStr">
        <is>
          <t>Module 08</t>
        </is>
      </c>
      <c r="B88" s="18" t="inlineStr">
        <is>
          <t>M08-F04</t>
        </is>
      </c>
      <c r="C88" s="10" t="inlineStr">
        <is>
          <t>Avatar Display Sizing</t>
        </is>
      </c>
      <c r="D88" s="11" t="n">
        <v>1</v>
      </c>
      <c r="E88" s="11" t="n">
        <v>0</v>
      </c>
      <c r="F88" s="11" t="n">
        <v>1</v>
      </c>
      <c r="G88" s="11" t="n">
        <v>0</v>
      </c>
    </row>
    <row r="89" ht="22" customHeight="1">
      <c r="A89" s="12" t="inlineStr">
        <is>
          <t>Module 08</t>
        </is>
      </c>
      <c r="B89" s="19" t="inlineStr">
        <is>
          <t>M08-F05</t>
        </is>
      </c>
      <c r="C89" s="12" t="inlineStr">
        <is>
          <t>Google Drive Storage Naming</t>
        </is>
      </c>
      <c r="D89" s="13" t="n">
        <v>3</v>
      </c>
      <c r="E89" s="13" t="n">
        <v>1</v>
      </c>
      <c r="F89" s="13" t="n">
        <v>2</v>
      </c>
      <c r="G89" s="13" t="n">
        <v>0</v>
      </c>
    </row>
    <row r="90" ht="22" customHeight="1">
      <c r="A90" s="10" t="inlineStr">
        <is>
          <t>Module 08</t>
        </is>
      </c>
      <c r="B90" s="18" t="inlineStr">
        <is>
          <t>M08-F06</t>
        </is>
      </c>
      <c r="C90" s="10" t="inlineStr">
        <is>
          <t>Drive Integration Error Handling</t>
        </is>
      </c>
      <c r="D90" s="11" t="n">
        <v>2</v>
      </c>
      <c r="E90" s="11" t="n">
        <v>0</v>
      </c>
      <c r="F90" s="11" t="n">
        <v>2</v>
      </c>
      <c r="G90" s="11" t="n">
        <v>0</v>
      </c>
    </row>
    <row r="91" ht="22" customHeight="1">
      <c r="A91" s="12" t="inlineStr">
        <is>
          <t>Module 08</t>
        </is>
      </c>
      <c r="B91" s="19" t="inlineStr">
        <is>
          <t>M08-F07</t>
        </is>
      </c>
      <c r="C91" s="12" t="inlineStr">
        <is>
          <t>Role Permissions &amp; Access Control</t>
        </is>
      </c>
      <c r="D91" s="13" t="n">
        <v>3</v>
      </c>
      <c r="E91" s="13" t="n">
        <v>3</v>
      </c>
      <c r="F91" s="13" t="n">
        <v>0</v>
      </c>
      <c r="G91" s="13" t="n">
        <v>0</v>
      </c>
    </row>
    <row r="92" ht="22" customHeight="1">
      <c r="A92" s="10" t="inlineStr">
        <is>
          <t>Module 08</t>
        </is>
      </c>
      <c r="B92" s="18" t="inlineStr">
        <is>
          <t>M08-F08</t>
        </is>
      </c>
      <c r="C92" s="10" t="inlineStr">
        <is>
          <t>Feature Scope Verification</t>
        </is>
      </c>
      <c r="D92" s="11" t="n">
        <v>1</v>
      </c>
      <c r="E92" s="11" t="n">
        <v>0</v>
      </c>
      <c r="F92" s="11" t="n">
        <v>0</v>
      </c>
      <c r="G92" s="11" t="n">
        <v>1</v>
      </c>
    </row>
    <row r="93" ht="22" customHeight="1">
      <c r="A93" s="12" t="inlineStr">
        <is>
          <t>Module 09</t>
        </is>
      </c>
      <c r="B93" s="19" t="inlineStr">
        <is>
          <t>M09-F01</t>
        </is>
      </c>
      <c r="C93" s="12" t="inlineStr">
        <is>
          <t>Role-based Auto-login</t>
        </is>
      </c>
      <c r="D93" s="13" t="n">
        <v>5</v>
      </c>
      <c r="E93" s="13" t="n">
        <v>4</v>
      </c>
      <c r="F93" s="13" t="n">
        <v>1</v>
      </c>
      <c r="G93" s="13" t="n">
        <v>0</v>
      </c>
    </row>
    <row r="94" ht="22" customHeight="1">
      <c r="A94" s="10" t="inlineStr">
        <is>
          <t>Module 09</t>
        </is>
      </c>
      <c r="B94" s="18" t="inlineStr">
        <is>
          <t>M09-F02</t>
        </is>
      </c>
      <c r="C94" s="10" t="inlineStr">
        <is>
          <t>Semester Navigation</t>
        </is>
      </c>
      <c r="D94" s="11" t="n">
        <v>2</v>
      </c>
      <c r="E94" s="11" t="n">
        <v>1</v>
      </c>
      <c r="F94" s="11" t="n">
        <v>1</v>
      </c>
      <c r="G94" s="11" t="n">
        <v>0</v>
      </c>
    </row>
    <row r="95" ht="22" customHeight="1">
      <c r="A95" s="12" t="inlineStr">
        <is>
          <t>Module 09</t>
        </is>
      </c>
      <c r="B95" s="19" t="inlineStr">
        <is>
          <t>M09-F03</t>
        </is>
      </c>
      <c r="C95" s="12" t="inlineStr">
        <is>
          <t>Subject Categorization</t>
        </is>
      </c>
      <c r="D95" s="13" t="n">
        <v>1</v>
      </c>
      <c r="E95" s="13" t="n">
        <v>1</v>
      </c>
      <c r="F95" s="13" t="n">
        <v>0</v>
      </c>
      <c r="G95" s="13" t="n">
        <v>0</v>
      </c>
    </row>
    <row r="96" ht="22" customHeight="1">
      <c r="A96" s="10" t="inlineStr">
        <is>
          <t>Module 09</t>
        </is>
      </c>
      <c r="B96" s="18" t="inlineStr">
        <is>
          <t>M09-F04</t>
        </is>
      </c>
      <c r="C96" s="10" t="inlineStr">
        <is>
          <t>Read-only View Enforcement</t>
        </is>
      </c>
      <c r="D96" s="11" t="n">
        <v>1</v>
      </c>
      <c r="E96" s="11" t="n">
        <v>1</v>
      </c>
      <c r="F96" s="11" t="n">
        <v>0</v>
      </c>
      <c r="G96" s="11" t="n">
        <v>0</v>
      </c>
    </row>
    <row r="97" ht="22" customHeight="1">
      <c r="A97" s="12" t="inlineStr">
        <is>
          <t>Module 09</t>
        </is>
      </c>
      <c r="B97" s="19" t="inlineStr">
        <is>
          <t>M09-F05</t>
        </is>
      </c>
      <c r="C97" s="12" t="inlineStr">
        <is>
          <t>Grade Representation &amp; Placeholders</t>
        </is>
      </c>
      <c r="D97" s="13" t="n">
        <v>1</v>
      </c>
      <c r="E97" s="13" t="n">
        <v>0</v>
      </c>
      <c r="F97" s="13" t="n">
        <v>1</v>
      </c>
      <c r="G97" s="13" t="n">
        <v>0</v>
      </c>
    </row>
    <row r="98" ht="22" customHeight="1">
      <c r="A98" s="10" t="inlineStr">
        <is>
          <t>Module 09</t>
        </is>
      </c>
      <c r="B98" s="18" t="inlineStr">
        <is>
          <t>M09-F06</t>
        </is>
      </c>
      <c r="C98" s="10" t="inlineStr">
        <is>
          <t>Grade Color Coding</t>
        </is>
      </c>
      <c r="D98" s="11" t="n">
        <v>6</v>
      </c>
      <c r="E98" s="11" t="n">
        <v>6</v>
      </c>
      <c r="F98" s="11" t="n">
        <v>0</v>
      </c>
      <c r="G98" s="11" t="n">
        <v>0</v>
      </c>
    </row>
    <row r="99" ht="22" customHeight="1">
      <c r="A99" s="12" t="inlineStr">
        <is>
          <t>Module 09</t>
        </is>
      </c>
      <c r="B99" s="19" t="inlineStr">
        <is>
          <t>M09-F07</t>
        </is>
      </c>
      <c r="C99" s="12" t="inlineStr">
        <is>
          <t>Re-study Status Display</t>
        </is>
      </c>
      <c r="D99" s="13" t="n">
        <v>1</v>
      </c>
      <c r="E99" s="13" t="n">
        <v>1</v>
      </c>
      <c r="F99" s="13" t="n">
        <v>0</v>
      </c>
      <c r="G99" s="13" t="n">
        <v>0</v>
      </c>
    </row>
    <row r="100" ht="22" customHeight="1">
      <c r="A100" s="10" t="inlineStr">
        <is>
          <t>Module 09</t>
        </is>
      </c>
      <c r="B100" s="18" t="inlineStr">
        <is>
          <t>M09-F08</t>
        </is>
      </c>
      <c r="C100" s="10" t="inlineStr">
        <is>
          <t>Internship Report Shortcut Visibility</t>
        </is>
      </c>
      <c r="D100" s="11" t="n">
        <v>3</v>
      </c>
      <c r="E100" s="11" t="n">
        <v>3</v>
      </c>
      <c r="F100" s="11" t="n">
        <v>0</v>
      </c>
      <c r="G100" s="11" t="n">
        <v>0</v>
      </c>
    </row>
    <row r="101" ht="22" customHeight="1">
      <c r="A101" s="12" t="inlineStr">
        <is>
          <t>Module 09</t>
        </is>
      </c>
      <c r="B101" s="19" t="inlineStr">
        <is>
          <t>M09-F09</t>
        </is>
      </c>
      <c r="C101" s="12" t="inlineStr">
        <is>
          <t>Student Data Isolation</t>
        </is>
      </c>
      <c r="D101" s="13" t="n">
        <v>2</v>
      </c>
      <c r="E101" s="13" t="n">
        <v>2</v>
      </c>
      <c r="F101" s="13" t="n">
        <v>0</v>
      </c>
      <c r="G101" s="13" t="n">
        <v>0</v>
      </c>
    </row>
    <row r="102" ht="22" customHeight="1">
      <c r="A102" s="10" t="inlineStr">
        <is>
          <t>Module 09</t>
        </is>
      </c>
      <c r="B102" s="18" t="inlineStr">
        <is>
          <t>M09-F10</t>
        </is>
      </c>
      <c r="C102" s="10" t="inlineStr">
        <is>
          <t>Responsive Design</t>
        </is>
      </c>
      <c r="D102" s="11" t="n">
        <v>1</v>
      </c>
      <c r="E102" s="11" t="n">
        <v>0</v>
      </c>
      <c r="F102" s="11" t="n">
        <v>1</v>
      </c>
      <c r="G102" s="11" t="n">
        <v>0</v>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4"/>
  <sheetViews>
    <sheetView showGridLines="1" workbookViewId="0">
      <selection activeCell="A1" sqref="A1"/>
    </sheetView>
  </sheetViews>
  <sheetFormatPr baseColWidth="8" defaultRowHeight="15"/>
  <cols>
    <col width="15" customWidth="1" min="1" max="1"/>
    <col width="14" customWidth="1" min="2" max="2"/>
    <col width="14" customWidth="1" min="3" max="3"/>
    <col width="28" customWidth="1" min="4" max="4"/>
    <col width="32" customWidth="1" min="5" max="5"/>
    <col width="36" customWidth="1" min="6" max="6"/>
    <col width="30" customWidth="1" min="7" max="7"/>
    <col width="28" customWidth="1" min="8" max="8"/>
    <col width="48" customWidth="1" min="9" max="9"/>
    <col width="48" customWidth="1" min="10" max="10"/>
    <col width="36" customWidth="1" min="11" max="11"/>
    <col width="16" customWidth="1" min="12" max="12"/>
    <col width="25" customWidth="1" min="13" max="13"/>
    <col width="14" customWidth="1" min="14" max="14"/>
    <col width="32" customWidth="1" min="15" max="15"/>
  </cols>
  <sheetData>
    <row r="1" ht="28" customHeight="1">
      <c r="A1" s="20" t="inlineStr">
        <is>
          <t>ID</t>
        </is>
      </c>
      <c r="B1" s="20" t="inlineStr">
        <is>
          <t>Module</t>
        </is>
      </c>
      <c r="C1" s="20" t="inlineStr">
        <is>
          <t>Feature ID</t>
        </is>
      </c>
      <c r="D1" s="20" t="inlineStr">
        <is>
          <t>Feature Name</t>
        </is>
      </c>
      <c r="E1" s="20" t="inlineStr">
        <is>
          <t>Title</t>
        </is>
      </c>
      <c r="F1" s="20" t="inlineStr">
        <is>
          <t>Objective</t>
        </is>
      </c>
      <c r="G1" s="20" t="inlineStr">
        <is>
          <t>Preconditions</t>
        </is>
      </c>
      <c r="H1" s="20" t="inlineStr">
        <is>
          <t>TestData</t>
        </is>
      </c>
      <c r="I1" s="20" t="inlineStr">
        <is>
          <t>Steps</t>
        </is>
      </c>
      <c r="J1" s="20" t="inlineStr">
        <is>
          <t>ExpectedResult</t>
        </is>
      </c>
      <c r="K1" s="20" t="inlineStr">
        <is>
          <t>Actual Result</t>
        </is>
      </c>
      <c r="L1" s="20" t="inlineStr">
        <is>
          <t>Status</t>
        </is>
      </c>
      <c r="M1" s="20" t="inlineStr">
        <is>
          <t>Evidence</t>
        </is>
      </c>
      <c r="N1" s="20" t="inlineStr">
        <is>
          <t>Priority</t>
        </is>
      </c>
      <c r="O1" s="20" t="inlineStr">
        <is>
          <t>Notes</t>
        </is>
      </c>
    </row>
    <row r="2" ht="105" customHeight="1">
      <c r="A2" s="21" t="inlineStr">
        <is>
          <t>TC-M01-001</t>
        </is>
      </c>
      <c r="B2" s="21" t="inlineStr">
        <is>
          <t>Module 01</t>
        </is>
      </c>
      <c r="C2" s="22" t="inlineStr">
        <is>
          <t>M01-F01</t>
        </is>
      </c>
      <c r="D2" s="23" t="inlineStr">
        <is>
          <t>Batch Creation</t>
        </is>
      </c>
      <c r="E2" s="23" t="inlineStr">
        <is>
          <t>Create Batch with Valid Name</t>
        </is>
      </c>
      <c r="F2" s="23" t="inlineStr">
        <is>
          <t>Verify that a batch can be created using a valid batch name matching the format PNVyyX (e.g. PNV26A).</t>
        </is>
      </c>
      <c r="G2" s="23" t="inlineStr">
        <is>
          <t>Staff user is logged in.</t>
        </is>
      </c>
      <c r="H2" s="23" t="inlineStr">
        <is>
          <t>BatchName=PNV26A; Status=Active</t>
        </is>
      </c>
      <c r="I2" s="23" t="inlineStr">
        <is>
          <t>1. Open Batch Management;
2. Click Create Batch;
3. Enter PNV26A as Batch Name;
4. Select Active status;
5. Click Save</t>
        </is>
      </c>
      <c r="J2" s="23" t="inlineStr">
        <is>
          <t>Batch is created successfully. Success notification appears. PNV26A is displayed in the batch list.</t>
        </is>
      </c>
      <c r="K2" s="23" t="inlineStr">
        <is>
          <t>Batch is created successfully. Success notification appears. PNV26A is displayed in the batch list.</t>
        </is>
      </c>
      <c r="L2" s="24" t="inlineStr">
        <is>
          <t>Passed</t>
        </is>
      </c>
      <c r="M2" s="21" t="inlineStr"/>
      <c r="N2" s="25" t="inlineStr">
        <is>
          <t>High</t>
        </is>
      </c>
      <c r="O2" s="23" t="inlineStr">
        <is>
          <t>Related Requirement: M01-F01, Scenario: BS-01</t>
        </is>
      </c>
    </row>
    <row r="3" ht="90" customHeight="1">
      <c r="A3" s="26" t="inlineStr">
        <is>
          <t>TC-M01-002</t>
        </is>
      </c>
      <c r="B3" s="26" t="inlineStr">
        <is>
          <t>Module 01</t>
        </is>
      </c>
      <c r="C3" s="27" t="inlineStr">
        <is>
          <t>M01-F01</t>
        </is>
      </c>
      <c r="D3" s="28" t="inlineStr">
        <is>
          <t>Batch Creation</t>
        </is>
      </c>
      <c r="E3" s="28" t="inlineStr">
        <is>
          <t>Create Batch with Invalid Name Format - Lowercase Letter</t>
        </is>
      </c>
      <c r="F3" s="28" t="inlineStr">
        <is>
          <t>Verify that the system rejects batch creation if the alphabet code is in lowercase (e.g. PNV26a).</t>
        </is>
      </c>
      <c r="G3" s="28" t="inlineStr">
        <is>
          <t>Staff user is logged in.</t>
        </is>
      </c>
      <c r="H3" s="28" t="inlineStr">
        <is>
          <t>BatchName=PNV26a; Status=Active</t>
        </is>
      </c>
      <c r="I3" s="28" t="inlineStr">
        <is>
          <t>1. Open Batch Management;
2. Click Create Batch;
3. Enter PNV26a as Batch Name;
4. Click Save</t>
        </is>
      </c>
      <c r="J3" s="28" t="inlineStr">
        <is>
          <t>System rejects creation. Error message appears: "Invalid batch name. Use format PNVyyX (e.g., PNV26A)."</t>
        </is>
      </c>
      <c r="K3" s="28" t="inlineStr">
        <is>
          <t>System rejects creation. Error message appears: "Invalid batch name. Use format PNVyyX (e.g., PNV26A)."</t>
        </is>
      </c>
      <c r="L3" s="24" t="inlineStr">
        <is>
          <t>Passed</t>
        </is>
      </c>
      <c r="M3" s="26" t="inlineStr"/>
      <c r="N3" s="25" t="inlineStr">
        <is>
          <t>High</t>
        </is>
      </c>
      <c r="O3" s="28" t="inlineStr">
        <is>
          <t>Related Requirement: M01-F01, Scenario: BS-01</t>
        </is>
      </c>
    </row>
    <row r="4" ht="90" customHeight="1">
      <c r="A4" s="21" t="inlineStr">
        <is>
          <t>TC-M01-003</t>
        </is>
      </c>
      <c r="B4" s="21" t="inlineStr">
        <is>
          <t>Module 01</t>
        </is>
      </c>
      <c r="C4" s="22" t="inlineStr">
        <is>
          <t>M01-F01</t>
        </is>
      </c>
      <c r="D4" s="23" t="inlineStr">
        <is>
          <t>Batch Creation</t>
        </is>
      </c>
      <c r="E4" s="23" t="inlineStr">
        <is>
          <t>Create Batch with Invalid Name Format - Wrong Prefix</t>
        </is>
      </c>
      <c r="F4" s="23" t="inlineStr">
        <is>
          <t>Verify that the system rejects batch creation if the prefix is not PNV (e.g. ABC26A).</t>
        </is>
      </c>
      <c r="G4" s="23" t="inlineStr">
        <is>
          <t>Staff user is logged in.</t>
        </is>
      </c>
      <c r="H4" s="23" t="inlineStr">
        <is>
          <t>BatchName=ABC26A; Status=Active</t>
        </is>
      </c>
      <c r="I4" s="23" t="inlineStr">
        <is>
          <t>1. Open Batch Management;
2. Click Create Batch;
3. Enter ABC26A as Batch Name;
4. Click Save</t>
        </is>
      </c>
      <c r="J4" s="23" t="inlineStr">
        <is>
          <t>System rejects creation. Error message appears: "Invalid batch name. Use format PNVyyX (e.g., PNV26A)."</t>
        </is>
      </c>
      <c r="K4" s="23" t="inlineStr">
        <is>
          <t>System rejects creation. Error message appears: "Invalid batch name. Use format PNVyyX (e.g., PNV26A)."</t>
        </is>
      </c>
      <c r="L4" s="24" t="inlineStr">
        <is>
          <t>Passed</t>
        </is>
      </c>
      <c r="M4" s="21" t="inlineStr"/>
      <c r="N4" s="25" t="inlineStr">
        <is>
          <t>High</t>
        </is>
      </c>
      <c r="O4" s="23" t="inlineStr">
        <is>
          <t>Related Requirement: M01-F01, Scenario: BS-01</t>
        </is>
      </c>
    </row>
    <row r="5" ht="90" customHeight="1">
      <c r="A5" s="26" t="inlineStr">
        <is>
          <t>TC-M01-004</t>
        </is>
      </c>
      <c r="B5" s="26" t="inlineStr">
        <is>
          <t>Module 01</t>
        </is>
      </c>
      <c r="C5" s="27" t="inlineStr">
        <is>
          <t>M01-F01</t>
        </is>
      </c>
      <c r="D5" s="28" t="inlineStr">
        <is>
          <t>Batch Creation</t>
        </is>
      </c>
      <c r="E5" s="28" t="inlineStr">
        <is>
          <t>Create Batch with Invalid Name Format - 4-digit Year</t>
        </is>
      </c>
      <c r="F5" s="28" t="inlineStr">
        <is>
          <t>Verify that the system rejects batch creation if the year is written in 4 digits (e.g. PNV2026A).</t>
        </is>
      </c>
      <c r="G5" s="28" t="inlineStr">
        <is>
          <t>Staff user is logged in.</t>
        </is>
      </c>
      <c r="H5" s="28" t="inlineStr">
        <is>
          <t>BatchName=PNV2026A; Status=Active</t>
        </is>
      </c>
      <c r="I5" s="28" t="inlineStr">
        <is>
          <t>1. Open Batch Management;
2. Click Create Batch;
3. Enter PNV2026A as Batch Name;
4. Click Save</t>
        </is>
      </c>
      <c r="J5" s="28" t="inlineStr">
        <is>
          <t>System rejects creation. Error message appears: "Invalid batch name. Use format PNVyyX (e.g., PNV26A)."</t>
        </is>
      </c>
      <c r="K5" s="28" t="inlineStr">
        <is>
          <t>System rejects creation. Error message appears: "Invalid batch name. Use format PNVyyX (e.g., PNV26A)."</t>
        </is>
      </c>
      <c r="L5" s="24" t="inlineStr">
        <is>
          <t>Passed</t>
        </is>
      </c>
      <c r="M5" s="26" t="inlineStr"/>
      <c r="N5" s="25" t="inlineStr">
        <is>
          <t>High</t>
        </is>
      </c>
      <c r="O5" s="28" t="inlineStr">
        <is>
          <t>Related Requirement: M01-F01, Scenario: BS-01</t>
        </is>
      </c>
    </row>
    <row r="6" ht="90" customHeight="1">
      <c r="A6" s="21" t="inlineStr">
        <is>
          <t>TC-M01-005</t>
        </is>
      </c>
      <c r="B6" s="21" t="inlineStr">
        <is>
          <t>Module 01</t>
        </is>
      </c>
      <c r="C6" s="22" t="inlineStr">
        <is>
          <t>M01-F01</t>
        </is>
      </c>
      <c r="D6" s="23" t="inlineStr">
        <is>
          <t>Batch Creation</t>
        </is>
      </c>
      <c r="E6" s="23" t="inlineStr">
        <is>
          <t>Create Batch with Invalid Name Format - Multiple Letters</t>
        </is>
      </c>
      <c r="F6" s="23" t="inlineStr">
        <is>
          <t>Verify that the system rejects batch creation if there are multiple suffix letters (e.g. PNV26AA).</t>
        </is>
      </c>
      <c r="G6" s="23" t="inlineStr">
        <is>
          <t>Staff user is logged in.</t>
        </is>
      </c>
      <c r="H6" s="23" t="inlineStr">
        <is>
          <t>BatchName=PNV26AA; Status=Active</t>
        </is>
      </c>
      <c r="I6" s="23" t="inlineStr">
        <is>
          <t>1. Open Batch Management;
2. Click Create Batch;
3. Enter PNV26AA as Batch Name;
4. Click Save</t>
        </is>
      </c>
      <c r="J6" s="23" t="inlineStr">
        <is>
          <t>System rejects creation. Error message appears: "Invalid batch name. Use format PNVyyX (e.g., PNV26A)."</t>
        </is>
      </c>
      <c r="K6" s="23" t="inlineStr">
        <is>
          <t>System rejects creation. Error message appears: "Invalid batch name. Use format PNVyyX (e.g., PNV26A)."</t>
        </is>
      </c>
      <c r="L6" s="24" t="inlineStr">
        <is>
          <t>Passed</t>
        </is>
      </c>
      <c r="M6" s="21" t="inlineStr"/>
      <c r="N6" s="25" t="inlineStr">
        <is>
          <t>High</t>
        </is>
      </c>
      <c r="O6" s="23" t="inlineStr">
        <is>
          <t>Related Requirement: M01-F01, Scenario: BS-01</t>
        </is>
      </c>
    </row>
    <row r="7" ht="90" customHeight="1">
      <c r="A7" s="26" t="inlineStr">
        <is>
          <t>TC-M01-006</t>
        </is>
      </c>
      <c r="B7" s="26" t="inlineStr">
        <is>
          <t>Module 01</t>
        </is>
      </c>
      <c r="C7" s="27" t="inlineStr">
        <is>
          <t>M01-F01</t>
        </is>
      </c>
      <c r="D7" s="28" t="inlineStr">
        <is>
          <t>Batch Creation</t>
        </is>
      </c>
      <c r="E7" s="28" t="inlineStr">
        <is>
          <t>Create Batch with Empty Name</t>
        </is>
      </c>
      <c r="F7" s="28" t="inlineStr">
        <is>
          <t>Verify that a batch cannot be saved with an empty name.</t>
        </is>
      </c>
      <c r="G7" s="28" t="inlineStr">
        <is>
          <t>Staff user is logged in.</t>
        </is>
      </c>
      <c r="H7" s="28" t="inlineStr">
        <is>
          <t>BatchName=; Status=Active</t>
        </is>
      </c>
      <c r="I7" s="28" t="inlineStr">
        <is>
          <t>1. Open Batch Management;
2. Click Create Batch;
3. Leave Batch Name empty;
4. Click Save</t>
        </is>
      </c>
      <c r="J7" s="28" t="inlineStr">
        <is>
          <t>System rejects save. Error message appears indicating batch name is required. Saving is blocked.</t>
        </is>
      </c>
      <c r="K7" s="28" t="inlineStr">
        <is>
          <t>System rejects save. Error message appears indicating batch name is required. Saving is blocked.</t>
        </is>
      </c>
      <c r="L7" s="24" t="inlineStr">
        <is>
          <t>Passed</t>
        </is>
      </c>
      <c r="M7" s="26" t="inlineStr"/>
      <c r="N7" s="25" t="inlineStr">
        <is>
          <t>High</t>
        </is>
      </c>
      <c r="O7" s="28" t="inlineStr">
        <is>
          <t>Related Requirement: M01-F01, Scenario: BS-01</t>
        </is>
      </c>
    </row>
    <row r="8" ht="90" customHeight="1">
      <c r="A8" s="21" t="inlineStr">
        <is>
          <t>TC-M01-007</t>
        </is>
      </c>
      <c r="B8" s="21" t="inlineStr">
        <is>
          <t>Module 01</t>
        </is>
      </c>
      <c r="C8" s="22" t="inlineStr">
        <is>
          <t>M01-F01</t>
        </is>
      </c>
      <c r="D8" s="23" t="inlineStr">
        <is>
          <t>Batch Creation</t>
        </is>
      </c>
      <c r="E8" s="23" t="inlineStr">
        <is>
          <t>Create Batch with Duplicate Name</t>
        </is>
      </c>
      <c r="F8" s="23" t="inlineStr">
        <is>
          <t>Verify that the system rejects batch creation if the name already exists (case-insensitive).</t>
        </is>
      </c>
      <c r="G8" s="23" t="inlineStr">
        <is>
          <t>Staff user is logged in. Batch PNV26A already exists.</t>
        </is>
      </c>
      <c r="H8" s="23" t="inlineStr">
        <is>
          <t>BatchName=pnv26a; Status=Active</t>
        </is>
      </c>
      <c r="I8" s="23" t="inlineStr">
        <is>
          <t>1. Open Batch Management;
2. Click Create Batch;
3. Enter pnv26a (lowercase) as Batch Name;
4. Click Save</t>
        </is>
      </c>
      <c r="J8" s="23" t="inlineStr">
        <is>
          <t>System rejects creation. Error message appears: "A batch named "PNV26A" already exists."</t>
        </is>
      </c>
      <c r="K8" s="23" t="inlineStr">
        <is>
          <t>System rejects creation. Error message appears: "A batch named "PNV26A" already exists."</t>
        </is>
      </c>
      <c r="L8" s="24" t="inlineStr">
        <is>
          <t>Passed</t>
        </is>
      </c>
      <c r="M8" s="21" t="inlineStr"/>
      <c r="N8" s="25" t="inlineStr">
        <is>
          <t>High</t>
        </is>
      </c>
      <c r="O8" s="23" t="inlineStr">
        <is>
          <t>Related Requirement: M01-F01, Scenario: BS-01</t>
        </is>
      </c>
    </row>
    <row r="9" ht="90" customHeight="1">
      <c r="A9" s="26" t="inlineStr">
        <is>
          <t>TC-M01-008</t>
        </is>
      </c>
      <c r="B9" s="26" t="inlineStr">
        <is>
          <t>Module 01</t>
        </is>
      </c>
      <c r="C9" s="27" t="inlineStr">
        <is>
          <t>M01-F02</t>
        </is>
      </c>
      <c r="D9" s="28" t="inlineStr">
        <is>
          <t>Batch Editing</t>
        </is>
      </c>
      <c r="E9" s="28" t="inlineStr">
        <is>
          <t>Rename Batch with Valid Unique Name</t>
        </is>
      </c>
      <c r="F9" s="28" t="inlineStr">
        <is>
          <t>Verify that an existing batch can be successfully renamed to a new valid unique name.</t>
        </is>
      </c>
      <c r="G9" s="28" t="inlineStr">
        <is>
          <t>Staff user is logged in. Batch PNV26A exists.</t>
        </is>
      </c>
      <c r="H9" s="28" t="inlineStr">
        <is>
          <t>OldBatchName=PNV26A; NewBatchName=PNV26C</t>
        </is>
      </c>
      <c r="I9" s="28" t="inlineStr">
        <is>
          <t>1. Open Batch Management;
2. Select batch PNV26A and click Edit;
3. Change name to PNV26C;
4. Click Save</t>
        </is>
      </c>
      <c r="J9" s="28" t="inlineStr">
        <is>
          <t>Batch is renamed successfully. Success notification appears. PNV26C is displayed in the batch list.</t>
        </is>
      </c>
      <c r="K9" s="28" t="inlineStr">
        <is>
          <t>Batch is renamed successfully. Success notification appears. PNV26C is displayed in the batch list.</t>
        </is>
      </c>
      <c r="L9" s="24" t="inlineStr">
        <is>
          <t>Passed</t>
        </is>
      </c>
      <c r="M9" s="26" t="inlineStr"/>
      <c r="N9" s="25" t="inlineStr">
        <is>
          <t>High</t>
        </is>
      </c>
      <c r="O9" s="28" t="inlineStr">
        <is>
          <t>Related Requirement: M01-F02, Scenario: BS-02</t>
        </is>
      </c>
    </row>
    <row r="10" ht="90" customHeight="1">
      <c r="A10" s="21" t="inlineStr">
        <is>
          <t>TC-M01-009</t>
        </is>
      </c>
      <c r="B10" s="21" t="inlineStr">
        <is>
          <t>Module 01</t>
        </is>
      </c>
      <c r="C10" s="22" t="inlineStr">
        <is>
          <t>M01-F02</t>
        </is>
      </c>
      <c r="D10" s="23" t="inlineStr">
        <is>
          <t>Batch Editing</t>
        </is>
      </c>
      <c r="E10" s="23" t="inlineStr">
        <is>
          <t>Rename Batch to Existing Name Blocked</t>
        </is>
      </c>
      <c r="F10" s="23" t="inlineStr">
        <is>
          <t>Verify that renaming a batch to a name that already exists is blocked by the system.</t>
        </is>
      </c>
      <c r="G10" s="23" t="inlineStr">
        <is>
          <t>Staff user is logged in. Batches PNV26A and PNV26B exist.</t>
        </is>
      </c>
      <c r="H10" s="23" t="inlineStr">
        <is>
          <t>TargetBatch=PNV26B; NewBatchName=PNV26A</t>
        </is>
      </c>
      <c r="I10" s="23" t="inlineStr">
        <is>
          <t>1. Open Batch Management;
2. Select batch PNV26B and click Edit;
3. Change name to PNV26A;
4. Click Save</t>
        </is>
      </c>
      <c r="J10" s="23" t="inlineStr">
        <is>
          <t>System rejects update. Error message appears: "A batch named "PNV26A" already exists."</t>
        </is>
      </c>
      <c r="K10" s="23" t="inlineStr">
        <is>
          <t>System rejects update. Error message appears: "A batch named "PNV26A" already exists."</t>
        </is>
      </c>
      <c r="L10" s="24" t="inlineStr">
        <is>
          <t>Passed</t>
        </is>
      </c>
      <c r="M10" s="21" t="inlineStr"/>
      <c r="N10" s="25" t="inlineStr">
        <is>
          <t>High</t>
        </is>
      </c>
      <c r="O10" s="23" t="inlineStr">
        <is>
          <t>Related Requirement: M01-F02, Scenario: BS-02</t>
        </is>
      </c>
    </row>
    <row r="11" ht="90" customHeight="1">
      <c r="A11" s="26" t="inlineStr">
        <is>
          <t>TC-M01-010</t>
        </is>
      </c>
      <c r="B11" s="26" t="inlineStr">
        <is>
          <t>Module 01</t>
        </is>
      </c>
      <c r="C11" s="27" t="inlineStr">
        <is>
          <t>M01-F02</t>
        </is>
      </c>
      <c r="D11" s="28" t="inlineStr">
        <is>
          <t>Batch Editing</t>
        </is>
      </c>
      <c r="E11" s="28" t="inlineStr">
        <is>
          <t>Rename Batch to Invalid Format Blocked</t>
        </is>
      </c>
      <c r="F11" s="28" t="inlineStr">
        <is>
          <t>Verify that renaming a batch to an invalid format is blocked by the system.</t>
        </is>
      </c>
      <c r="G11" s="28" t="inlineStr">
        <is>
          <t>Staff user is logged in. Batch PNV26A exists.</t>
        </is>
      </c>
      <c r="H11" s="28" t="inlineStr">
        <is>
          <t>TargetBatch=PNV26A; NewBatchName=PNV26AA</t>
        </is>
      </c>
      <c r="I11" s="28" t="inlineStr">
        <is>
          <t>1. Open Batch Management;
2. Select batch PNV26A and click Edit;
3. Change name to PNV26AA;
4. Click Save</t>
        </is>
      </c>
      <c r="J11" s="28" t="inlineStr">
        <is>
          <t>System rejects update. Error message appears: "Invalid batch name. Use format PNVyyX (e.g., PNV26A)."</t>
        </is>
      </c>
      <c r="K11" s="28" t="inlineStr">
        <is>
          <t>System rejects update. Error message appears: "Invalid batch name. Use format PNVyyX (e.g., PNV26A)."</t>
        </is>
      </c>
      <c r="L11" s="24" t="inlineStr">
        <is>
          <t>Passed</t>
        </is>
      </c>
      <c r="M11" s="26" t="inlineStr"/>
      <c r="N11" s="25" t="inlineStr">
        <is>
          <t>High</t>
        </is>
      </c>
      <c r="O11" s="28" t="inlineStr">
        <is>
          <t>Related Requirement: M01-F02, Scenario: BS-02</t>
        </is>
      </c>
    </row>
    <row r="12" ht="90" customHeight="1">
      <c r="A12" s="21" t="inlineStr">
        <is>
          <t>TC-M01-011</t>
        </is>
      </c>
      <c r="B12" s="21" t="inlineStr">
        <is>
          <t>Module 01</t>
        </is>
      </c>
      <c r="C12" s="22" t="inlineStr">
        <is>
          <t>M01-F03</t>
        </is>
      </c>
      <c r="D12" s="23" t="inlineStr">
        <is>
          <t>Batch Archiving</t>
        </is>
      </c>
      <c r="E12" s="23" t="inlineStr">
        <is>
          <t>Archive Active Batch</t>
        </is>
      </c>
      <c r="F12" s="23" t="inlineStr">
        <is>
          <t>Verify that an active batch can be archived by setting its Active status to false.</t>
        </is>
      </c>
      <c r="G12" s="23" t="inlineStr">
        <is>
          <t>Staff user is logged in. Batch PNV26A is active.</t>
        </is>
      </c>
      <c r="H12" s="23" t="inlineStr">
        <is>
          <t>BatchName=PNV26A; ActiveStatus=false</t>
        </is>
      </c>
      <c r="I12" s="23" t="inlineStr">
        <is>
          <t>1. Open Batch Management;
2. Select batch PNV26A and click Archive (or edit and uncheck Active);
3. Confirm archive action</t>
        </is>
      </c>
      <c r="J12" s="23" t="inlineStr">
        <is>
          <t>Batch is archived successfully. Active status becomes false in database. The batch is hidden from active lists.</t>
        </is>
      </c>
      <c r="K12" s="23" t="inlineStr">
        <is>
          <t>Batch is archived successfully. Active status becomes false in database. The batch is hidden from active lists.</t>
        </is>
      </c>
      <c r="L12" s="24" t="inlineStr">
        <is>
          <t>Passed</t>
        </is>
      </c>
      <c r="M12" s="21" t="inlineStr"/>
      <c r="N12" s="25" t="inlineStr">
        <is>
          <t>High</t>
        </is>
      </c>
      <c r="O12" s="23" t="inlineStr">
        <is>
          <t>Related Requirement: M01-F03, Scenario: BS-03</t>
        </is>
      </c>
    </row>
    <row r="13" ht="105" customHeight="1">
      <c r="A13" s="26" t="inlineStr">
        <is>
          <t>TC-M01-012</t>
        </is>
      </c>
      <c r="B13" s="26" t="inlineStr">
        <is>
          <t>Module 01</t>
        </is>
      </c>
      <c r="C13" s="27" t="inlineStr">
        <is>
          <t>M01-F03</t>
        </is>
      </c>
      <c r="D13" s="28" t="inlineStr">
        <is>
          <t>Batch Archiving</t>
        </is>
      </c>
      <c r="E13" s="28" t="inlineStr">
        <is>
          <t>Reactivate Archived Batch</t>
        </is>
      </c>
      <c r="F13" s="28" t="inlineStr">
        <is>
          <t>Verify that an archived batch can be reactivated by setting its Active status to true.</t>
        </is>
      </c>
      <c r="G13" s="28" t="inlineStr">
        <is>
          <t>Staff user is logged in. Batch PNV26A is archived (Active = false).</t>
        </is>
      </c>
      <c r="H13" s="28" t="inlineStr">
        <is>
          <t>BatchName=PNV26A; ActiveStatus=true</t>
        </is>
      </c>
      <c r="I13" s="28" t="inlineStr">
        <is>
          <t>1. Open Batch Management;
2. Filter by Archived batches;
3. Select batch PNV26A and click Reactivate;
4. Confirm reactivate action</t>
        </is>
      </c>
      <c r="J13" s="28" t="inlineStr">
        <is>
          <t>Batch is reactivated successfully. Active status becomes true in database. The batch appears in active lists.</t>
        </is>
      </c>
      <c r="K13" s="28" t="inlineStr">
        <is>
          <t>Batch is reactivated successfully. Active status becomes true in database. The batch appears in active lists.</t>
        </is>
      </c>
      <c r="L13" s="24" t="inlineStr">
        <is>
          <t>Passed</t>
        </is>
      </c>
      <c r="M13" s="26" t="inlineStr"/>
      <c r="N13" s="25" t="inlineStr">
        <is>
          <t>High</t>
        </is>
      </c>
      <c r="O13" s="28" t="inlineStr">
        <is>
          <t>Related Requirement: M01-F03, Scenario: BS-03</t>
        </is>
      </c>
    </row>
    <row r="14" ht="75" customHeight="1">
      <c r="A14" s="21" t="inlineStr">
        <is>
          <t>TC-M01-013</t>
        </is>
      </c>
      <c r="B14" s="21" t="inlineStr">
        <is>
          <t>Module 01</t>
        </is>
      </c>
      <c r="C14" s="22" t="inlineStr">
        <is>
          <t>M01-F03</t>
        </is>
      </c>
      <c r="D14" s="23" t="inlineStr">
        <is>
          <t>Batch Archiving</t>
        </is>
      </c>
      <c r="E14" s="23" t="inlineStr">
        <is>
          <t>Verify No Permanent Batch Deletion Feature</t>
        </is>
      </c>
      <c r="F14" s="23" t="inlineStr">
        <is>
          <t>Verify that the system does not support permanent deletion of batches to preserve historical records.</t>
        </is>
      </c>
      <c r="G14" s="23" t="inlineStr">
        <is>
          <t>Staff user is logged in. Batch PNV26A exists.</t>
        </is>
      </c>
      <c r="H14" s="23" t="inlineStr">
        <is>
          <t>BatchName=PNV26A</t>
        </is>
      </c>
      <c r="I14" s="23" t="inlineStr">
        <is>
          <t>1. Open Batch Management;
2. View batch PNV26A details or edit form;
3. Check UI for Delete button</t>
        </is>
      </c>
      <c r="J14" s="23" t="inlineStr">
        <is>
          <t>No permanent delete button is available on the interface. Archiving/status toggles are the only status-changing options.</t>
        </is>
      </c>
      <c r="K14" s="23" t="inlineStr">
        <is>
          <t>No permanent delete button is available on the interface. Archiving/status toggles are the only status-changing options.</t>
        </is>
      </c>
      <c r="L14" s="24" t="inlineStr">
        <is>
          <t>Passed</t>
        </is>
      </c>
      <c r="M14" s="21" t="inlineStr"/>
      <c r="N14" s="29" t="inlineStr">
        <is>
          <t>Medium</t>
        </is>
      </c>
      <c r="O14" s="23" t="inlineStr">
        <is>
          <t>Related Requirement: M01-F03, Scenario: BS-03</t>
        </is>
      </c>
    </row>
    <row r="15" ht="180" customHeight="1">
      <c r="A15" s="26" t="inlineStr">
        <is>
          <t>TC-M01-014</t>
        </is>
      </c>
      <c r="B15" s="26" t="inlineStr">
        <is>
          <t>Module 01</t>
        </is>
      </c>
      <c r="C15" s="27" t="inlineStr">
        <is>
          <t>M01-F04</t>
        </is>
      </c>
      <c r="D15" s="28" t="inlineStr">
        <is>
          <t>Single Student Creation</t>
        </is>
      </c>
      <c r="E15" s="28" t="inlineStr">
        <is>
          <t>Create Student Manually with Valid Fields</t>
        </is>
      </c>
      <c r="F15" s="28" t="inlineStr">
        <is>
          <t>Verify that a new student profile can be successfully created manually with all valid fields.</t>
        </is>
      </c>
      <c r="G15" s="28" t="inlineStr">
        <is>
          <t>Staff user is logged in. Batch PNV26A exists.</t>
        </is>
      </c>
      <c r="H15" s="28" t="inlineStr">
        <is>
          <t>StudentCode=ST001; StudentName=Nguyen Van A; DateOfBirth=2006-05-15; Gender=Male; Email=nguyenvana.st26@student.passerellesnumeriques.org; ProfilePhoto=avatar.png; AssociatedBatch=PNV26A</t>
        </is>
      </c>
      <c r="I15" s="28" t="inlineStr">
        <is>
          <t>1. Open Batch Management and select batch PNV26A;
2. Click Add Student;
3. Enter Student Code ST001, Name 'Nguyen Van A';
4. Select Date of Birth 15/05/2006 and Gender Male;
5. Enter Email nguyenvana.st26@student.passerellesnumeriques.org;
6. Upload profile photo;
7. Click Save</t>
        </is>
      </c>
      <c r="J15" s="28" t="inlineStr">
        <is>
          <t>Student profile is created successfully. Success notification appears. The student is active by default and displayed in the batch list.</t>
        </is>
      </c>
      <c r="K15" s="28" t="inlineStr">
        <is>
          <t>Student profile is created successfully. Success notification appears. The student is active by default and displayed in the batch list.</t>
        </is>
      </c>
      <c r="L15" s="24" t="inlineStr">
        <is>
          <t>Passed</t>
        </is>
      </c>
      <c r="M15" s="26" t="inlineStr"/>
      <c r="N15" s="25" t="inlineStr">
        <is>
          <t>High</t>
        </is>
      </c>
      <c r="O15" s="28" t="inlineStr">
        <is>
          <t>Related Requirement: M01-F04, Scenario: BS-04</t>
        </is>
      </c>
    </row>
    <row r="16" ht="135" customHeight="1">
      <c r="A16" s="21" t="inlineStr">
        <is>
          <t>TC-M01-015</t>
        </is>
      </c>
      <c r="B16" s="21" t="inlineStr">
        <is>
          <t>Module 01</t>
        </is>
      </c>
      <c r="C16" s="22" t="inlineStr">
        <is>
          <t>M01-F04</t>
        </is>
      </c>
      <c r="D16" s="23" t="inlineStr">
        <is>
          <t>Single Student Creation</t>
        </is>
      </c>
      <c r="E16" s="23" t="inlineStr">
        <is>
          <t>Create Student with Duplicate Student Code</t>
        </is>
      </c>
      <c r="F16" s="23" t="inlineStr">
        <is>
          <t>Verify that manually creating a student with a student code that already exists is blocked.</t>
        </is>
      </c>
      <c r="G16" s="23" t="inlineStr">
        <is>
          <t>Staff user is logged in. Student ST001 exists.</t>
        </is>
      </c>
      <c r="H16" s="23" t="inlineStr">
        <is>
          <t>StudentCode=st001; StudentName=Tran Thi B; Email=tranthib.st26@student.passerellesnumeriques.org; AssociatedBatch=PNV26A</t>
        </is>
      </c>
      <c r="I16" s="23" t="inlineStr">
        <is>
          <t>1. Open Batch Management and select batch PNV26A;
2. Click Add Student;
3. Enter duplicate Student Code st001 (lowercase);
4. Enter Name and Email;
5. Click Save</t>
        </is>
      </c>
      <c r="J16" s="23" t="inlineStr">
        <is>
          <t>System rejects creation. Error message appears: "Duplicate student code: st001."</t>
        </is>
      </c>
      <c r="K16" s="23" t="inlineStr">
        <is>
          <t>System rejects creation. Error message appears: "Duplicate student code: st001."</t>
        </is>
      </c>
      <c r="L16" s="24" t="inlineStr">
        <is>
          <t>Passed</t>
        </is>
      </c>
      <c r="M16" s="21" t="inlineStr"/>
      <c r="N16" s="25" t="inlineStr">
        <is>
          <t>High</t>
        </is>
      </c>
      <c r="O16" s="23" t="inlineStr">
        <is>
          <t>Related Requirement: M01-F04, Scenario: BS-04</t>
        </is>
      </c>
    </row>
    <row r="17" ht="105" customHeight="1">
      <c r="A17" s="26" t="inlineStr">
        <is>
          <t>TC-M01-016</t>
        </is>
      </c>
      <c r="B17" s="26" t="inlineStr">
        <is>
          <t>Module 01</t>
        </is>
      </c>
      <c r="C17" s="27" t="inlineStr">
        <is>
          <t>M01-F04</t>
        </is>
      </c>
      <c r="D17" s="28" t="inlineStr">
        <is>
          <t>Single Student Creation</t>
        </is>
      </c>
      <c r="E17" s="28" t="inlineStr">
        <is>
          <t>Create Student with Missing Required Fields</t>
        </is>
      </c>
      <c r="F17" s="28" t="inlineStr">
        <is>
          <t>Verify that manually creating a student fails if required fields like student code or name are missing.</t>
        </is>
      </c>
      <c r="G17" s="28" t="inlineStr">
        <is>
          <t>Staff user is logged in.</t>
        </is>
      </c>
      <c r="H17" s="28" t="inlineStr">
        <is>
          <t>StudentCode=; StudentName=; AssociatedBatch=PNV26A</t>
        </is>
      </c>
      <c r="I17" s="28" t="inlineStr">
        <is>
          <t>1. Open Batch Management and select batch PNV26A;
2. Click Add Student;
3. Leave Student Code and Name empty;
4. Click Save</t>
        </is>
      </c>
      <c r="J17" s="28" t="inlineStr">
        <is>
          <t>System rejects saving. Validation error messages for required fields are displayed. Saving is blocked.</t>
        </is>
      </c>
      <c r="K17" s="28" t="inlineStr">
        <is>
          <t>System rejects saving. Validation error messages for required fields are displayed. Saving is blocked.</t>
        </is>
      </c>
      <c r="L17" s="24" t="inlineStr">
        <is>
          <t>Passed</t>
        </is>
      </c>
      <c r="M17" s="26" t="inlineStr"/>
      <c r="N17" s="25" t="inlineStr">
        <is>
          <t>High</t>
        </is>
      </c>
      <c r="O17" s="28" t="inlineStr">
        <is>
          <t>Related Requirement: M01-F04, Scenario: BS-04</t>
        </is>
      </c>
    </row>
    <row r="18" ht="90" customHeight="1">
      <c r="A18" s="21" t="inlineStr">
        <is>
          <t>TC-M01-017</t>
        </is>
      </c>
      <c r="B18" s="21" t="inlineStr">
        <is>
          <t>Module 01</t>
        </is>
      </c>
      <c r="C18" s="22" t="inlineStr">
        <is>
          <t>M01-F05</t>
        </is>
      </c>
      <c r="D18" s="23" t="inlineStr">
        <is>
          <t>Bulk Student Import</t>
        </is>
      </c>
      <c r="E18" s="23" t="inlineStr">
        <is>
          <t>CSV Student Import Upsert</t>
        </is>
      </c>
      <c r="F18" s="23" t="inlineStr">
        <is>
          <t>Verify that bulk student import via CSV updates existing profiles and creates new profiles (Upsert behavior).</t>
        </is>
      </c>
      <c r="G18" s="23" t="inlineStr">
        <is>
          <t>Staff user is logged in. Student ST001 already exists; batch PNV26A exists.</t>
        </is>
      </c>
      <c r="H18" s="23" t="inlineStr">
        <is>
          <t>CSV row: ST001,Nguyen Van A Updated,2006-05-15,Male,nguyenvana.new@student.passerellesnumeriques.org,AssociatedBatch=PNV26A and ST003,Le Van C,2006-08-20,Male,levanc.st26@student.passerellesnumeriques.org,AssociatedBatch=PNV26A</t>
        </is>
      </c>
      <c r="I18" s="23" t="inlineStr">
        <is>
          <t>1. Go to CSV Import page;
2. Upload CSV containing update row for ST001 and new row for ST003;
3. Click Import</t>
        </is>
      </c>
      <c r="J18" s="23" t="inlineStr">
        <is>
          <t>Import completes successfully. Message displays "Import successful. 1 student updated, 1 student created.". ST001 displays new name and ST003 appears in list.</t>
        </is>
      </c>
      <c r="K18" s="23" t="inlineStr">
        <is>
          <t>Import completes successfully. Message displays "Import successful. 1 student updated, 1 student created.". ST001 displays new name and ST003 appears in list.</t>
        </is>
      </c>
      <c r="L18" s="24" t="inlineStr">
        <is>
          <t>Passed</t>
        </is>
      </c>
      <c r="M18" s="21" t="inlineStr"/>
      <c r="N18" s="25" t="inlineStr">
        <is>
          <t>High</t>
        </is>
      </c>
      <c r="O18" s="23" t="inlineStr">
        <is>
          <t>Related Requirement: M01-F05, Scenario: BS-05</t>
        </is>
      </c>
    </row>
    <row r="19" ht="60" customHeight="1">
      <c r="A19" s="26" t="inlineStr">
        <is>
          <t>TC-M01-018</t>
        </is>
      </c>
      <c r="B19" s="26" t="inlineStr">
        <is>
          <t>Module 01</t>
        </is>
      </c>
      <c r="C19" s="27" t="inlineStr">
        <is>
          <t>M01-F05</t>
        </is>
      </c>
      <c r="D19" s="28" t="inlineStr">
        <is>
          <t>Bulk Student Import</t>
        </is>
      </c>
      <c r="E19" s="28" t="inlineStr">
        <is>
          <t>CSV Student Import Rejects Duplicate Student Codes</t>
        </is>
      </c>
      <c r="F19" s="28" t="inlineStr">
        <is>
          <t>Verify that student bulk import via CSV rejects imports with duplicate student codes within the file.</t>
        </is>
      </c>
      <c r="G19" s="28" t="inlineStr">
        <is>
          <t>Staff user is logged in.</t>
        </is>
      </c>
      <c r="H19" s="28" t="inlineStr">
        <is>
          <t>CSV containing two rows with student code ST004</t>
        </is>
      </c>
      <c r="I19" s="28" t="inlineStr">
        <is>
          <t>1. Go to CSV Import page;
2. Upload CSV with duplicate ST004;
3. Click Import</t>
        </is>
      </c>
      <c r="J19" s="28" t="inlineStr">
        <is>
          <t>The system rejects the entire CSV file. Error message appears: "Duplicate student code: ST004.". No records are imported.</t>
        </is>
      </c>
      <c r="K19" s="28" t="inlineStr">
        <is>
          <t>No duplicate student ID notification in the import file.</t>
        </is>
      </c>
      <c r="L19" s="25" t="inlineStr">
        <is>
          <t>Failed</t>
        </is>
      </c>
      <c r="M19" s="26" t="inlineStr"/>
      <c r="N19" s="25" t="inlineStr">
        <is>
          <t>High</t>
        </is>
      </c>
      <c r="O19" s="28" t="inlineStr">
        <is>
          <t>Related Requirement: M01-F05, Scenario: BS-05</t>
        </is>
      </c>
    </row>
    <row r="20" ht="75" customHeight="1">
      <c r="A20" s="21" t="inlineStr">
        <is>
          <t>TC-M01-019</t>
        </is>
      </c>
      <c r="B20" s="21" t="inlineStr">
        <is>
          <t>Module 01</t>
        </is>
      </c>
      <c r="C20" s="22" t="inlineStr">
        <is>
          <t>M01-F05</t>
        </is>
      </c>
      <c r="D20" s="23" t="inlineStr">
        <is>
          <t>Bulk Student Import</t>
        </is>
      </c>
      <c r="E20" s="23" t="inlineStr">
        <is>
          <t>CSV Student Import Fails due to Missing Required Column</t>
        </is>
      </c>
      <c r="F20" s="23" t="inlineStr">
        <is>
          <t>Verify that student bulk import via CSV rejects files missing required columns (e.g. Student Code).</t>
        </is>
      </c>
      <c r="G20" s="23" t="inlineStr">
        <is>
          <t>Staff user is logged in.</t>
        </is>
      </c>
      <c r="H20" s="23" t="inlineStr">
        <is>
          <t>CSV file missing 'Student Code' header column</t>
        </is>
      </c>
      <c r="I20" s="23" t="inlineStr">
        <is>
          <t>1. Open Student CSV Import page;
2. Upload the CSV file missing Student Code;
3. Click Import</t>
        </is>
      </c>
      <c r="J20" s="23" t="inlineStr">
        <is>
          <t>The system rejects the entire CSV file. Error message appears: "Required columns must exist.". No records are imported.</t>
        </is>
      </c>
      <c r="K20" s="23" t="inlineStr">
        <is>
          <t>No notification regarding missing student IDs in the import file.</t>
        </is>
      </c>
      <c r="L20" s="25" t="inlineStr">
        <is>
          <t>Failed</t>
        </is>
      </c>
      <c r="M20" s="21" t="inlineStr"/>
      <c r="N20" s="25" t="inlineStr">
        <is>
          <t>High</t>
        </is>
      </c>
      <c r="O20" s="23" t="inlineStr">
        <is>
          <t>Related Requirement: M01-F05, Scenario: BS-05</t>
        </is>
      </c>
    </row>
    <row r="21" ht="120" customHeight="1">
      <c r="A21" s="26" t="inlineStr">
        <is>
          <t>TC-M01-020</t>
        </is>
      </c>
      <c r="B21" s="26" t="inlineStr">
        <is>
          <t>Module 01</t>
        </is>
      </c>
      <c r="C21" s="27" t="inlineStr">
        <is>
          <t>M01-F06</t>
        </is>
      </c>
      <c r="D21" s="28" t="inlineStr">
        <is>
          <t>Student Editing</t>
        </is>
      </c>
      <c r="E21" s="28" t="inlineStr">
        <is>
          <t>Edit Student Profile with Valid Fields</t>
        </is>
      </c>
      <c r="F21" s="28" t="inlineStr">
        <is>
          <t>Verify that staff can successfully edit an existing student profile with valid values.</t>
        </is>
      </c>
      <c r="G21" s="28" t="inlineStr">
        <is>
          <t>Staff user is logged in. Student ST001 exists.</t>
        </is>
      </c>
      <c r="H21" s="28" t="inlineStr">
        <is>
          <t>StudentCode=ST001; NewName=Nguyen Van A Updated; NewEmail=nguyenvana.new@student.passerellesnumeriques.org</t>
        </is>
      </c>
      <c r="I21" s="28" t="inlineStr">
        <is>
          <t>1. Open Batch Management and select student ST001;
2. Click Edit;
3. Change Name to 'Nguyen Van A Updated' and Email to 'nguyenvana.new@student.passerellesnumeriques.org';
4. Click Save</t>
        </is>
      </c>
      <c r="J21" s="28" t="inlineStr">
        <is>
          <t>Student profile is updated successfully. Success notification appears. The new info is displayed immediately in lists.</t>
        </is>
      </c>
      <c r="K21" s="28" t="inlineStr">
        <is>
          <t>Student profile is updated successfully. Success notification appears. The new info is displayed immediately in lists.</t>
        </is>
      </c>
      <c r="L21" s="24" t="inlineStr">
        <is>
          <t>Passed</t>
        </is>
      </c>
      <c r="M21" s="26" t="inlineStr"/>
      <c r="N21" s="25" t="inlineStr">
        <is>
          <t>High</t>
        </is>
      </c>
      <c r="O21" s="28" t="inlineStr">
        <is>
          <t>Related Requirement: M01-F06, Scenario: BS-06</t>
        </is>
      </c>
    </row>
    <row r="22" ht="105" customHeight="1">
      <c r="A22" s="21" t="inlineStr">
        <is>
          <t>TC-M01-021</t>
        </is>
      </c>
      <c r="B22" s="21" t="inlineStr">
        <is>
          <t>Module 01</t>
        </is>
      </c>
      <c r="C22" s="22" t="inlineStr">
        <is>
          <t>M01-F07</t>
        </is>
      </c>
      <c r="D22" s="23" t="inlineStr">
        <is>
          <t>Follow-up Flag</t>
        </is>
      </c>
      <c r="E22" s="23" t="inlineStr">
        <is>
          <t>Toggle Follow-up Flag Instantly</t>
        </is>
      </c>
      <c r="F22" s="23" t="inlineStr">
        <is>
          <t>Verify that the follow-up flag updates immediately on the SPA interface without a page reload.</t>
        </is>
      </c>
      <c r="G22" s="23" t="inlineStr">
        <is>
          <t>Staff user is logged in. Student ST001 is displayed in the student list.</t>
        </is>
      </c>
      <c r="H22" s="23" t="inlineStr">
        <is>
          <t>StudentCode=ST001</t>
        </is>
      </c>
      <c r="I22" s="23" t="inlineStr">
        <is>
          <t>1. Navigate to student list;
2. Locate student ST001;
3. Click the Follow-up flag icon (star or checkbox);
4. Observe the page</t>
        </is>
      </c>
      <c r="J22" s="23" t="inlineStr">
        <is>
          <t>The flag status toggles instantly in the UI with no page reload. Google Sheets database updates the follow-up status immediately.</t>
        </is>
      </c>
      <c r="K22" s="23" t="inlineStr">
        <is>
          <t>The "Follow-up Flag" feature for students is not yet available in this section.</t>
        </is>
      </c>
      <c r="L22" s="25" t="inlineStr">
        <is>
          <t>Failed</t>
        </is>
      </c>
      <c r="M22" s="21" t="inlineStr"/>
      <c r="N22" s="25" t="inlineStr">
        <is>
          <t>High</t>
        </is>
      </c>
      <c r="O22" s="23" t="inlineStr">
        <is>
          <t>Related Requirement: M01-F07, Scenario: BS-07</t>
        </is>
      </c>
    </row>
    <row r="23" ht="90" customHeight="1">
      <c r="A23" s="26" t="inlineStr">
        <is>
          <t>TC-M01-022</t>
        </is>
      </c>
      <c r="B23" s="26" t="inlineStr">
        <is>
          <t>Module 01</t>
        </is>
      </c>
      <c r="C23" s="27" t="inlineStr">
        <is>
          <t>M01-F08</t>
        </is>
      </c>
      <c r="D23" s="28" t="inlineStr">
        <is>
          <t>Student Status Management</t>
        </is>
      </c>
      <c r="E23" s="28" t="inlineStr">
        <is>
          <t>Toggle Student Status Active to Inactive</t>
        </is>
      </c>
      <c r="F23" s="28" t="inlineStr">
        <is>
          <t>Verify that toggling student status to Inactive automatically sets Dropout Date to today.</t>
        </is>
      </c>
      <c r="G23" s="28" t="inlineStr">
        <is>
          <t>Staff user is logged in. Student ST001 is Active with no Dropout Date.</t>
        </is>
      </c>
      <c r="H23" s="28" t="inlineStr">
        <is>
          <t>StudentCode=ST001; NewStatus=Inactive</t>
        </is>
      </c>
      <c r="I23" s="28" t="inlineStr">
        <is>
          <t>1. Open ST001 profile and click Edit;
2. Change status to Inactive;
3. Click Save;
4. Open ST001 profile details</t>
        </is>
      </c>
      <c r="J23" s="28" t="inlineStr">
        <is>
          <t>Student status is saved as Inactive. The Dropout Date is automatically set to today's date (e.g. 2026-07-17) without manual input.</t>
        </is>
      </c>
      <c r="K23" s="28" t="inlineStr">
        <is>
          <t>Student status is saved as Inactive. The Dropout Date is automatically set to today's date (e.g. 2026-07-17) without manual input.</t>
        </is>
      </c>
      <c r="L23" s="24" t="inlineStr">
        <is>
          <t>Passed</t>
        </is>
      </c>
      <c r="M23" s="26" t="inlineStr"/>
      <c r="N23" s="25" t="inlineStr">
        <is>
          <t>High</t>
        </is>
      </c>
      <c r="O23" s="28" t="inlineStr">
        <is>
          <t>Related Requirement: M01-F08, Scenario: BS-08</t>
        </is>
      </c>
    </row>
    <row r="24" ht="90" customHeight="1">
      <c r="A24" s="21" t="inlineStr">
        <is>
          <t>TC-M01-023</t>
        </is>
      </c>
      <c r="B24" s="21" t="inlineStr">
        <is>
          <t>Module 01</t>
        </is>
      </c>
      <c r="C24" s="22" t="inlineStr">
        <is>
          <t>M01-F08</t>
        </is>
      </c>
      <c r="D24" s="23" t="inlineStr">
        <is>
          <t>Student Status Management</t>
        </is>
      </c>
      <c r="E24" s="23" t="inlineStr">
        <is>
          <t>Toggle Student Status Inactive to Active</t>
        </is>
      </c>
      <c r="F24" s="23" t="inlineStr">
        <is>
          <t>Verify that toggling student status to Active automatically clears Dropout Date.</t>
        </is>
      </c>
      <c r="G24" s="23" t="inlineStr">
        <is>
          <t>Staff user is logged in. Student ST001 is Inactive with Dropout Date '2026-07-17'.</t>
        </is>
      </c>
      <c r="H24" s="23" t="inlineStr">
        <is>
          <t>StudentCode=ST001; NewStatus=Active</t>
        </is>
      </c>
      <c r="I24" s="23" t="inlineStr">
        <is>
          <t>1. Open ST001 profile and click Edit;
2. Change status to Active;
3. Click Save;
4. Open ST001 profile details</t>
        </is>
      </c>
      <c r="J24" s="23" t="inlineStr">
        <is>
          <t>Student status is saved as Active. The Dropout Date field is automatically cleared and is now blank.</t>
        </is>
      </c>
      <c r="K24" s="23" t="inlineStr">
        <is>
          <t>Student status is saved as Active. The Dropout Date field is automatically cleared and is now blank.</t>
        </is>
      </c>
      <c r="L24" s="24" t="inlineStr">
        <is>
          <t>Passed</t>
        </is>
      </c>
      <c r="M24" s="21" t="inlineStr"/>
      <c r="N24" s="25" t="inlineStr">
        <is>
          <t>High</t>
        </is>
      </c>
      <c r="O24" s="23" t="inlineStr">
        <is>
          <t>Related Requirement: M01-F08, Scenario: BS-08</t>
        </is>
      </c>
    </row>
    <row r="25" ht="75" customHeight="1">
      <c r="A25" s="26" t="inlineStr">
        <is>
          <t>TC-M01-024</t>
        </is>
      </c>
      <c r="B25" s="26" t="inlineStr">
        <is>
          <t>Module 01</t>
        </is>
      </c>
      <c r="C25" s="27" t="inlineStr">
        <is>
          <t>M01-F09</t>
        </is>
      </c>
      <c r="D25" s="28" t="inlineStr">
        <is>
          <t>Search &amp; Filter</t>
        </is>
      </c>
      <c r="E25" s="28" t="inlineStr">
        <is>
          <t>Search Student by Name Real-time</t>
        </is>
      </c>
      <c r="F25" s="28" t="inlineStr">
        <is>
          <t>Verify that searching student list by name filters records dynamically in real-time as the user types.</t>
        </is>
      </c>
      <c r="G25" s="28" t="inlineStr">
        <is>
          <t>Staff user is logged in. Student list contains 'Nguyen Van A' and 'Tran Thi B'.</t>
        </is>
      </c>
      <c r="H25" s="28" t="inlineStr">
        <is>
          <t>SearchQuery=Nguyen</t>
        </is>
      </c>
      <c r="I25" s="28" t="inlineStr">
        <is>
          <t>1. Navigate to student list;
2. Place cursor in Search box and type 'Nguyen';
3. Observe student list</t>
        </is>
      </c>
      <c r="J25" s="28" t="inlineStr">
        <is>
          <t>The student list filters dynamically while typing. Tran Thi B is hidden, and Nguyen Van A remains visible. No page reload occurs.</t>
        </is>
      </c>
      <c r="K25" s="28" t="inlineStr">
        <is>
          <t>The student list filters dynamically while typing. Tran Thi B is hidden, and Nguyen Van A remains visible. No page reload occurs.</t>
        </is>
      </c>
      <c r="L25" s="24" t="inlineStr">
        <is>
          <t>Passed</t>
        </is>
      </c>
      <c r="M25" s="26" t="inlineStr"/>
      <c r="N25" s="29" t="inlineStr">
        <is>
          <t>Medium</t>
        </is>
      </c>
      <c r="O25" s="28" t="inlineStr">
        <is>
          <t>Related Requirement: M01-F09, Scenario: BS-09</t>
        </is>
      </c>
    </row>
    <row r="26" ht="105" customHeight="1">
      <c r="A26" s="21" t="inlineStr">
        <is>
          <t>TC-M01-025</t>
        </is>
      </c>
      <c r="B26" s="21" t="inlineStr">
        <is>
          <t>Module 01</t>
        </is>
      </c>
      <c r="C26" s="22" t="inlineStr">
        <is>
          <t>M01-F09</t>
        </is>
      </c>
      <c r="D26" s="23" t="inlineStr">
        <is>
          <t>Search &amp; Filter</t>
        </is>
      </c>
      <c r="E26" s="23" t="inlineStr">
        <is>
          <t>Verify Student List Default Pagination</t>
        </is>
      </c>
      <c r="F26" s="23" t="inlineStr">
        <is>
          <t>Verify that the student list displays exactly 10 students per page by default.</t>
        </is>
      </c>
      <c r="G26" s="23" t="inlineStr">
        <is>
          <t>Staff user is logged in. There are 12 students in the selected batch.</t>
        </is>
      </c>
      <c r="H26" s="23" t="inlineStr">
        <is>
          <t>Batch PNV26A has 12 students.</t>
        </is>
      </c>
      <c r="I26" s="23" t="inlineStr">
        <is>
          <t>1. Navigate to the student list of batch PNV26A;
2. Count the number of students displayed on the first page;
3. Check pagination controls;
4. Click Next Page</t>
        </is>
      </c>
      <c r="J26" s="23" t="inlineStr">
        <is>
          <t>Page 1 displays exactly 10 students. Pagination controls are visible. Clicking Next Page shows the remaining 2 students on page 2.</t>
        </is>
      </c>
      <c r="K26" s="23" t="inlineStr">
        <is>
          <t>Page 1 displays exactly 10 students. Pagination controls are visible. Clicking Next Page shows the remaining 2 students on page 2.</t>
        </is>
      </c>
      <c r="L26" s="24" t="inlineStr">
        <is>
          <t>Passed</t>
        </is>
      </c>
      <c r="M26" s="21" t="inlineStr"/>
      <c r="N26" s="29" t="inlineStr">
        <is>
          <t>Medium</t>
        </is>
      </c>
      <c r="O26" s="23" t="inlineStr">
        <is>
          <t>Related Requirement: M01-F09, Scenario: BS-10</t>
        </is>
      </c>
    </row>
    <row r="27" ht="75" customHeight="1">
      <c r="A27" s="26" t="inlineStr">
        <is>
          <t>TC-M01-026</t>
        </is>
      </c>
      <c r="B27" s="26" t="inlineStr">
        <is>
          <t>Module 01</t>
        </is>
      </c>
      <c r="C27" s="27" t="inlineStr">
        <is>
          <t>M01-F10</t>
        </is>
      </c>
      <c r="D27" s="28" t="inlineStr">
        <is>
          <t>Dashboard Overview</t>
        </is>
      </c>
      <c r="E27" s="28" t="inlineStr">
        <is>
          <t>Verify Dashboard Displays Correct Initial Stats and Charts</t>
        </is>
      </c>
      <c r="F27" s="28" t="inlineStr">
        <is>
          <t>Verify that the dashboard screen accurately loads and displays all student and batch metrics.</t>
        </is>
      </c>
      <c r="G27" s="28" t="inlineStr">
        <is>
          <t>Staff user is logged in. System has 2 batches (1 Active, 1 Archived) and 5 students (4 Active, 1 Inactive).</t>
        </is>
      </c>
      <c r="H27" s="28" t="inlineStr">
        <is>
          <t>None</t>
        </is>
      </c>
      <c r="I27" s="28" t="inlineStr">
        <is>
          <t>1. Navigate to the Dashboard Overview page;
2. Observe the statistics cards and charts</t>
        </is>
      </c>
      <c r="J27" s="28" t="inlineStr">
        <is>
          <t>The dashboard displays: Total Batches = 2, Active Batches = 1, Total Students = 5, Active Students = 4, Inactive Students = 1. Charts (Gender, Ethnicity, Status) load successfully.</t>
        </is>
      </c>
      <c r="K27" s="28" t="inlineStr">
        <is>
          <t>The dashboard displays: Total Batches = 2, Active Batches = 1, Total Students = 5, Active Students = 4, Inactive Students = 1. Charts (Gender, Ethnicity, Status) load successfully.</t>
        </is>
      </c>
      <c r="L27" s="24" t="inlineStr">
        <is>
          <t>Passed</t>
        </is>
      </c>
      <c r="M27" s="26" t="inlineStr"/>
      <c r="N27" s="29" t="inlineStr">
        <is>
          <t>Medium</t>
        </is>
      </c>
      <c r="O27" s="28" t="inlineStr">
        <is>
          <t>Related Requirement: M01-F10, Scenario: BS-11</t>
        </is>
      </c>
    </row>
    <row r="28" ht="90" customHeight="1">
      <c r="A28" s="21" t="inlineStr">
        <is>
          <t>TC-M01-027</t>
        </is>
      </c>
      <c r="B28" s="21" t="inlineStr">
        <is>
          <t>Module 01</t>
        </is>
      </c>
      <c r="C28" s="22" t="inlineStr">
        <is>
          <t>M01-F10</t>
        </is>
      </c>
      <c r="D28" s="23" t="inlineStr">
        <is>
          <t>Dashboard Overview</t>
        </is>
      </c>
      <c r="E28" s="23" t="inlineStr">
        <is>
          <t>Verify Dashboard Stats Auto-refresh after Data Changes</t>
        </is>
      </c>
      <c r="F28" s="23" t="inlineStr">
        <is>
          <t>Verify that dashboard statistics and charts refresh automatically when data changes.</t>
        </is>
      </c>
      <c r="G28" s="23" t="inlineStr">
        <is>
          <t>Staff user is logged in. Dashboard shows Active Students = 4.</t>
        </is>
      </c>
      <c r="H28" s="23" t="inlineStr">
        <is>
          <t>StudentCode=ST001; NewStatus=Inactive</t>
        </is>
      </c>
      <c r="I28" s="23" t="inlineStr">
        <is>
          <t>1. Navigate to student list and edit ST001 to change status from Active to Inactive;
2. Click Save;
3. Immediately return to the Dashboard</t>
        </is>
      </c>
      <c r="J28" s="23" t="inlineStr">
        <is>
          <t>The dashboard values update without manual page reload: Active Students displays 3, Inactive Students displays 2, and charts adjust accordingly.</t>
        </is>
      </c>
      <c r="K28" s="23" t="inlineStr">
        <is>
          <t>The dashboard values update without manual page reload: Active Students displays 3, Inactive Students displays 2, and charts adjust accordingly.</t>
        </is>
      </c>
      <c r="L28" s="24" t="inlineStr">
        <is>
          <t>Passed</t>
        </is>
      </c>
      <c r="M28" s="21" t="inlineStr"/>
      <c r="N28" s="29" t="inlineStr">
        <is>
          <t>Medium</t>
        </is>
      </c>
      <c r="O28" s="23" t="inlineStr">
        <is>
          <t>Related Requirement: M01-F10, Scenario: BS-11</t>
        </is>
      </c>
    </row>
    <row r="29" ht="60" customHeight="1">
      <c r="A29" s="26" t="inlineStr">
        <is>
          <t>TC-M01-028</t>
        </is>
      </c>
      <c r="B29" s="26" t="inlineStr">
        <is>
          <t>Module 01</t>
        </is>
      </c>
      <c r="C29" s="27" t="inlineStr">
        <is>
          <t>M01-SEC</t>
        </is>
      </c>
      <c r="D29" s="28" t="inlineStr">
        <is>
          <t>Access Control &amp; Security</t>
        </is>
      </c>
      <c r="E29" s="28" t="inlineStr">
        <is>
          <t>Staff User Access to Student Management</t>
        </is>
      </c>
      <c r="F29" s="28" t="inlineStr">
        <is>
          <t>Verify that staff users with a valid @passerellesnumeriques.org email domain are granted access to Batch &amp; Student Management.</t>
        </is>
      </c>
      <c r="G29" s="28" t="inlineStr">
        <is>
          <t>User is authenticated with email staff@passerellesnumeriques.org.</t>
        </is>
      </c>
      <c r="H29" s="28" t="inlineStr">
        <is>
          <t>Email=staff@passerellesnumeriques.org</t>
        </is>
      </c>
      <c r="I29" s="28" t="inlineStr">
        <is>
          <t>1. Enter the application URL;
2. Sign in via Google OAuth with account staff@passerellesnumeriques.org</t>
        </is>
      </c>
      <c r="J29" s="28" t="inlineStr">
        <is>
          <t>The user is redirected to the Staff Portal. Full management options (Create Batch, Add Student, Edit, CSV Import) are visible and accessible.</t>
        </is>
      </c>
      <c r="K29" s="28" t="inlineStr">
        <is>
          <t>The user is redirected to the Staff Portal. Full management options (Create Batch, Add Student, Edit, CSV Import) are visible and accessible.</t>
        </is>
      </c>
      <c r="L29" s="24" t="inlineStr">
        <is>
          <t>Passed</t>
        </is>
      </c>
      <c r="M29" s="26" t="inlineStr"/>
      <c r="N29" s="25" t="inlineStr">
        <is>
          <t>High</t>
        </is>
      </c>
      <c r="O29" s="28" t="inlineStr">
        <is>
          <t>Related Requirement: General Business Rules, Scenario: BS-12</t>
        </is>
      </c>
    </row>
    <row r="30" ht="60" customHeight="1">
      <c r="A30" s="21" t="inlineStr">
        <is>
          <t>TC-M01-029</t>
        </is>
      </c>
      <c r="B30" s="21" t="inlineStr">
        <is>
          <t>Module 01</t>
        </is>
      </c>
      <c r="C30" s="22" t="inlineStr">
        <is>
          <t>M01-SEC</t>
        </is>
      </c>
      <c r="D30" s="23" t="inlineStr">
        <is>
          <t>Access Control &amp; Security</t>
        </is>
      </c>
      <c r="E30" s="23" t="inlineStr">
        <is>
          <t>Student User Access to Student Management Denied</t>
        </is>
      </c>
      <c r="F30" s="23" t="inlineStr">
        <is>
          <t>Verify that students with a @student.passerellesnumeriques.org email are denied management access.</t>
        </is>
      </c>
      <c r="G30" s="23" t="inlineStr">
        <is>
          <t>User is authenticated with email student01@student.passerellesnumeriques.org.</t>
        </is>
      </c>
      <c r="H30" s="23" t="inlineStr">
        <is>
          <t>Email=student01@student.passerellesnumeriques.org</t>
        </is>
      </c>
      <c r="I30" s="23" t="inlineStr">
        <is>
          <t>1. Enter the application URL;
2. Sign in via Google OAuth with account student01@student.passerellesnumeriques.org</t>
        </is>
      </c>
      <c r="J30" s="23" t="inlineStr">
        <is>
          <t>The user is redirected to the Student Portal. Management buttons and options are hidden. Direct URL routing to staff pages displays "Access Denied".</t>
        </is>
      </c>
      <c r="K30" s="23" t="inlineStr">
        <is>
          <t>The user is redirected to the Student Portal. Management buttons and options are hidden. Direct URL routing to staff pages displays "Access Denied".</t>
        </is>
      </c>
      <c r="L30" s="24" t="inlineStr">
        <is>
          <t>Passed</t>
        </is>
      </c>
      <c r="M30" s="21" t="inlineStr"/>
      <c r="N30" s="25" t="inlineStr">
        <is>
          <t>High</t>
        </is>
      </c>
      <c r="O30" s="23" t="inlineStr">
        <is>
          <t>Related Requirement: General Business Rules, Scenario: BS-12</t>
        </is>
      </c>
    </row>
    <row r="31" ht="90" customHeight="1">
      <c r="A31" s="26" t="inlineStr">
        <is>
          <t>TC-M01-030</t>
        </is>
      </c>
      <c r="B31" s="26" t="inlineStr">
        <is>
          <t>Module 01</t>
        </is>
      </c>
      <c r="C31" s="27" t="inlineStr">
        <is>
          <t>M01-SEC</t>
        </is>
      </c>
      <c r="D31" s="28" t="inlineStr">
        <is>
          <t>Access Control &amp; Security</t>
        </is>
      </c>
      <c r="E31" s="28" t="inlineStr">
        <is>
          <t>Unknown Email Domain Access Denied</t>
        </is>
      </c>
      <c r="F31" s="28" t="inlineStr">
        <is>
          <t>Verify that users with non-permitted email domains are completely blocked from accessing the system.</t>
        </is>
      </c>
      <c r="G31" s="28" t="inlineStr">
        <is>
          <t>User is authenticated with email testuser@gmail.com.</t>
        </is>
      </c>
      <c r="H31" s="28" t="inlineStr">
        <is>
          <t>Email=testuser@gmail.com</t>
        </is>
      </c>
      <c r="I31" s="28" t="inlineStr">
        <is>
          <t>1. Enter the application URL;
2. Sign in via Google OAuth with account testuser@gmail.com;
3. Observe the system response</t>
        </is>
      </c>
      <c r="J31" s="28" t="inlineStr">
        <is>
          <t>Login failed, or the screen displays a notification stating that this page cannot be accessed.</t>
        </is>
      </c>
      <c r="K31" s="28" t="inlineStr">
        <is>
          <t>Login failed, or the screen displays a notification stating that this page cannot be accessed.</t>
        </is>
      </c>
      <c r="L31" s="24" t="inlineStr">
        <is>
          <t>Passed</t>
        </is>
      </c>
      <c r="M31" s="26" t="inlineStr"/>
      <c r="N31" s="25" t="inlineStr">
        <is>
          <t>High</t>
        </is>
      </c>
      <c r="O31" s="28" t="inlineStr">
        <is>
          <t>Related Requirement: General Business Rules, Authorization</t>
        </is>
      </c>
    </row>
    <row r="32" ht="75" customHeight="1">
      <c r="A32" s="21" t="inlineStr">
        <is>
          <t>TC-M01-031</t>
        </is>
      </c>
      <c r="B32" s="21" t="inlineStr">
        <is>
          <t>Module 01</t>
        </is>
      </c>
      <c r="C32" s="22" t="inlineStr">
        <is>
          <t>M01-F05</t>
        </is>
      </c>
      <c r="D32" s="23" t="inlineStr">
        <is>
          <t>Bulk Student Import</t>
        </is>
      </c>
      <c r="E32" s="23" t="inlineStr">
        <is>
          <t>CSV Student Import Fails due to Blank Name</t>
        </is>
      </c>
      <c r="F32" s="23" t="inlineStr">
        <is>
          <t>Verify that bulk import via CSV blocks saving if student name is empty.</t>
        </is>
      </c>
      <c r="G32" s="23" t="inlineStr">
        <is>
          <t>Staff user is logged in.</t>
        </is>
      </c>
      <c r="H32" s="23" t="inlineStr">
        <is>
          <t>CSV contains row: ST006,,2006-08-20,Male,student06@student.passerellesnumeriques.org (blank name)</t>
        </is>
      </c>
      <c r="I32" s="23" t="inlineStr">
        <is>
          <t>1. Go to CSV Import page;
2. Upload the CSV file with blank name;
3. Click Import</t>
        </is>
      </c>
      <c r="J32" s="23" t="inlineStr">
        <is>
          <t>The system rejects the entire CSV file with error message "Student Name is required". No records are updated in database.</t>
        </is>
      </c>
      <c r="K32" s="23" t="inlineStr">
        <is>
          <t>The system rejects the entire CSV file with error message "Student Name is required". No records are updated in database.</t>
        </is>
      </c>
      <c r="L32" s="24" t="inlineStr">
        <is>
          <t>Passed</t>
        </is>
      </c>
      <c r="M32" s="21" t="inlineStr"/>
      <c r="N32" s="25" t="inlineStr">
        <is>
          <t>High</t>
        </is>
      </c>
      <c r="O32" s="23" t="inlineStr">
        <is>
          <t>Related Requirement: M01-F05, Validation Rules</t>
        </is>
      </c>
    </row>
    <row r="33" ht="75" customHeight="1">
      <c r="A33" s="26" t="inlineStr">
        <is>
          <t>TC-M01-032</t>
        </is>
      </c>
      <c r="B33" s="26" t="inlineStr">
        <is>
          <t>Module 01</t>
        </is>
      </c>
      <c r="C33" s="27" t="inlineStr">
        <is>
          <t>M01-F09</t>
        </is>
      </c>
      <c r="D33" s="28" t="inlineStr">
        <is>
          <t>Search &amp; Filter</t>
        </is>
      </c>
      <c r="E33" s="28" t="inlineStr">
        <is>
          <t>Search Student Case Insensitivity</t>
        </is>
      </c>
      <c r="F33" s="28" t="inlineStr">
        <is>
          <t>Verify that student search filters correctly regardless of character casing.</t>
        </is>
      </c>
      <c r="G33" s="28" t="inlineStr">
        <is>
          <t>Staff user is logged in. Batch PNV26A contains student 'Nguyen Van A'.</t>
        </is>
      </c>
      <c r="H33" s="28" t="inlineStr">
        <is>
          <t>SearchQuery=nguyen van a</t>
        </is>
      </c>
      <c r="I33" s="28" t="inlineStr">
        <is>
          <t>1. Open student list;
2. Enter 'nguyen van a' (all lowercase) in the search box;
3. Verify matching result</t>
        </is>
      </c>
      <c r="J33" s="28" t="inlineStr">
        <is>
          <t>The student list filters and displays 'Nguyen Van A', proving search is case-insensitive.</t>
        </is>
      </c>
      <c r="K33" s="28" t="inlineStr">
        <is>
          <t>The student list filters and displays 'Nguyen Van A', proving search is case-insensitive.</t>
        </is>
      </c>
      <c r="L33" s="24" t="inlineStr">
        <is>
          <t>Passed</t>
        </is>
      </c>
      <c r="M33" s="26" t="inlineStr"/>
      <c r="N33" s="29" t="inlineStr">
        <is>
          <t>Medium</t>
        </is>
      </c>
      <c r="O33" s="28" t="inlineStr">
        <is>
          <t>Related Requirement: M01-F09, Search &amp; Filter</t>
        </is>
      </c>
    </row>
    <row r="34" ht="90" customHeight="1">
      <c r="A34" s="21" t="inlineStr">
        <is>
          <t>TC-M01-033</t>
        </is>
      </c>
      <c r="B34" s="21" t="inlineStr">
        <is>
          <t>Module 01</t>
        </is>
      </c>
      <c r="C34" s="22" t="inlineStr">
        <is>
          <t>M01-F06</t>
        </is>
      </c>
      <c r="D34" s="23" t="inlineStr">
        <is>
          <t>Student Editing</t>
        </is>
      </c>
      <c r="E34" s="23" t="inlineStr">
        <is>
          <t>Edit Student Email to Invalid Format Blocked</t>
        </is>
      </c>
      <c r="F34" s="23" t="inlineStr">
        <is>
          <t>Verify that editing a student's email to an invalid format is blocked.</t>
        </is>
      </c>
      <c r="G34" s="23" t="inlineStr">
        <is>
          <t>Staff user is logged in. Student ST001 exists.</t>
        </is>
      </c>
      <c r="H34" s="23" t="inlineStr">
        <is>
          <t>StudentCode=ST001; NewEmail=nguyenvana_invalid_email</t>
        </is>
      </c>
      <c r="I34" s="23" t="inlineStr">
        <is>
          <t>1. Open student list;
2. Select ST001 and click Edit;
3. Change email to 'nguyenvana_invalid_email';
4. Click Save</t>
        </is>
      </c>
      <c r="J34" s="23" t="inlineStr">
        <is>
          <t>The system blocks saving and displays a validation error message requiring a valid email format. The email field is highlighted in red.</t>
        </is>
      </c>
      <c r="K34" s="23" t="inlineStr">
        <is>
          <t>The system successfully updated the email address, even though the format was incorrect.</t>
        </is>
      </c>
      <c r="L34" s="25" t="inlineStr">
        <is>
          <t>Failed</t>
        </is>
      </c>
      <c r="M34" s="21" t="inlineStr"/>
      <c r="N34" s="25" t="inlineStr">
        <is>
          <t>High</t>
        </is>
      </c>
      <c r="O34" s="23" t="inlineStr">
        <is>
          <t>Related Requirement: M01-F06, Validation Rules</t>
        </is>
      </c>
    </row>
  </sheetData>
  <autoFilter ref="A1:O34"/>
  <dataValidations count="2">
    <dataValidation sqref="L2:L134" showDropDown="0" showInputMessage="0" showErrorMessage="0" allowBlank="1" errorTitle="Invalid Status" error="Please select a valid state: Passed, Failed, or Not Run" type="list">
      <formula1>"Passed,Failed,Not Run"</formula1>
    </dataValidation>
    <dataValidation sqref="N2:N134" showDropDown="0" showInputMessage="0" showErrorMessage="0" allowBlank="1" errorTitle="Invalid Priority" error="Please select a valid priority: High, Medium, or Low" type="list">
      <formula1>"High,Medium,Low"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6"/>
  <sheetViews>
    <sheetView showGridLines="1" workbookViewId="0">
      <selection activeCell="A1" sqref="A1"/>
    </sheetView>
  </sheetViews>
  <sheetFormatPr baseColWidth="8" defaultRowHeight="15"/>
  <cols>
    <col width="15" customWidth="1" min="1" max="1"/>
    <col width="14" customWidth="1" min="2" max="2"/>
    <col width="14" customWidth="1" min="3" max="3"/>
    <col width="28" customWidth="1" min="4" max="4"/>
    <col width="32" customWidth="1" min="5" max="5"/>
    <col width="36" customWidth="1" min="6" max="6"/>
    <col width="30" customWidth="1" min="7" max="7"/>
    <col width="28" customWidth="1" min="8" max="8"/>
    <col width="48" customWidth="1" min="9" max="9"/>
    <col width="48" customWidth="1" min="10" max="10"/>
    <col width="36" customWidth="1" min="11" max="11"/>
    <col width="16" customWidth="1" min="12" max="12"/>
    <col width="25" customWidth="1" min="13" max="13"/>
    <col width="14" customWidth="1" min="14" max="14"/>
    <col width="32" customWidth="1" min="15" max="15"/>
  </cols>
  <sheetData>
    <row r="1" ht="28" customHeight="1">
      <c r="A1" s="20" t="inlineStr">
        <is>
          <t>ID</t>
        </is>
      </c>
      <c r="B1" s="20" t="inlineStr">
        <is>
          <t>Module</t>
        </is>
      </c>
      <c r="C1" s="20" t="inlineStr">
        <is>
          <t>Feature ID</t>
        </is>
      </c>
      <c r="D1" s="20" t="inlineStr">
        <is>
          <t>Feature Name</t>
        </is>
      </c>
      <c r="E1" s="20" t="inlineStr">
        <is>
          <t>Title</t>
        </is>
      </c>
      <c r="F1" s="20" t="inlineStr">
        <is>
          <t>Objective</t>
        </is>
      </c>
      <c r="G1" s="20" t="inlineStr">
        <is>
          <t>Preconditions</t>
        </is>
      </c>
      <c r="H1" s="20" t="inlineStr">
        <is>
          <t>TestData</t>
        </is>
      </c>
      <c r="I1" s="20" t="inlineStr">
        <is>
          <t>Steps</t>
        </is>
      </c>
      <c r="J1" s="20" t="inlineStr">
        <is>
          <t>ExpectedResult</t>
        </is>
      </c>
      <c r="K1" s="20" t="inlineStr">
        <is>
          <t>Actual Result</t>
        </is>
      </c>
      <c r="L1" s="20" t="inlineStr">
        <is>
          <t>Status</t>
        </is>
      </c>
      <c r="M1" s="20" t="inlineStr">
        <is>
          <t>Evidence</t>
        </is>
      </c>
      <c r="N1" s="20" t="inlineStr">
        <is>
          <t>Priority</t>
        </is>
      </c>
      <c r="O1" s="20" t="inlineStr">
        <is>
          <t>Notes</t>
        </is>
      </c>
    </row>
    <row r="2" ht="180" customHeight="1">
      <c r="A2" s="21" t="inlineStr">
        <is>
          <t>TC-M02-001</t>
        </is>
      </c>
      <c r="B2" s="21" t="inlineStr">
        <is>
          <t>Module 02</t>
        </is>
      </c>
      <c r="C2" s="22" t="inlineStr">
        <is>
          <t>M02-F01</t>
        </is>
      </c>
      <c r="D2" s="23" t="inlineStr">
        <is>
          <t>Single Observation Entry</t>
        </is>
      </c>
      <c r="E2" s="23" t="inlineStr">
        <is>
          <t>Record Single Student Observation with Valid Ratings</t>
        </is>
      </c>
      <c r="F2" s="23" t="inlineStr">
        <is>
          <t>Verify that staff can record observations for a single student across all four subjects with valid ratings (G, S, NI).</t>
        </is>
      </c>
      <c r="G2" s="23" t="inlineStr">
        <is>
          <t>Staff user is logged in. Batch PNV26A and student ST001 exist.</t>
        </is>
      </c>
      <c r="H2" s="23" t="inlineStr">
        <is>
          <t>Student=ST001; Date=2026-07-17; IT_Rating=G; IT_Notes=Excellent coding skills; PLT_Rating=S; PLT_Notes=Active participation; English_Rating=NI; English_Notes=Needs vocabulary practice; DA_Rating=S; DA_Notes=Good design sense</t>
        </is>
      </c>
      <c r="I2" s="23" t="inlineStr">
        <is>
          <t>1. Open Scan Management;
2. Select Batch PNV26A and Student ST001;
3. Select Observation Date: 17/07/2026;
4. For IT, select rating G and enter notes 'Excellent coding skills';
5. For PLT, select rating S and enter notes 'Active participation';
6. For English, select rating NI and enter notes 'Needs vocabulary practice';
7. For DA, select rating S and enter notes 'Good design sense';
8. Click Save</t>
        </is>
      </c>
      <c r="J2" s="23" t="inlineStr">
        <is>
          <t>Observation is saved successfully. A success message appears. The student's record is displayed in the list with correct ratings and notes.</t>
        </is>
      </c>
      <c r="K2" s="23" t="inlineStr">
        <is>
          <t>Observation is saved successfully. A success message appears. The student's record is displayed in the list with correct ratings and notes.</t>
        </is>
      </c>
      <c r="L2" s="24" t="inlineStr">
        <is>
          <t>Passed</t>
        </is>
      </c>
      <c r="M2" s="21" t="inlineStr"/>
      <c r="N2" s="25" t="inlineStr">
        <is>
          <t>High</t>
        </is>
      </c>
      <c r="O2" s="23" t="inlineStr">
        <is>
          <t>Related Requirement: M02-F01, Scenario: SC-01</t>
        </is>
      </c>
    </row>
    <row r="3" ht="135" customHeight="1">
      <c r="A3" s="26" t="inlineStr">
        <is>
          <t>TC-M02-002</t>
        </is>
      </c>
      <c r="B3" s="26" t="inlineStr">
        <is>
          <t>Module 02</t>
        </is>
      </c>
      <c r="C3" s="27" t="inlineStr">
        <is>
          <t>M02-F01</t>
        </is>
      </c>
      <c r="D3" s="28" t="inlineStr">
        <is>
          <t>Single Observation Entry</t>
        </is>
      </c>
      <c r="E3" s="28" t="inlineStr">
        <is>
          <t>Record Single Student Observation with Empty Ratings</t>
        </is>
      </c>
      <c r="F3" s="28" t="inlineStr">
        <is>
          <t>Verify that staff can record observations with ratings set to '-' (Not Yet Assessed) and notes empty.</t>
        </is>
      </c>
      <c r="G3" s="28" t="inlineStr">
        <is>
          <t>Staff user is logged in. Batch PNV26A and student ST001 exist.</t>
        </is>
      </c>
      <c r="H3" s="28" t="inlineStr">
        <is>
          <t>Student=ST001; Date=2026-07-17; Ratings='-'; Notes=''</t>
        </is>
      </c>
      <c r="I3" s="28" t="inlineStr">
        <is>
          <t>1. Open Scan Management;
2. Select Batch PNV26A and Student ST001;
3. Select Observation Date: 17/07/2026;
4. Leave all subject ratings as '-' and notes empty;
5. Click Save</t>
        </is>
      </c>
      <c r="J3" s="28" t="inlineStr">
        <is>
          <t>Observation is saved successfully. The ratings are stored as empty/unassessed in the database. No validation error occurs.</t>
        </is>
      </c>
      <c r="K3" s="28" t="inlineStr">
        <is>
          <t>Observation is saved successfully. The ratings are stored as empty/unassessed in the database. No validation error occurs.</t>
        </is>
      </c>
      <c r="L3" s="24" t="inlineStr">
        <is>
          <t>Passed</t>
        </is>
      </c>
      <c r="M3" s="26" t="inlineStr"/>
      <c r="N3" s="25" t="inlineStr">
        <is>
          <t>High</t>
        </is>
      </c>
      <c r="O3" s="28" t="inlineStr">
        <is>
          <t>Related Requirement: M02-F01, Scenario: SC-01</t>
        </is>
      </c>
    </row>
    <row r="4" ht="135" customHeight="1">
      <c r="A4" s="21" t="inlineStr">
        <is>
          <t>TC-M02-003</t>
        </is>
      </c>
      <c r="B4" s="21" t="inlineStr">
        <is>
          <t>Module 02</t>
        </is>
      </c>
      <c r="C4" s="22" t="inlineStr">
        <is>
          <t>M02-F02</t>
        </is>
      </c>
      <c r="D4" s="23" t="inlineStr">
        <is>
          <t>Auto Rating Suggestion</t>
        </is>
      </c>
      <c r="E4" s="23" t="inlineStr">
        <is>
          <t>Auto Rating Suggestion Triggered After Typing Notes</t>
        </is>
      </c>
      <c r="F4" s="23" t="inlineStr">
        <is>
          <t>Verify that the system suggests a performance rating (G, S, or NI) approximately 400ms after user stops typing notes.</t>
        </is>
      </c>
      <c r="G4" s="23" t="inlineStr">
        <is>
          <t>Staff user is logged in.</t>
        </is>
      </c>
      <c r="H4" s="23" t="inlineStr">
        <is>
          <t>Subject=IT; Notes='The student solved all problems quickly and helped other classmates.'</t>
        </is>
      </c>
      <c r="I4" s="23" t="inlineStr">
        <is>
          <t>1. Open observation entry for IT;
2. Start typing the notes: 'The student solved all problems quickly and helped other classmates.';
3. Stop typing and wait for 400 milliseconds;
4. Observe the rating selector</t>
        </is>
      </c>
      <c r="J4" s="23" t="inlineStr">
        <is>
          <t>An auto-rating suggestion (G/excellent) is automatically selected or suggested adjacent to the rating field after 400ms of inactivity.</t>
        </is>
      </c>
      <c r="K4" s="23" t="inlineStr">
        <is>
          <t>An auto-rating suggestion (G/excellent) is automatically selected or suggested adjacent to the rating field after 400ms of inactivity.</t>
        </is>
      </c>
      <c r="L4" s="24" t="inlineStr">
        <is>
          <t>Passed</t>
        </is>
      </c>
      <c r="M4" s="21" t="inlineStr"/>
      <c r="N4" s="25" t="inlineStr">
        <is>
          <t>High</t>
        </is>
      </c>
      <c r="O4" s="23" t="inlineStr">
        <is>
          <t>Related Requirement: M02-F02, Scenario: SC-02</t>
        </is>
      </c>
    </row>
    <row r="5" ht="120" customHeight="1">
      <c r="A5" s="26" t="inlineStr">
        <is>
          <t>TC-M02-004</t>
        </is>
      </c>
      <c r="B5" s="26" t="inlineStr">
        <is>
          <t>Module 02</t>
        </is>
      </c>
      <c r="C5" s="27" t="inlineStr">
        <is>
          <t>M02-F02</t>
        </is>
      </c>
      <c r="D5" s="28" t="inlineStr">
        <is>
          <t>Auto Rating Suggestion</t>
        </is>
      </c>
      <c r="E5" s="28" t="inlineStr">
        <is>
          <t>Overwrite Auto Rating Suggestion</t>
        </is>
      </c>
      <c r="F5" s="28" t="inlineStr">
        <is>
          <t>Verify that staff members can manually overwrite an auto-suggested rating.</t>
        </is>
      </c>
      <c r="G5" s="28" t="inlineStr">
        <is>
          <t>Staff user is logged in. System has suggested rating 'G' after notes were typed.</t>
        </is>
      </c>
      <c r="H5" s="28" t="inlineStr">
        <is>
          <t>Subject=IT; Notes='Good work but missed classes'; SuggestedRating=G; OverwrittenRating=S</t>
        </is>
      </c>
      <c r="I5" s="28" t="inlineStr">
        <is>
          <t>1. Type notes that trigger a 'G' suggestion;
2. Wait for the suggestion to appear;
3. Click the rating dropdown and manually change the rating to 'S';
4. Click Save</t>
        </is>
      </c>
      <c r="J5" s="28" t="inlineStr">
        <is>
          <t>The manually selected rating 'S' replaces the suggestion 'G'. The record is saved successfully with rating 'S'.</t>
        </is>
      </c>
      <c r="K5" s="28" t="inlineStr">
        <is>
          <t>The manually selected rating 'S' replaces the suggestion 'G'. The record is saved successfully with rating 'S'.</t>
        </is>
      </c>
      <c r="L5" s="24" t="inlineStr">
        <is>
          <t>Passed</t>
        </is>
      </c>
      <c r="M5" s="26" t="inlineStr"/>
      <c r="N5" s="25" t="inlineStr">
        <is>
          <t>High</t>
        </is>
      </c>
      <c r="O5" s="28" t="inlineStr">
        <is>
          <t>Related Requirement: M02-F02, Scenario: SC-02</t>
        </is>
      </c>
    </row>
    <row r="6" ht="150" customHeight="1">
      <c r="A6" s="21" t="inlineStr">
        <is>
          <t>TC-M02-005</t>
        </is>
      </c>
      <c r="B6" s="21" t="inlineStr">
        <is>
          <t>Module 02</t>
        </is>
      </c>
      <c r="C6" s="22" t="inlineStr">
        <is>
          <t>M02-F03</t>
        </is>
      </c>
      <c r="D6" s="23" t="inlineStr">
        <is>
          <t>Batch Entry – All Subjects</t>
        </is>
      </c>
      <c r="E6" s="23" t="inlineStr">
        <is>
          <t>Batch Entry for All Subjects simultaneously</t>
        </is>
      </c>
      <c r="F6" s="23" t="inlineStr">
        <is>
          <t>Verify that staff can record observations for multiple students across all subjects simultaneously using spreadsheet-style entry.</t>
        </is>
      </c>
      <c r="G6" s="23" t="inlineStr">
        <is>
          <t>Staff user is logged in. Batch PNV26A contains multiple active students (ST001, ST002).</t>
        </is>
      </c>
      <c r="H6" s="23" t="inlineStr">
        <is>
          <t>Grid of ratings and notes for ST001 and ST002.</t>
        </is>
      </c>
      <c r="I6" s="23" t="inlineStr">
        <is>
          <t>1. Open Scan Management and choose Batch Entry - All Subjects;
2. Select Batch PNV26A and Date: 17/07/2026;
3. On the grid, enter ratings and notes for ST001 (IT=G, PLT=S, English=S, DA=S) and ST002 (IT=S, PLT=NI, English=S, DA=S);
4. Click Save All</t>
        </is>
      </c>
      <c r="J6" s="23" t="inlineStr">
        <is>
          <t>System saves all observation data simultaneously. Success notification appears (e.g.: "Saved 2 students"). Data is displayed accurately in the list.</t>
        </is>
      </c>
      <c r="K6" s="23" t="inlineStr">
        <is>
          <t>System saves all observation data simultaneously. Success notification appears (e.g.: "Saved 2 students"). Data is displayed accurately in the list.</t>
        </is>
      </c>
      <c r="L6" s="24" t="inlineStr">
        <is>
          <t>Passed</t>
        </is>
      </c>
      <c r="M6" s="21" t="inlineStr"/>
      <c r="N6" s="25" t="inlineStr">
        <is>
          <t>High</t>
        </is>
      </c>
      <c r="O6" s="23" t="inlineStr">
        <is>
          <t>Related Requirement: M02-F03, Scenario: SC-03</t>
        </is>
      </c>
    </row>
    <row r="7" ht="135" customHeight="1">
      <c r="A7" s="26" t="inlineStr">
        <is>
          <t>TC-M02-006</t>
        </is>
      </c>
      <c r="B7" s="26" t="inlineStr">
        <is>
          <t>Module 02</t>
        </is>
      </c>
      <c r="C7" s="27" t="inlineStr">
        <is>
          <t>M02-F04</t>
        </is>
      </c>
      <c r="D7" s="28" t="inlineStr">
        <is>
          <t>Batch Entry – By Subject</t>
        </is>
      </c>
      <c r="E7" s="28" t="inlineStr">
        <is>
          <t>Batch Entry by Subject</t>
        </is>
      </c>
      <c r="F7" s="28" t="inlineStr">
        <is>
          <t>Verify that teachers can enter observations for a single subject for multiple students in batch mode.</t>
        </is>
      </c>
      <c r="G7" s="28" t="inlineStr">
        <is>
          <t>Staff user is logged in.</t>
        </is>
      </c>
      <c r="H7" s="28" t="inlineStr">
        <is>
          <t>Subject=English; Ratings and notes for ST001, ST002, ST003.</t>
        </is>
      </c>
      <c r="I7" s="28" t="inlineStr">
        <is>
          <t>1. Open Scan Management and choose Batch Entry - By Subject;
2. Select Batch PNV26A, Date: 17/07/2026, and Subject: English;
3. Fill ratings and notes for English for ST001, ST002, and ST003;
4. Click Save</t>
        </is>
      </c>
      <c r="J7" s="28" t="inlineStr">
        <is>
          <t>English observations are saved successfully for all selected students. Other subjects (IT, PLT, DA) for these students remain unaffected.</t>
        </is>
      </c>
      <c r="K7" s="28" t="inlineStr">
        <is>
          <t>English observations are saved successfully for all selected students. Other subjects (IT, PLT, DA) for these students remain unaffected.</t>
        </is>
      </c>
      <c r="L7" s="24" t="inlineStr">
        <is>
          <t>Passed</t>
        </is>
      </c>
      <c r="M7" s="26" t="inlineStr"/>
      <c r="N7" s="25" t="inlineStr">
        <is>
          <t>High</t>
        </is>
      </c>
      <c r="O7" s="28" t="inlineStr">
        <is>
          <t>Related Requirement: M02-F04, Scenario: SC-04</t>
        </is>
      </c>
    </row>
    <row r="8" ht="120" customHeight="1">
      <c r="A8" s="21" t="inlineStr">
        <is>
          <t>TC-M02-007</t>
        </is>
      </c>
      <c r="B8" s="21" t="inlineStr">
        <is>
          <t>Module 02</t>
        </is>
      </c>
      <c r="C8" s="22" t="inlineStr">
        <is>
          <t>M02-F05</t>
        </is>
      </c>
      <c r="D8" s="23" t="inlineStr">
        <is>
          <t>Observation Editing</t>
        </is>
      </c>
      <c r="E8" s="23" t="inlineStr">
        <is>
          <t>Edit Existing Observation Ratings and Notes</t>
        </is>
      </c>
      <c r="F8" s="23" t="inlineStr">
        <is>
          <t>Verify that staff can edit the ratings and notes of an existing observation record (before the session is complete).</t>
        </is>
      </c>
      <c r="G8" s="23" t="inlineStr">
        <is>
          <t>Staff user is logged in. Student ST001 has an observation on 17/07/2026.</t>
        </is>
      </c>
      <c r="H8" s="23" t="inlineStr">
        <is>
          <t>Student=ST001; Date=2026-07-17; NewITRating=S; NewITNotes=Needs some improvements.</t>
        </is>
      </c>
      <c r="I8" s="23" t="inlineStr">
        <is>
          <t>1. Open Scan Management;
2. Search for ST001 and click Edit on observation for 17/07/2026;
3. Change IT rating to 'S' and notes to 'Needs some improvements.';
4. Click Save</t>
        </is>
      </c>
      <c r="J8" s="23" t="inlineStr">
        <is>
          <t>Observation is updated successfully. A success notification is displayed. The new rating 'S' and notes display correctly.</t>
        </is>
      </c>
      <c r="K8" s="23" t="inlineStr">
        <is>
          <t>Observation is updated successfully. A success notification is displayed. The new rating 'S' and notes display correctly.</t>
        </is>
      </c>
      <c r="L8" s="24" t="inlineStr">
        <is>
          <t>Passed</t>
        </is>
      </c>
      <c r="M8" s="21" t="inlineStr"/>
      <c r="N8" s="25" t="inlineStr">
        <is>
          <t>High</t>
        </is>
      </c>
      <c r="O8" s="23" t="inlineStr">
        <is>
          <t>Related Requirement: M02-F05, Scenario: SC-05</t>
        </is>
      </c>
    </row>
    <row r="9" ht="105" customHeight="1">
      <c r="A9" s="26" t="inlineStr">
        <is>
          <t>TC-M02-008</t>
        </is>
      </c>
      <c r="B9" s="26" t="inlineStr">
        <is>
          <t>Module 02</t>
        </is>
      </c>
      <c r="C9" s="27" t="inlineStr">
        <is>
          <t>M02-F05</t>
        </is>
      </c>
      <c r="D9" s="28" t="inlineStr">
        <is>
          <t>Observation Editing</t>
        </is>
      </c>
      <c r="E9" s="28" t="inlineStr">
        <is>
          <t>Observation Date Locked and Cannot Be Changed</t>
        </is>
      </c>
      <c r="F9" s="28" t="inlineStr">
        <is>
          <t>Verify that the observation date of an existing record is locked and cannot be edited.</t>
        </is>
      </c>
      <c r="G9" s="28" t="inlineStr">
        <is>
          <t>Staff user is logged in. Student ST001 has an observation on 17/07/2026.</t>
        </is>
      </c>
      <c r="H9" s="28" t="inlineStr">
        <is>
          <t>Student=ST001; Date=2026-07-17</t>
        </is>
      </c>
      <c r="I9" s="28" t="inlineStr">
        <is>
          <t>1. Open Scan Management;
2. Select ST001 observation on 17/07/2026 and click Edit;
3. Check the Observation Date field;
4. Attempt to modify the date</t>
        </is>
      </c>
      <c r="J9" s="28" t="inlineStr">
        <is>
          <t>The Observation Date field is disabled (read-only) and cannot be interacted with or modified.</t>
        </is>
      </c>
      <c r="K9" s="28" t="inlineStr">
        <is>
          <t>The evaluation date is subject to change at will without notice.</t>
        </is>
      </c>
      <c r="L9" s="25" t="inlineStr">
        <is>
          <t>Failed</t>
        </is>
      </c>
      <c r="M9" s="26" t="inlineStr"/>
      <c r="N9" s="25" t="inlineStr">
        <is>
          <t>High</t>
        </is>
      </c>
      <c r="O9" s="28" t="inlineStr">
        <is>
          <t>Related Requirement: M02-F05, Scenario: SC-05, Business Rules</t>
        </is>
      </c>
    </row>
    <row r="10" ht="75" customHeight="1">
      <c r="A10" s="21" t="inlineStr">
        <is>
          <t>TC-M02-009</t>
        </is>
      </c>
      <c r="B10" s="21" t="inlineStr">
        <is>
          <t>Module 02</t>
        </is>
      </c>
      <c r="C10" s="22" t="inlineStr">
        <is>
          <t>M02-F06</t>
        </is>
      </c>
      <c r="D10" s="23" t="inlineStr">
        <is>
          <t>Duplicate Detection &amp; Merge</t>
        </is>
      </c>
      <c r="E10" s="23" t="inlineStr">
        <is>
          <t>Duplicate Observation Merged - Less Than 3 Subjects Completed</t>
        </is>
      </c>
      <c r="F10" s="23" t="inlineStr">
        <is>
          <t>Verify that a duplicate student/date observation is merged into the existing record if less than 3 subjects are completed in the existing record.</t>
        </is>
      </c>
      <c r="G10" s="23" t="inlineStr">
        <is>
          <t>Staff user is logged in. Student ST001 has an observation on 17/07/2026 with only IT and PLT completed.</t>
        </is>
      </c>
      <c r="H10" s="23" t="inlineStr">
        <is>
          <t>Student=ST001; Date=2026-07-17; English_Rating=S; English_Notes=Good English vocabulary; DA_Rating=S</t>
        </is>
      </c>
      <c r="I10" s="23" t="inlineStr">
        <is>
          <t>1. Submit a new observation for ST001 on 17/07/2026 with English rating 'S', notes 'Good English vocabulary', and DA rating 'S';
2. Click Save</t>
        </is>
      </c>
      <c r="J10" s="23" t="inlineStr">
        <is>
          <t>Save is accepted. English and DA ratings are merged into the existing ST001 row. Message displays: "Added to existing session.".</t>
        </is>
      </c>
      <c r="K10" s="23" t="inlineStr">
        <is>
          <t>The system does not merge duplicate reviews.</t>
        </is>
      </c>
      <c r="L10" s="25" t="inlineStr">
        <is>
          <t>Failed</t>
        </is>
      </c>
      <c r="M10" s="21" t="inlineStr"/>
      <c r="N10" s="25" t="inlineStr">
        <is>
          <t>High</t>
        </is>
      </c>
      <c r="O10" s="23" t="inlineStr">
        <is>
          <t>Related Requirement: M02-F06, Scenario: SC-06, Rule 1</t>
        </is>
      </c>
    </row>
    <row r="11" ht="60" customHeight="1">
      <c r="A11" s="26" t="inlineStr">
        <is>
          <t>TC-M02-010</t>
        </is>
      </c>
      <c r="B11" s="26" t="inlineStr">
        <is>
          <t>Module 02</t>
        </is>
      </c>
      <c r="C11" s="27" t="inlineStr">
        <is>
          <t>M02-F06</t>
        </is>
      </c>
      <c r="D11" s="28" t="inlineStr">
        <is>
          <t>Duplicate Detection &amp; Merge</t>
        </is>
      </c>
      <c r="E11" s="28" t="inlineStr">
        <is>
          <t>Duplicate Observation Rejected - 3 or More Subjects Completed</t>
        </is>
      </c>
      <c r="F11" s="28" t="inlineStr">
        <is>
          <t>Verify that a duplicate student/date observation is rejected if 3 or more subjects are already completed in the existing record.</t>
        </is>
      </c>
      <c r="G11" s="28" t="inlineStr">
        <is>
          <t>Staff user is logged in. Student ST001 has an observation on 17/07/2026 with IT, PLT, and English completed.</t>
        </is>
      </c>
      <c r="H11" s="28" t="inlineStr">
        <is>
          <t>Student=ST001; Date=2026-07-17; DA_Rating=G; DA_Notes=Excellent design work</t>
        </is>
      </c>
      <c r="I11" s="28" t="inlineStr">
        <is>
          <t>1. Attempt to save a new observation for ST001 on 17/07/2026 containing DA rating 'G';
2. Click Save</t>
        </is>
      </c>
      <c r="J11" s="28" t="inlineStr">
        <is>
          <t>Save is rejected. Error message displays: "A feedback record for this date already exists.". New record is not saved.</t>
        </is>
      </c>
      <c r="K11" s="28" t="inlineStr">
        <is>
          <t>New ratings are saved and no error messages are displayed even if the student has previously given a rating.</t>
        </is>
      </c>
      <c r="L11" s="25" t="inlineStr">
        <is>
          <t>Failed</t>
        </is>
      </c>
      <c r="M11" s="26" t="inlineStr"/>
      <c r="N11" s="25" t="inlineStr">
        <is>
          <t>High</t>
        </is>
      </c>
      <c r="O11" s="28" t="inlineStr">
        <is>
          <t>Related Requirement: M02-F06, Scenario: SC-07, Rule 2</t>
        </is>
      </c>
    </row>
    <row r="12" ht="90" customHeight="1">
      <c r="A12" s="21" t="inlineStr">
        <is>
          <t>TC-M02-011</t>
        </is>
      </c>
      <c r="B12" s="21" t="inlineStr">
        <is>
          <t>Module 02</t>
        </is>
      </c>
      <c r="C12" s="22" t="inlineStr">
        <is>
          <t>M02-F07</t>
        </is>
      </c>
      <c r="D12" s="23" t="inlineStr">
        <is>
          <t>Session Management</t>
        </is>
      </c>
      <c r="E12" s="23" t="inlineStr">
        <is>
          <t>Mark Session Complete - Auto-fill N/A for Unassessed Students</t>
        </is>
      </c>
      <c r="F12" s="23" t="inlineStr">
        <is>
          <t>Verify that marking a session complete automatically fills ratings for unassessed students with N/A and closes the session.</t>
        </is>
      </c>
      <c r="G12" s="23" t="inlineStr">
        <is>
          <t>Staff user is logged in. Batch PNV26A session on 17/07/2026 is complete for ST001 but ST002 has no observations.</t>
        </is>
      </c>
      <c r="H12" s="23" t="inlineStr">
        <is>
          <t>Batch=PNV26A; Date=2026-07-17</t>
        </is>
      </c>
      <c r="I12" s="23" t="inlineStr">
        <is>
          <t>1. Open progress dashboard for PNV26A on 17/07/2026;
2. Click Mark Session Complete;
3. Check session status and ST002 record</t>
        </is>
      </c>
      <c r="J12" s="23" t="inlineStr">
        <is>
          <t>Session status becomes 'Complete'. Student ST002 is automatically filled with 'N/A' for all subjects. No unassessed students remain.</t>
        </is>
      </c>
      <c r="K12" s="23" t="inlineStr">
        <is>
          <t>Session status becomes 'Complete'. Student ST002 is automatically filled with 'N/A' for all subjects. No unassessed students remain.</t>
        </is>
      </c>
      <c r="L12" s="24" t="inlineStr">
        <is>
          <t>Passed</t>
        </is>
      </c>
      <c r="M12" s="21" t="inlineStr"/>
      <c r="N12" s="25" t="inlineStr">
        <is>
          <t>High</t>
        </is>
      </c>
      <c r="O12" s="23" t="inlineStr">
        <is>
          <t>Related Requirement: M02-F07, Scenario: SC-08</t>
        </is>
      </c>
    </row>
    <row r="13" ht="90" customHeight="1">
      <c r="A13" s="26" t="inlineStr">
        <is>
          <t>TC-M02-012</t>
        </is>
      </c>
      <c r="B13" s="26" t="inlineStr">
        <is>
          <t>Module 02</t>
        </is>
      </c>
      <c r="C13" s="27" t="inlineStr">
        <is>
          <t>M02-F07</t>
        </is>
      </c>
      <c r="D13" s="28" t="inlineStr">
        <is>
          <t>Session Management</t>
        </is>
      </c>
      <c r="E13" s="28" t="inlineStr">
        <is>
          <t>Block Edits on Completed Session</t>
        </is>
      </c>
      <c r="F13" s="28" t="inlineStr">
        <is>
          <t>Verify that staff cannot edit or create observations once a session is marked Complete.</t>
        </is>
      </c>
      <c r="G13" s="28" t="inlineStr">
        <is>
          <t>Staff user is logged in. Batch PNV26A session on 17/07/2026 is marked Complete.</t>
        </is>
      </c>
      <c r="H13" s="28" t="inlineStr">
        <is>
          <t>Batch=PNV26A; Date=2026-07-17</t>
        </is>
      </c>
      <c r="I13" s="28" t="inlineStr">
        <is>
          <t>1. Open completed session for PNV26A on 17/07/2026;
2. Try clicking Edit or Add Observation for this date;
3. Observe UI and server response if save is sent</t>
        </is>
      </c>
      <c r="J13" s="28" t="inlineStr">
        <is>
          <t>Edit/Add buttons are hidden or disabled. Server rejects any manual save attempts with error "Form may be outdated." or "Session outdated.".</t>
        </is>
      </c>
      <c r="K13" s="28" t="inlineStr">
        <is>
          <t>The edit button is disabled, making it impossible to edit student evaluation information.</t>
        </is>
      </c>
      <c r="L13" s="24" t="inlineStr">
        <is>
          <t>Passed</t>
        </is>
      </c>
      <c r="M13" s="26" t="inlineStr"/>
      <c r="N13" s="25" t="inlineStr">
        <is>
          <t>High</t>
        </is>
      </c>
      <c r="O13" s="28" t="inlineStr">
        <is>
          <t>Related Requirement: M02-F07, Scenario: SC-08, Business Rules</t>
        </is>
      </c>
    </row>
    <row r="14" ht="90" customHeight="1">
      <c r="A14" s="21" t="inlineStr">
        <is>
          <t>TC-M02-013</t>
        </is>
      </c>
      <c r="B14" s="21" t="inlineStr">
        <is>
          <t>Module 02</t>
        </is>
      </c>
      <c r="C14" s="22" t="inlineStr">
        <is>
          <t>M02-F08</t>
        </is>
      </c>
      <c r="D14" s="23" t="inlineStr">
        <is>
          <t>Session Progress</t>
        </is>
      </c>
      <c r="E14" s="23" t="inlineStr">
        <is>
          <t>Verify Session Progress Dashboard Indicators</t>
        </is>
      </c>
      <c r="F14" s="23" t="inlineStr">
        <is>
          <t>Verify that the progress dashboard shows accurate completion rate and lists unassessed students.</t>
        </is>
      </c>
      <c r="G14" s="23" t="inlineStr">
        <is>
          <t>Staff user is logged in. Batch PNV26A has 10 students; 4 have observations, 6 do not.</t>
        </is>
      </c>
      <c r="H14" s="23" t="inlineStr">
        <is>
          <t>Batch=PNV26A; Date=2026-07-17</t>
        </is>
      </c>
      <c r="I14" s="23" t="inlineStr">
        <is>
          <t>1. Open Scan Management;
2. Navigate to progress details for PNV26A on 17/07/2026;
3. Check percentage and unassessed student list</t>
        </is>
      </c>
      <c r="J14" s="23" t="inlineStr">
        <is>
          <t>Dashboard displays '40% Complete' (or '4/10 students assessed'). Status is 'Incomplete'. Names of the 6 unassessed students are listed.</t>
        </is>
      </c>
      <c r="K14" s="23" t="inlineStr">
        <is>
          <t>All students are displayed, including those who have completed the assessment.</t>
        </is>
      </c>
      <c r="L14" s="25" t="inlineStr">
        <is>
          <t>Failed</t>
        </is>
      </c>
      <c r="M14" s="21" t="inlineStr"/>
      <c r="N14" s="29" t="inlineStr">
        <is>
          <t>Medium</t>
        </is>
      </c>
      <c r="O14" s="23" t="inlineStr">
        <is>
          <t>Related Requirement: M02-F08, Scenario: SC-09</t>
        </is>
      </c>
    </row>
    <row r="15" ht="105" customHeight="1">
      <c r="A15" s="26" t="inlineStr">
        <is>
          <t>TC-M02-014</t>
        </is>
      </c>
      <c r="B15" s="26" t="inlineStr">
        <is>
          <t>Module 02</t>
        </is>
      </c>
      <c r="C15" s="27" t="inlineStr">
        <is>
          <t>M02-F10</t>
        </is>
      </c>
      <c r="D15" s="28" t="inlineStr">
        <is>
          <t>Search, Filter &amp; Sorting</t>
        </is>
      </c>
      <c r="E15" s="28" t="inlineStr">
        <is>
          <t>Search Student by Full or Partial Name</t>
        </is>
      </c>
      <c r="F15" s="28" t="inlineStr">
        <is>
          <t>Verify that searching student list by full or partial name correctly filters the observation records.</t>
        </is>
      </c>
      <c r="G15" s="28" t="inlineStr">
        <is>
          <t>Staff user is logged in. Student list contains 'Nguyen Van A' and 'Tran Thi B'.</t>
        </is>
      </c>
      <c r="H15" s="28" t="inlineStr">
        <is>
          <t>SearchQuery1=Nguyen Van A; SearchQuery2=Thi</t>
        </is>
      </c>
      <c r="I15" s="28" t="inlineStr">
        <is>
          <t>1. Open Scan Management;
2. Enter 'Nguyen Van A' in the Search box and observe the student list;
3. Clear the search and enter 'Thi' in the search box; 4. Observe the student list</t>
        </is>
      </c>
      <c r="J15" s="28" t="inlineStr">
        <is>
          <t>Searching 'Nguyen Van A' displays only Nguyen Van A. Searching 'Thi' displays only Tran Thi B (matching partial name 'Thi'). List updates in real-time.</t>
        </is>
      </c>
      <c r="K15" s="28" t="inlineStr">
        <is>
          <t>Searching 'Nguyen Van A' displays only Nguyen Van A. Searching 'Thi' displays only Tran Thi B (matching partial name 'Thi'). List updates in real-time.</t>
        </is>
      </c>
      <c r="L15" s="24" t="inlineStr">
        <is>
          <t>Passed</t>
        </is>
      </c>
      <c r="M15" s="26" t="inlineStr"/>
      <c r="N15" s="29" t="inlineStr">
        <is>
          <t>Medium</t>
        </is>
      </c>
      <c r="O15" s="28" t="inlineStr">
        <is>
          <t>Related Requirement: M02-F10, Scenario: SC-11</t>
        </is>
      </c>
    </row>
    <row r="16" ht="150" customHeight="1">
      <c r="A16" s="21" t="inlineStr">
        <is>
          <t>TC-M02-015</t>
        </is>
      </c>
      <c r="B16" s="21" t="inlineStr">
        <is>
          <t>Module 02</t>
        </is>
      </c>
      <c r="C16" s="22" t="inlineStr">
        <is>
          <t>M02-F10</t>
        </is>
      </c>
      <c r="D16" s="23" t="inlineStr">
        <is>
          <t>Search, Filter &amp; Sorting</t>
        </is>
      </c>
      <c r="E16" s="23" t="inlineStr">
        <is>
          <t>Sort Students Alphabetically and by Completion Progress</t>
        </is>
      </c>
      <c r="F16" s="23" t="inlineStr">
        <is>
          <t>Verify that the student list can be sorted alphabetically or by observation completion progress.</t>
        </is>
      </c>
      <c r="G16" s="23" t="inlineStr">
        <is>
          <t>Staff user is logged in. Batch PNV26A exists.</t>
        </is>
      </c>
      <c r="H16" s="23" t="inlineStr">
        <is>
          <t>SortOptions=Alphabetical, CompletionProgress</t>
        </is>
      </c>
      <c r="I16" s="23" t="inlineStr">
        <is>
          <t>1. Open Scan Management;
2. Click the Sort dropdown and select Alphabetical (A-Z);
3. Verify list sorting;
4. Click Sort dropdown and select Completion Progress (Lowest to Highest);
5. Verify list sorting</t>
        </is>
      </c>
      <c r="J16" s="23" t="inlineStr">
        <is>
          <t>The student list rearranges correctly. Alphabetical sorting orders students by name A-Z. Completion sorting displays students with fewer completed subjects first.</t>
        </is>
      </c>
      <c r="K16" s="23" t="inlineStr">
        <is>
          <t>The student list has been correctly sorted. Sorting alphabetically will display students by name from A-Z. Sorting by rating level is also available.</t>
        </is>
      </c>
      <c r="L16" s="24" t="inlineStr">
        <is>
          <t>Passed</t>
        </is>
      </c>
      <c r="M16" s="21" t="inlineStr"/>
      <c r="N16" s="29" t="inlineStr">
        <is>
          <t>Medium</t>
        </is>
      </c>
      <c r="O16" s="23" t="inlineStr">
        <is>
          <t>Related Requirement: M02-F10, Scenario: SC-11</t>
        </is>
      </c>
    </row>
    <row r="17" ht="75" customHeight="1">
      <c r="A17" s="26" t="inlineStr">
        <is>
          <t>TC-M02-016</t>
        </is>
      </c>
      <c r="B17" s="26" t="inlineStr">
        <is>
          <t>Module 02</t>
        </is>
      </c>
      <c r="C17" s="27" t="inlineStr">
        <is>
          <t>M02-F11</t>
        </is>
      </c>
      <c r="D17" s="28" t="inlineStr">
        <is>
          <t>Dashboard Overview</t>
        </is>
      </c>
      <c r="E17" s="28" t="inlineStr">
        <is>
          <t>Verify Dashboard Stats and Observation Completion Rate</t>
        </is>
      </c>
      <c r="F17" s="28" t="inlineStr">
        <is>
          <t>Verify that the dashboard displays correct metrics for active sessions, completed sessions, and completion rate.</t>
        </is>
      </c>
      <c r="G17" s="28" t="inlineStr">
        <is>
          <t>Staff user is logged in. System has 3 active sessions (2 complete, 1 incomplete). Total 30 observation records possible, 24 completed.</t>
        </is>
      </c>
      <c r="H17" s="28" t="inlineStr">
        <is>
          <t>None</t>
        </is>
      </c>
      <c r="I17" s="28" t="inlineStr">
        <is>
          <t>1. Navigate to the Dashboard Overview page;
2. Observe the observation-related statistics cards</t>
        </is>
      </c>
      <c r="J17" s="28" t="inlineStr">
        <is>
          <t>The dashboard displays: Active Observation Sessions = 3, Completed Sessions = 2, Incomplete Sessions = 1, Observation Completion Rate = 80% (24/30). Metrics are calculated accurately.</t>
        </is>
      </c>
      <c r="K17" s="28" t="inlineStr">
        <is>
          <t>The dashboard displays: Active Observation Sessions = 3, Completed Sessions = 2, Incomplete Sessions = 1, Observation Completion Rate = 80% (24/30). Metrics are calculated accurately.</t>
        </is>
      </c>
      <c r="L17" s="24" t="inlineStr">
        <is>
          <t>Passed</t>
        </is>
      </c>
      <c r="M17" s="26" t="inlineStr"/>
      <c r="N17" s="29" t="inlineStr">
        <is>
          <t>Medium</t>
        </is>
      </c>
      <c r="O17" s="28" t="inlineStr">
        <is>
          <t>Related Requirement: M02-F11, Scenario: SC-12</t>
        </is>
      </c>
    </row>
    <row r="18" ht="105" customHeight="1">
      <c r="A18" s="21" t="inlineStr">
        <is>
          <t>TC-M02-017</t>
        </is>
      </c>
      <c r="B18" s="21" t="inlineStr">
        <is>
          <t>Module 02</t>
        </is>
      </c>
      <c r="C18" s="22" t="inlineStr">
        <is>
          <t>M02-F11</t>
        </is>
      </c>
      <c r="D18" s="23" t="inlineStr">
        <is>
          <t>Dashboard Overview</t>
        </is>
      </c>
      <c r="E18" s="23" t="inlineStr">
        <is>
          <t>Verify Dashboard Auto-refresh after Observation Data Updates</t>
        </is>
      </c>
      <c r="F18" s="23" t="inlineStr">
        <is>
          <t>Verify that observation dashboard statistics update immediately when observations are completed or edited.</t>
        </is>
      </c>
      <c r="G18" s="23" t="inlineStr">
        <is>
          <t>Staff user is logged in. Dashboard currently displays Completion Rate = 80%.</t>
        </is>
      </c>
      <c r="H18" s="23" t="inlineStr">
        <is>
          <t>New observation saved for ST005.</t>
        </is>
      </c>
      <c r="I18" s="23" t="inlineStr">
        <is>
          <t>1. Open Scan Management and record a new observation for ST005 (completing all remaining subjects for that day);
2. Go to Dashboard immediately;
3. Observe the Completion Rate statistic</t>
        </is>
      </c>
      <c r="J18" s="23" t="inlineStr">
        <is>
          <t>The Completion Rate percentage card on the dashboard updates immediately to a higher percentage (e.g. 83%) without requiring a browser refresh.</t>
        </is>
      </c>
      <c r="K18" s="23" t="inlineStr">
        <is>
          <t>The Completion Rate percentage card on the dashboard updates immediately to a higher percentage (e.g. 83%) without requiring a browser refresh.</t>
        </is>
      </c>
      <c r="L18" s="24" t="inlineStr">
        <is>
          <t>Passed</t>
        </is>
      </c>
      <c r="M18" s="21" t="inlineStr"/>
      <c r="N18" s="29" t="inlineStr">
        <is>
          <t>Medium</t>
        </is>
      </c>
      <c r="O18" s="23" t="inlineStr">
        <is>
          <t>Related Requirement: M02-F11, Scenario: SC-12</t>
        </is>
      </c>
    </row>
    <row r="19" ht="120" customHeight="1">
      <c r="A19" s="26" t="inlineStr">
        <is>
          <t>TC-M02-018</t>
        </is>
      </c>
      <c r="B19" s="26" t="inlineStr">
        <is>
          <t>Module 02</t>
        </is>
      </c>
      <c r="C19" s="27" t="inlineStr">
        <is>
          <t>M02-F01</t>
        </is>
      </c>
      <c r="D19" s="28" t="inlineStr">
        <is>
          <t>Single Observation Entry</t>
        </is>
      </c>
      <c r="E19" s="28" t="inlineStr">
        <is>
          <t>Record Observation Blocked with Empty Date</t>
        </is>
      </c>
      <c r="F19" s="28" t="inlineStr">
        <is>
          <t>Verify that the system blocks saving an observation if the date field is empty.</t>
        </is>
      </c>
      <c r="G19" s="28" t="inlineStr">
        <is>
          <t>Staff user is logged in.</t>
        </is>
      </c>
      <c r="H19" s="28" t="inlineStr">
        <is>
          <t>Student=ST001; Date=Empty; IT_Rating=S; IT_Notes=Good progress</t>
        </is>
      </c>
      <c r="I19" s="28" t="inlineStr">
        <is>
          <t>1. Open Scan Management;
2. Select Student ST001;
3. Leave Observation Date empty;
4. Enter IT rating 'S' and notes 'Good progress';
5. Click Save</t>
        </is>
      </c>
      <c r="J19" s="28" t="inlineStr">
        <is>
          <t>Saving is blocked. A validation error message requires Observation Date to be selected. No record is saved.</t>
        </is>
      </c>
      <c r="K19" s="28" t="inlineStr">
        <is>
          <t>Saving is blocked. A validation error message requires Observation Date to be selected. No record is saved.</t>
        </is>
      </c>
      <c r="L19" s="24" t="inlineStr">
        <is>
          <t>Passed</t>
        </is>
      </c>
      <c r="M19" s="26" t="inlineStr"/>
      <c r="N19" s="25" t="inlineStr">
        <is>
          <t>High</t>
        </is>
      </c>
      <c r="O19" s="28" t="inlineStr">
        <is>
          <t>Related Requirement: M02-F01, Scenario: SC-01, Validation Rules</t>
        </is>
      </c>
    </row>
    <row r="20" ht="150" customHeight="1">
      <c r="A20" s="21" t="inlineStr">
        <is>
          <t>TC-M02-019</t>
        </is>
      </c>
      <c r="B20" s="21" t="inlineStr">
        <is>
          <t>Module 02</t>
        </is>
      </c>
      <c r="C20" s="22" t="inlineStr">
        <is>
          <t>M02-F03</t>
        </is>
      </c>
      <c r="D20" s="23" t="inlineStr">
        <is>
          <t>Batch Entry – All Subjects</t>
        </is>
      </c>
      <c r="E20" s="23" t="inlineStr">
        <is>
          <t>Batch Entry All Subjects Skips Empty Student Rows</t>
        </is>
      </c>
      <c r="F20" s="23" t="inlineStr">
        <is>
          <t>Verify that batch entry for all subjects skips students with completely empty inputs and reports skipped counts.</t>
        </is>
      </c>
      <c r="G20" s="23" t="inlineStr">
        <is>
          <t>Staff user is logged in. Batch PNV26A contains active students ST001 to ST005.</t>
        </is>
      </c>
      <c r="H20" s="23" t="inlineStr">
        <is>
          <t>Batch=PNV26A; Date=2026-07-17; Inputs for ST001, ST002, ST003; ST004 and ST005 are left blank.</t>
        </is>
      </c>
      <c r="I20" s="23" t="inlineStr">
        <is>
          <t>1. Open Scan Management and choose Batch Entry - All Subjects;
2. Select Batch PNV26A and Date 17/07/2026;
3. Enter ratings and notes for ST001, ST002, and ST003;
4. Leave rows for ST004 and ST005 completely empty;
5. Click Save All</t>
        </is>
      </c>
      <c r="J20" s="23" t="inlineStr">
        <is>
          <t>Records are saved successfully for ST001, ST002, and ST003. A message displays: "Saved 3 students, Skipped 2 students". No empty records are created for ST004 and ST005.</t>
        </is>
      </c>
      <c r="K20" s="23" t="inlineStr">
        <is>
          <t>Records are saved successfully for ST001, ST002, and ST003. A message displays: "Saved 3 students, Skipped 2 students". No empty records are created for ST004 and ST005.</t>
        </is>
      </c>
      <c r="L20" s="24" t="inlineStr">
        <is>
          <t>Passed</t>
        </is>
      </c>
      <c r="M20" s="21" t="inlineStr"/>
      <c r="N20" s="25" t="inlineStr">
        <is>
          <t>High</t>
        </is>
      </c>
      <c r="O20" s="23" t="inlineStr">
        <is>
          <t>Related Requirement: M02-F03, Scenario: SC-03, Batch Entry</t>
        </is>
      </c>
    </row>
    <row r="21" ht="135" customHeight="1">
      <c r="A21" s="26" t="inlineStr">
        <is>
          <t>TC-M02-020</t>
        </is>
      </c>
      <c r="B21" s="26" t="inlineStr">
        <is>
          <t>Module 02</t>
        </is>
      </c>
      <c r="C21" s="27" t="inlineStr">
        <is>
          <t>M02-F02</t>
        </is>
      </c>
      <c r="D21" s="28" t="inlineStr">
        <is>
          <t>Auto Rating Suggestion</t>
        </is>
      </c>
      <c r="E21" s="28" t="inlineStr">
        <is>
          <t>Auto Rating Cleared When Notes Are Erased</t>
        </is>
      </c>
      <c r="F21" s="28" t="inlineStr">
        <is>
          <t>Verify that if a user types notes to trigger a rating, then erases the notes, the suggested rating is reset.</t>
        </is>
      </c>
      <c r="G21" s="28" t="inlineStr">
        <is>
          <t>Staff user is logged in. System has suggested rating 'G' after notes were typed.</t>
        </is>
      </c>
      <c r="H21" s="28" t="inlineStr">
        <is>
          <t>Subject=PLT; Initial Notes='Excellent student'; Erased Notes=''</t>
        </is>
      </c>
      <c r="I21" s="28" t="inlineStr">
        <is>
          <t>1. Open observation entry for PLT;
2. Type notes: 'Excellent student';
3. Wait 400ms for suggestion 'G' to appear;
4. Clear the notes text area completely;
5. Observe rating dropdown</t>
        </is>
      </c>
      <c r="J21" s="28" t="inlineStr">
        <is>
          <t>The suggested rating 'G' is cleared, and the rating dropdown resets to the default '-' (Not Yet Assessed).</t>
        </is>
      </c>
      <c r="K21" s="28" t="inlineStr">
        <is>
          <t>The suggested rating 'G' is cleared, and the rating dropdown resets to the default '-' (Not Yet Assessed).</t>
        </is>
      </c>
      <c r="L21" s="24" t="inlineStr">
        <is>
          <t>Passed</t>
        </is>
      </c>
      <c r="M21" s="26" t="inlineStr"/>
      <c r="N21" s="29" t="inlineStr">
        <is>
          <t>Medium</t>
        </is>
      </c>
      <c r="O21" s="28" t="inlineStr">
        <is>
          <t>Related Requirement: M02-F02, Scenario: SC-02, Auto Rating Suggestion</t>
        </is>
      </c>
    </row>
    <row r="22" ht="120" customHeight="1">
      <c r="A22" s="21" t="inlineStr">
        <is>
          <t>TC-M02-021</t>
        </is>
      </c>
      <c r="B22" s="21" t="inlineStr">
        <is>
          <t>Module 02</t>
        </is>
      </c>
      <c r="C22" s="22" t="inlineStr">
        <is>
          <t>M02-F02</t>
        </is>
      </c>
      <c r="D22" s="23" t="inlineStr">
        <is>
          <t>Auto Rating Suggestion</t>
        </is>
      </c>
      <c r="E22" s="23" t="inlineStr">
        <is>
          <t>Auto Rating Suggestion Debounced During Continuous Typing</t>
        </is>
      </c>
      <c r="F22" s="23" t="inlineStr">
        <is>
          <t>Verify that the 400ms auto-rating suggestion timer is reset (debounced) as long as typing continues.</t>
        </is>
      </c>
      <c r="G22" s="23" t="inlineStr">
        <is>
          <t>Staff user is logged in.</t>
        </is>
      </c>
      <c r="H22" s="23" t="inlineStr">
        <is>
          <t>Subject=IT; Notes='The student is trying very hard to solve the logic problems' typed with 200ms key pauses.</t>
        </is>
      </c>
      <c r="I22" s="23" t="inlineStr">
        <is>
          <t>1. Open observation entry for IT;
2. Type notes continuously, pausing only 200ms between words;
3. Observe the rating dropdown during typing;
4. Stop typing completely and wait 400ms</t>
        </is>
      </c>
      <c r="J22" s="23" t="inlineStr">
        <is>
          <t>No rating suggestion is selected or triggered while the user is actively typing. The suggestion only triggers 400ms after the user stops typing completely.</t>
        </is>
      </c>
      <c r="K22" s="23" t="inlineStr">
        <is>
          <t>No rating suggestion is selected or triggered while the user is actively typing. The suggestion only triggers 400ms after the user stops typing completely.</t>
        </is>
      </c>
      <c r="L22" s="24" t="inlineStr">
        <is>
          <t>Passed</t>
        </is>
      </c>
      <c r="M22" s="21" t="inlineStr"/>
      <c r="N22" s="29" t="inlineStr">
        <is>
          <t>Medium</t>
        </is>
      </c>
      <c r="O22" s="23" t="inlineStr">
        <is>
          <t>Related Requirement: M02-F02, Scenario: SC-02, Auto Rating Suggestion</t>
        </is>
      </c>
    </row>
    <row r="23" ht="105" customHeight="1">
      <c r="A23" s="26" t="inlineStr">
        <is>
          <t>TC-M02-022</t>
        </is>
      </c>
      <c r="B23" s="26" t="inlineStr">
        <is>
          <t>Module 02</t>
        </is>
      </c>
      <c r="C23" s="27" t="inlineStr">
        <is>
          <t>M02-F04</t>
        </is>
      </c>
      <c r="D23" s="28" t="inlineStr">
        <is>
          <t>Batch Entry – By Subject</t>
        </is>
      </c>
      <c r="E23" s="28" t="inlineStr">
        <is>
          <t>Batch Entry By Subject Blocks Save for Students Exceeding Merge Limit</t>
        </is>
      </c>
      <c r="F23" s="28" t="inlineStr">
        <is>
          <t>Verify that Batch Entry by Subject rejects saving a student's observation if that student already has 3 or more completed subjects, while saving other students.</t>
        </is>
      </c>
      <c r="G23" s="28" t="inlineStr">
        <is>
          <t>Staff user is logged in. Student ST001 has 3 completed subjects (IT, PLT, English) for date 17/07/2026. ST002 has 1 completed subject.</t>
        </is>
      </c>
      <c r="H23" s="28" t="inlineStr">
        <is>
          <t>Batch=PNV26A; Subject=English; Date=2026-07-17; ST001 English=G; ST002 English=S</t>
        </is>
      </c>
      <c r="I23" s="28" t="inlineStr">
        <is>
          <t>1. Open Batch Entry - By Subject;
2. Select Batch PNV26A, Date: 17/07/2026, and Subject: English;
3. Enter ratings/notes for ST001 and ST002;
4. Click Save</t>
        </is>
      </c>
      <c r="J23" s="28" t="inlineStr">
        <is>
          <t>ST002 English observation is saved. ST001 save is rejected with a warning/error that a record for this date already exists/exceeds merge limit. The existing ST001 record is preserved.</t>
        </is>
      </c>
      <c r="K23" s="28" t="inlineStr">
        <is>
          <t>The system allows updating and saving comments for students who have completed all comments for all subjects.</t>
        </is>
      </c>
      <c r="L23" s="25" t="inlineStr">
        <is>
          <t>Failed</t>
        </is>
      </c>
      <c r="M23" s="26" t="inlineStr"/>
      <c r="N23" s="25" t="inlineStr">
        <is>
          <t>High</t>
        </is>
      </c>
      <c r="O23" s="28" t="inlineStr">
        <is>
          <t>Related Requirement: M02-F04, Scenario: SC-04, Rule 2</t>
        </is>
      </c>
    </row>
    <row r="24" ht="90" customHeight="1">
      <c r="A24" s="21" t="inlineStr">
        <is>
          <t>TC-M02-023</t>
        </is>
      </c>
      <c r="B24" s="21" t="inlineStr">
        <is>
          <t>Module 02</t>
        </is>
      </c>
      <c r="C24" s="22" t="inlineStr">
        <is>
          <t>M02-SEC</t>
        </is>
      </c>
      <c r="D24" s="23" t="inlineStr">
        <is>
          <t>Access Control &amp; Security</t>
        </is>
      </c>
      <c r="E24" s="23" t="inlineStr">
        <is>
          <t>Block Student Access to Scan Management</t>
        </is>
      </c>
      <c r="F24" s="23" t="inlineStr">
        <is>
          <t>Verify that a user logged in with a Student email cannot access the Scan Management page or endpoints.</t>
        </is>
      </c>
      <c r="G24" s="23" t="inlineStr">
        <is>
          <t>User has student email account student01@student.passerellesnumeriques.org.</t>
        </is>
      </c>
      <c r="H24" s="23" t="inlineStr">
        <is>
          <t>Email=student01@student.passerellesnumeriques.org</t>
        </is>
      </c>
      <c r="I24" s="23" t="inlineStr">
        <is>
          <t>1. Log in to the application as student;
2. Attempt to navigate to the Scan Management page directly via URL;
3. Observe the system response</t>
        </is>
      </c>
      <c r="J24" s="23" t="inlineStr">
        <is>
          <t>The Scan Management option is not available in the menu. Direct URL access is blocked, displaying "Access Denied" or redirecting to the Student Portal home page.</t>
        </is>
      </c>
      <c r="K24" s="23" t="inlineStr">
        <is>
          <t>The Scan Management option is not available in the menu. Direct URL access is blocked, displaying "Access Denied" or redirecting to the Student Portal home page.</t>
        </is>
      </c>
      <c r="L24" s="24" t="inlineStr">
        <is>
          <t>Passed</t>
        </is>
      </c>
      <c r="M24" s="21" t="inlineStr"/>
      <c r="N24" s="25" t="inlineStr">
        <is>
          <t>High</t>
        </is>
      </c>
      <c r="O24" s="23" t="inlineStr">
        <is>
          <t>Related Requirement: General Rules, Scenario: SC-01, User Roles</t>
        </is>
      </c>
    </row>
    <row r="25" ht="105" customHeight="1">
      <c r="A25" s="26" t="inlineStr">
        <is>
          <t>TC-M02-024</t>
        </is>
      </c>
      <c r="B25" s="26" t="inlineStr">
        <is>
          <t>Module 02</t>
        </is>
      </c>
      <c r="C25" s="27" t="inlineStr">
        <is>
          <t>M02-F07</t>
        </is>
      </c>
      <c r="D25" s="28" t="inlineStr">
        <is>
          <t>Session Management</t>
        </is>
      </c>
      <c r="E25" s="28" t="inlineStr">
        <is>
          <t>Mark Session Complete with Empty Student List</t>
        </is>
      </c>
      <c r="F25" s="28" t="inlineStr">
        <is>
          <t>Verify that marking a session complete on a batch with no active students behaves gracefully and completes.</t>
        </is>
      </c>
      <c r="G25" s="28" t="inlineStr">
        <is>
          <t>Staff user is logged in. Batch PNV26B is active but has no active students.</t>
        </is>
      </c>
      <c r="H25" s="28" t="inlineStr">
        <is>
          <t>Batch=PNV26B; Date=2026-07-17</t>
        </is>
      </c>
      <c r="I25" s="28" t="inlineStr">
        <is>
          <t>1. Navigate to progress dashboard of PNV26B on 17/07/2026;
2. Verify student list is empty;
3. Click Mark Session Complete;
4. Observe the session status</t>
        </is>
      </c>
      <c r="J25" s="28" t="inlineStr">
        <is>
          <t>Session status transitions to Complete successfully. Auto-filled N/A count is 0. No errors or crashes occur.</t>
        </is>
      </c>
      <c r="K25" s="28" t="inlineStr">
        <is>
          <t>Session status transitions to Complete successfully. Auto-filled N/A count is 0. No errors or crashes occur.</t>
        </is>
      </c>
      <c r="L25" s="24" t="inlineStr">
        <is>
          <t>Passed</t>
        </is>
      </c>
      <c r="M25" s="26" t="inlineStr"/>
      <c r="N25" s="29" t="inlineStr">
        <is>
          <t>Medium</t>
        </is>
      </c>
      <c r="O25" s="28" t="inlineStr">
        <is>
          <t>Related Requirement: M02-F07, Scenario: SC-08, Session Completion</t>
        </is>
      </c>
    </row>
    <row r="26" ht="120" customHeight="1">
      <c r="A26" s="21" t="inlineStr">
        <is>
          <t>TC-M02-025</t>
        </is>
      </c>
      <c r="B26" s="21" t="inlineStr">
        <is>
          <t>Module 02</t>
        </is>
      </c>
      <c r="C26" s="22" t="inlineStr">
        <is>
          <t>M02-F07</t>
        </is>
      </c>
      <c r="D26" s="23" t="inlineStr">
        <is>
          <t>Session Management</t>
        </is>
      </c>
      <c r="E26" s="23" t="inlineStr">
        <is>
          <t>Block Editing of Auto-filled N/A Observations</t>
        </is>
      </c>
      <c r="F26" s="23" t="inlineStr">
        <is>
          <t>Verify that once a session is completed, the auto-filled N/A observations are locked and cannot be edited.</t>
        </is>
      </c>
      <c r="G26" s="23" t="inlineStr">
        <is>
          <t>Staff user is logged in. Batch PNV26A session on 17/07/2026 has been completed. Student ST002 was auto-filled with N/A.</t>
        </is>
      </c>
      <c r="H26" s="23" t="inlineStr">
        <is>
          <t>Student=ST002; Date=2026-07-17</t>
        </is>
      </c>
      <c r="I26" s="23" t="inlineStr">
        <is>
          <t>1. Open observation list for PNV26A on 17/07/2026;
2. Select ST002 (showing N/A for all subjects);
3. Search for Edit button or click fields to modify rating/notes;
4. Attempt to save modifications</t>
        </is>
      </c>
      <c r="J26" s="23" t="inlineStr">
        <is>
          <t>Rating select boxes and comments are read-only. Edit controls are hidden or disabled. No changes can be saved.</t>
        </is>
      </c>
      <c r="K26" s="23" t="inlineStr">
        <is>
          <t>Rating select boxes and comments are read-only. Edit controls are hidden or disabled. No changes can be saved.</t>
        </is>
      </c>
      <c r="L26" s="24" t="inlineStr">
        <is>
          <t>Passed</t>
        </is>
      </c>
      <c r="M26" s="21" t="inlineStr"/>
      <c r="N26" s="25" t="inlineStr">
        <is>
          <t>High</t>
        </is>
      </c>
      <c r="O26" s="23" t="inlineStr">
        <is>
          <t>Related Requirement: M02-F07, Scenario: SC-08, Session Completion</t>
        </is>
      </c>
    </row>
  </sheetData>
  <autoFilter ref="A1:O26"/>
  <dataValidations count="2">
    <dataValidation sqref="L2:L126" showDropDown="0" showInputMessage="0" showErrorMessage="0" allowBlank="1" errorTitle="Invalid Status" error="Please select a valid state: Passed, Failed, or Not Run" type="list">
      <formula1>"Passed,Failed,Not Run"</formula1>
    </dataValidation>
    <dataValidation sqref="N2:N126" showDropDown="0" showInputMessage="0" showErrorMessage="0" allowBlank="1" errorTitle="Invalid Priority" error="Please select a valid priority: High, Medium, or Low" type="list">
      <formula1>"High,Medium,Low"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3"/>
  <sheetViews>
    <sheetView showGridLines="1" workbookViewId="0">
      <selection activeCell="A1" sqref="A1"/>
    </sheetView>
  </sheetViews>
  <sheetFormatPr baseColWidth="8" defaultRowHeight="15"/>
  <cols>
    <col width="15" customWidth="1" min="1" max="1"/>
    <col width="14" customWidth="1" min="2" max="2"/>
    <col width="14" customWidth="1" min="3" max="3"/>
    <col width="28" customWidth="1" min="4" max="4"/>
    <col width="32" customWidth="1" min="5" max="5"/>
    <col width="36" customWidth="1" min="6" max="6"/>
    <col width="30" customWidth="1" min="7" max="7"/>
    <col width="28" customWidth="1" min="8" max="8"/>
    <col width="48" customWidth="1" min="9" max="9"/>
    <col width="48" customWidth="1" min="10" max="10"/>
    <col width="36" customWidth="1" min="11" max="11"/>
    <col width="16" customWidth="1" min="12" max="12"/>
    <col width="25" customWidth="1" min="13" max="13"/>
    <col width="14" customWidth="1" min="14" max="14"/>
    <col width="32" customWidth="1" min="15" max="15"/>
  </cols>
  <sheetData>
    <row r="1" ht="28" customHeight="1">
      <c r="A1" s="20" t="inlineStr">
        <is>
          <t>ID</t>
        </is>
      </c>
      <c r="B1" s="20" t="inlineStr">
        <is>
          <t>Module</t>
        </is>
      </c>
      <c r="C1" s="20" t="inlineStr">
        <is>
          <t>Feature ID</t>
        </is>
      </c>
      <c r="D1" s="20" t="inlineStr">
        <is>
          <t>Feature Name</t>
        </is>
      </c>
      <c r="E1" s="20" t="inlineStr">
        <is>
          <t>Title</t>
        </is>
      </c>
      <c r="F1" s="20" t="inlineStr">
        <is>
          <t>Objective</t>
        </is>
      </c>
      <c r="G1" s="20" t="inlineStr">
        <is>
          <t>Preconditions</t>
        </is>
      </c>
      <c r="H1" s="20" t="inlineStr">
        <is>
          <t>TestData</t>
        </is>
      </c>
      <c r="I1" s="20" t="inlineStr">
        <is>
          <t>Steps</t>
        </is>
      </c>
      <c r="J1" s="20" t="inlineStr">
        <is>
          <t>ExpectedResult</t>
        </is>
      </c>
      <c r="K1" s="20" t="inlineStr">
        <is>
          <t>Actual Result</t>
        </is>
      </c>
      <c r="L1" s="20" t="inlineStr">
        <is>
          <t>Status</t>
        </is>
      </c>
      <c r="M1" s="20" t="inlineStr">
        <is>
          <t>Evidence</t>
        </is>
      </c>
      <c r="N1" s="20" t="inlineStr">
        <is>
          <t>Priority</t>
        </is>
      </c>
      <c r="O1" s="20" t="inlineStr">
        <is>
          <t>Notes</t>
        </is>
      </c>
    </row>
    <row r="2" ht="135" customHeight="1">
      <c r="A2" s="21" t="inlineStr">
        <is>
          <t>TC-M03-001</t>
        </is>
      </c>
      <c r="B2" s="21" t="inlineStr">
        <is>
          <t>Module 03</t>
        </is>
      </c>
      <c r="C2" s="22" t="inlineStr">
        <is>
          <t>M03-F01</t>
        </is>
      </c>
      <c r="D2" s="23" t="inlineStr">
        <is>
          <t>Course / Subject Creation</t>
        </is>
      </c>
      <c r="E2" s="23" t="inlineStr">
        <is>
          <t>Create New Subject Manually</t>
        </is>
      </c>
      <c r="F2" s="23" t="inlineStr">
        <is>
          <t>Verify that staff can create a new subject manually by choosing a batch and semester.</t>
        </is>
      </c>
      <c r="G2" s="23" t="inlineStr">
        <is>
          <t>Staff user is logged in. Batch PNV26A and Semester 1 exist.</t>
        </is>
      </c>
      <c r="H2" s="23" t="inlineStr">
        <is>
          <t>SubjectName=Programming; Batch=PNV26A; Semester=Semester 1</t>
        </is>
      </c>
      <c r="I2" s="23" t="inlineStr">
        <is>
          <t>1. Navigate to Academic Management;
2. Click Create Subject;
3. Enter subject name 'Programming';
4. Select Batch 'PNV26A' and Semester 'Semester 1';
5. Click Save</t>
        </is>
      </c>
      <c r="J2" s="23" t="inlineStr">
        <is>
          <t>Subject is created successfully. Success notification appears. 'Programming' belongs to PNV26A, Semester 1 in subject list.</t>
        </is>
      </c>
      <c r="K2" s="23" t="inlineStr"/>
      <c r="L2" s="24" t="inlineStr">
        <is>
          <t>Passed</t>
        </is>
      </c>
      <c r="M2" s="21" t="inlineStr"/>
      <c r="N2" s="25" t="inlineStr">
        <is>
          <t>High</t>
        </is>
      </c>
      <c r="O2" s="23" t="inlineStr">
        <is>
          <t>Related Requirement: M03-F01</t>
        </is>
      </c>
    </row>
    <row r="3" ht="90" customHeight="1">
      <c r="A3" s="26" t="inlineStr">
        <is>
          <t>TC-M03-002</t>
        </is>
      </c>
      <c r="B3" s="26" t="inlineStr">
        <is>
          <t>Module 03</t>
        </is>
      </c>
      <c r="C3" s="27" t="inlineStr">
        <is>
          <t>M03-F01</t>
        </is>
      </c>
      <c r="D3" s="28" t="inlineStr">
        <is>
          <t>Course / Subject Creation</t>
        </is>
      </c>
      <c r="E3" s="28" t="inlineStr">
        <is>
          <t>Bulk Subject Creation via Valid CSV</t>
        </is>
      </c>
      <c r="F3" s="28" t="inlineStr">
        <is>
          <t>Verify that staff can create multiple subjects simultaneously by importing a valid CSV file.</t>
        </is>
      </c>
      <c r="G3" s="28" t="inlineStr">
        <is>
          <t>Staff user is logged in. Batch PNV26A and Semester 1 exist.</t>
        </is>
      </c>
      <c r="H3" s="28" t="inlineStr">
        <is>
          <t>CSV containing: SubjectName, Batch, Semester columns with 'Programming,PNV26A,Semester 1' and 'English,PNV26A,Semester 1'</t>
        </is>
      </c>
      <c r="I3" s="28" t="inlineStr">
        <is>
          <t>1. Navigate to Academic Management;
2. Click Import Subjects via CSV;
3. Select valid CSV file;
4. Click Import</t>
        </is>
      </c>
      <c r="J3" s="28" t="inlineStr">
        <is>
          <t>Subjects are imported successfully. Message displays 'Imported 2 subjects'. Programming and English appear in subject list.</t>
        </is>
      </c>
      <c r="K3" s="28" t="inlineStr"/>
      <c r="L3" s="24" t="inlineStr">
        <is>
          <t>Passed</t>
        </is>
      </c>
      <c r="M3" s="26" t="inlineStr"/>
      <c r="N3" s="25" t="inlineStr">
        <is>
          <t>High</t>
        </is>
      </c>
      <c r="O3" s="28" t="inlineStr">
        <is>
          <t>Related Requirement: M03-F01</t>
        </is>
      </c>
    </row>
    <row r="4" ht="120" customHeight="1">
      <c r="A4" s="21" t="inlineStr">
        <is>
          <t>TC-M03-003</t>
        </is>
      </c>
      <c r="B4" s="21" t="inlineStr">
        <is>
          <t>Module 03</t>
        </is>
      </c>
      <c r="C4" s="22" t="inlineStr">
        <is>
          <t>M03-F01</t>
        </is>
      </c>
      <c r="D4" s="23" t="inlineStr">
        <is>
          <t>Course / Subject Creation</t>
        </is>
      </c>
      <c r="E4" s="23" t="inlineStr">
        <is>
          <t>Create Subject Fails due to Empty Subject Name</t>
        </is>
      </c>
      <c r="F4" s="23" t="inlineStr">
        <is>
          <t>Verify that the system blocks subject creation and warns if the subject name is empty.</t>
        </is>
      </c>
      <c r="G4" s="23" t="inlineStr">
        <is>
          <t>Staff user is logged in.</t>
        </is>
      </c>
      <c r="H4" s="23" t="inlineStr">
        <is>
          <t>SubjectName=Empty; Batch=PNV26A; Semester=Semester 1</t>
        </is>
      </c>
      <c r="I4" s="23" t="inlineStr">
        <is>
          <t>1. Navigate to Academic Management;
2. Click Create Subject;
3. Leave Subject Name blank;
4. Select Batch PNV26A and Semester 1;
5. Click Save</t>
        </is>
      </c>
      <c r="J4" s="23" t="inlineStr">
        <is>
          <t>Saving is blocked. Error message 'Subject Name is required' displays. Name field is highlighted in red.</t>
        </is>
      </c>
      <c r="K4" s="23" t="inlineStr">
        <is>
          <t>Hệ thống không thực hiện việc tạo môn học nhưng cũng không có thông báo nào cho người dùng.</t>
        </is>
      </c>
      <c r="L4" s="25" t="inlineStr">
        <is>
          <t>Failed</t>
        </is>
      </c>
      <c r="M4" s="21" t="inlineStr"/>
      <c r="N4" s="25" t="inlineStr">
        <is>
          <t>High</t>
        </is>
      </c>
      <c r="O4" s="23" t="inlineStr">
        <is>
          <t>Related Requirement: M03-F01, Validation Rules</t>
        </is>
      </c>
    </row>
    <row r="5" ht="135" customHeight="1">
      <c r="A5" s="26" t="inlineStr">
        <is>
          <t>TC-M03-004</t>
        </is>
      </c>
      <c r="B5" s="26" t="inlineStr">
        <is>
          <t>Module 03</t>
        </is>
      </c>
      <c r="C5" s="27" t="inlineStr">
        <is>
          <t>M03-F02</t>
        </is>
      </c>
      <c r="D5" s="28" t="inlineStr">
        <is>
          <t>Grade Entry Structure</t>
        </is>
      </c>
      <c r="E5" s="28" t="inlineStr">
        <is>
          <t>Single Student Grade Entry</t>
        </is>
      </c>
      <c r="F5" s="28" t="inlineStr">
        <is>
          <t>Verify that staff can input periodic and regular test grades for a specific student in a subject.</t>
        </is>
      </c>
      <c r="G5" s="28" t="inlineStr">
        <is>
          <t>Programming subject of batch PNV26A exists. Student ST001 belongs to batch PNV26A.</t>
        </is>
      </c>
      <c r="H5" s="28" t="inlineStr">
        <is>
          <t>StudentID=ST001; Subject=Programming; KT_TX=7.5; DK1=8.0</t>
        </is>
      </c>
      <c r="I5" s="28" t="inlineStr">
        <is>
          <t>1. Open Academic Management and select subject 'Programming';
2. Find student ST001 in grade list;
3. Click KT TX cell and enter '7.5';
4. Click DK1 cell and enter '8.0';
5. Click Save</t>
        </is>
      </c>
      <c r="J5" s="28" t="inlineStr">
        <is>
          <t>Grades are saved successfully. Success message displays. '7.5' and '8.0' appear on ST001's grade row.</t>
        </is>
      </c>
      <c r="K5" s="28" t="inlineStr"/>
      <c r="L5" s="30" t="inlineStr">
        <is>
          <t>Not Run</t>
        </is>
      </c>
      <c r="M5" s="26" t="inlineStr"/>
      <c r="N5" s="25" t="inlineStr">
        <is>
          <t>High</t>
        </is>
      </c>
      <c r="O5" s="28" t="inlineStr">
        <is>
          <t>Related Requirement: M03-F02</t>
        </is>
      </c>
    </row>
    <row r="6" ht="105" customHeight="1">
      <c r="A6" s="21" t="inlineStr">
        <is>
          <t>TC-M03-005</t>
        </is>
      </c>
      <c r="B6" s="21" t="inlineStr">
        <is>
          <t>Module 03</t>
        </is>
      </c>
      <c r="C6" s="22" t="inlineStr">
        <is>
          <t>M03-F03</t>
        </is>
      </c>
      <c r="D6" s="23" t="inlineStr">
        <is>
          <t>Automatic TBKT Calculation</t>
        </is>
      </c>
      <c r="E6" s="23" t="inlineStr">
        <is>
          <t>Auto TBKT Calculation and Exam Eligibility (TBKT &gt;= 5.0)</t>
        </is>
      </c>
      <c r="F6" s="23" t="inlineStr">
        <is>
          <t>Verify that the system automatically calculates average grade (TBKT) based on weighted formula and grants exam eligibility (Eligible = YES) if TBKT &gt;= 5.0.</t>
        </is>
      </c>
      <c r="G6" s="23" t="inlineStr">
        <is>
          <t>Programming subject has 1 periodic test weight. Student ST001 has grades.</t>
        </is>
      </c>
      <c r="H6" s="23" t="inlineStr">
        <is>
          <t>KT_TX=7.0; DK1=8.0</t>
        </is>
      </c>
      <c r="I6" s="23" t="inlineStr">
        <is>
          <t>1. Select subject 'Programming';
2. Input KT_TX=7.0 and DK1=8.0 for ST001;
3. Click Save;
4. Observe TBKT column and Eligible status for ST001</t>
        </is>
      </c>
      <c r="J6" s="23" t="inlineStr">
        <is>
          <t>TBKT is calculated as 7.67 (formula: (7.0*1 + 8.0*2)/3 = 7.67). Exam eligibility displays 'YES'.</t>
        </is>
      </c>
      <c r="K6" s="23" t="inlineStr"/>
      <c r="L6" s="30" t="inlineStr">
        <is>
          <t>Not Run</t>
        </is>
      </c>
      <c r="M6" s="21" t="inlineStr"/>
      <c r="N6" s="25" t="inlineStr">
        <is>
          <t>High</t>
        </is>
      </c>
      <c r="O6" s="23" t="inlineStr">
        <is>
          <t>Related Requirement: M03-F03</t>
        </is>
      </c>
    </row>
    <row r="7" ht="105" customHeight="1">
      <c r="A7" s="26" t="inlineStr">
        <is>
          <t>TC-M03-006</t>
        </is>
      </c>
      <c r="B7" s="26" t="inlineStr">
        <is>
          <t>Module 03</t>
        </is>
      </c>
      <c r="C7" s="27" t="inlineStr">
        <is>
          <t>M03-F03</t>
        </is>
      </c>
      <c r="D7" s="28" t="inlineStr">
        <is>
          <t>Automatic TBKT Calculation</t>
        </is>
      </c>
      <c r="E7" s="28" t="inlineStr">
        <is>
          <t>Auto TBKT Calculation and Exam Ineligibility (TBKT &lt; 5.0)</t>
        </is>
      </c>
      <c r="F7" s="28" t="inlineStr">
        <is>
          <t>Verify that the system automatically calculates TBKT and blocks exam eligibility (Eligible = NO) if TBKT &lt; 5.0.</t>
        </is>
      </c>
      <c r="G7" s="28" t="inlineStr">
        <is>
          <t>Programming subject has 1 periodic test weight. Student ST002 has grades.</t>
        </is>
      </c>
      <c r="H7" s="28" t="inlineStr">
        <is>
          <t>KT_TX=3.0; DK1=5.0</t>
        </is>
      </c>
      <c r="I7" s="28" t="inlineStr">
        <is>
          <t>1. Select subject 'Programming';
2. Input KT_TX=3.0 and DK1=5.0 for ST002;
3. Click Save;
4. Observe TBKT column and Eligible status for ST002</t>
        </is>
      </c>
      <c r="J7" s="28" t="inlineStr">
        <is>
          <t>TBKT is calculated as 4.33 (formula: (3.0*1 + 5.0*2)/3 = 4.33). Exam eligibility displays 'NO'.</t>
        </is>
      </c>
      <c r="K7" s="28" t="inlineStr"/>
      <c r="L7" s="30" t="inlineStr">
        <is>
          <t>Not Run</t>
        </is>
      </c>
      <c r="M7" s="26" t="inlineStr"/>
      <c r="N7" s="25" t="inlineStr">
        <is>
          <t>High</t>
        </is>
      </c>
      <c r="O7" s="28" t="inlineStr">
        <is>
          <t>Related Requirement: M03-F03</t>
        </is>
      </c>
    </row>
    <row r="8" ht="105" customHeight="1">
      <c r="A8" s="21" t="inlineStr">
        <is>
          <t>TC-M03-007</t>
        </is>
      </c>
      <c r="B8" s="21" t="inlineStr">
        <is>
          <t>Module 03</t>
        </is>
      </c>
      <c r="C8" s="22" t="inlineStr">
        <is>
          <t>M03-F03</t>
        </is>
      </c>
      <c r="D8" s="23" t="inlineStr">
        <is>
          <t>Automatic TBKT Calculation</t>
        </is>
      </c>
      <c r="E8" s="23" t="inlineStr">
        <is>
          <t>Block Final Exam Grade Entry When Ineligible (TBKT &lt; 5.0)</t>
        </is>
      </c>
      <c r="F8" s="23" t="inlineStr">
        <is>
          <t>Verify that final exam grade input is disabled and blocked for students with status Eligible = NO.</t>
        </is>
      </c>
      <c r="G8" s="23" t="inlineStr">
        <is>
          <t>Student ST002 has TBKT = 4.33 (Eligible = NO) in Programming.</t>
        </is>
      </c>
      <c r="H8" s="23" t="inlineStr">
        <is>
          <t>TCK=6.0</t>
        </is>
      </c>
      <c r="I8" s="23" t="inlineStr">
        <is>
          <t>1. Open Programming grade list;
2. Locate final exam grade (TCK) cell for ST002;
3. Try clicking or typing '6.0' in the TCK cell;
4. Observe the UI</t>
        </is>
      </c>
      <c r="J8" s="23" t="inlineStr">
        <is>
          <t>The TCK cell for ST002 is disabled (read-only). Hovering displays 'Not eligible for final exam'. Any backend save attempt returns validation error.</t>
        </is>
      </c>
      <c r="K8" s="23" t="inlineStr"/>
      <c r="L8" s="30" t="inlineStr">
        <is>
          <t>Not Run</t>
        </is>
      </c>
      <c r="M8" s="21" t="inlineStr"/>
      <c r="N8" s="25" t="inlineStr">
        <is>
          <t>High</t>
        </is>
      </c>
      <c r="O8" s="23" t="inlineStr">
        <is>
          <t>Related Requirement: M03-F03, Business Rules 7.4</t>
        </is>
      </c>
    </row>
    <row r="9" ht="105" customHeight="1">
      <c r="A9" s="26" t="inlineStr">
        <is>
          <t>TC-M03-008</t>
        </is>
      </c>
      <c r="B9" s="26" t="inlineStr">
        <is>
          <t>Module 03</t>
        </is>
      </c>
      <c r="C9" s="27" t="inlineStr">
        <is>
          <t>M03-F03</t>
        </is>
      </c>
      <c r="D9" s="28" t="inlineStr">
        <is>
          <t>Automatic TBKT Calculation</t>
        </is>
      </c>
      <c r="E9" s="28" t="inlineStr">
        <is>
          <t>Allow Final Exam Grade Entry When Eligible (TBKT &gt;= 5.0)</t>
        </is>
      </c>
      <c r="F9" s="28" t="inlineStr">
        <is>
          <t>Verify that final exam grade input is enabled and saved successfully for students with status Eligible = YES.</t>
        </is>
      </c>
      <c r="G9" s="28" t="inlineStr">
        <is>
          <t>Student ST001 has TBKT = 7.67 (Eligible = YES) in Programming.</t>
        </is>
      </c>
      <c r="H9" s="28" t="inlineStr">
        <is>
          <t>TCK=8.5</t>
        </is>
      </c>
      <c r="I9" s="28" t="inlineStr">
        <is>
          <t>1. Open Programming grade list;
2. Locate final exam grade (TCK) cell for ST001;
3. Click the cell and enter '8.5';
4. Click Save</t>
        </is>
      </c>
      <c r="J9" s="28" t="inlineStr">
        <is>
          <t>Grade input behaves normally. Final exam grade '8.5' is saved successfully in database and displayed in UI.</t>
        </is>
      </c>
      <c r="K9" s="28" t="inlineStr"/>
      <c r="L9" s="30" t="inlineStr">
        <is>
          <t>Not Run</t>
        </is>
      </c>
      <c r="M9" s="26" t="inlineStr"/>
      <c r="N9" s="25" t="inlineStr">
        <is>
          <t>High</t>
        </is>
      </c>
      <c r="O9" s="28" t="inlineStr">
        <is>
          <t>Related Requirement: M03-F03, Business Rules 7.4</t>
        </is>
      </c>
    </row>
    <row r="10" ht="75" customHeight="1">
      <c r="A10" s="21" t="inlineStr">
        <is>
          <t>TC-M03-009</t>
        </is>
      </c>
      <c r="B10" s="21" t="inlineStr">
        <is>
          <t>Module 03</t>
        </is>
      </c>
      <c r="C10" s="22" t="inlineStr">
        <is>
          <t>M03-F03</t>
        </is>
      </c>
      <c r="D10" s="23" t="inlineStr">
        <is>
          <t>Automatic TBKT Calculation</t>
        </is>
      </c>
      <c r="E10" s="23" t="inlineStr">
        <is>
          <t>Input Retake Exam Grade for Student</t>
        </is>
      </c>
      <c r="F10" s="23" t="inlineStr">
        <is>
          <t>Verify that staff can enter a retake exam grade (TLCK) manually and optionally for a student.</t>
        </is>
      </c>
      <c r="G10" s="23" t="inlineStr">
        <is>
          <t>Student ST001 has a final exam grade (TCK) recorded.</t>
        </is>
      </c>
      <c r="H10" s="23" t="inlineStr">
        <is>
          <t>TLCK=7.0</t>
        </is>
      </c>
      <c r="I10" s="23" t="inlineStr">
        <is>
          <t>1. Open Programming grade list;
2. Click the retake exam grade (TLCK) cell for ST001;
3. Enter '7.0' and click Save</t>
        </is>
      </c>
      <c r="J10" s="23" t="inlineStr">
        <is>
          <t>Retake grade is recorded successfully and displayed in student's grade row. Other grades remain intact.</t>
        </is>
      </c>
      <c r="K10" s="23" t="inlineStr"/>
      <c r="L10" s="30" t="inlineStr">
        <is>
          <t>Not Run</t>
        </is>
      </c>
      <c r="M10" s="21" t="inlineStr"/>
      <c r="N10" s="25" t="inlineStr">
        <is>
          <t>High</t>
        </is>
      </c>
      <c r="O10" s="23" t="inlineStr">
        <is>
          <t>Related Requirement: M03-F03, Business Rules 7.2</t>
        </is>
      </c>
    </row>
    <row r="11" ht="105" customHeight="1">
      <c r="A11" s="26" t="inlineStr">
        <is>
          <t>TC-M03-010</t>
        </is>
      </c>
      <c r="B11" s="26" t="inlineStr">
        <is>
          <t>Module 03</t>
        </is>
      </c>
      <c r="C11" s="27" t="inlineStr">
        <is>
          <t>M03-F04</t>
        </is>
      </c>
      <c r="D11" s="28" t="inlineStr">
        <is>
          <t>Grade Upload via CSV</t>
        </is>
      </c>
      <c r="E11" s="28" t="inlineStr">
        <is>
          <t>Bulk Grade Upload via CSV (Overwrite Mode)</t>
        </is>
      </c>
      <c r="F11" s="28" t="inlineStr">
        <is>
          <t>Verify that CSV grade import overwrites all existing grades of students in the subject with the new values.</t>
        </is>
      </c>
      <c r="G11" s="28" t="inlineStr">
        <is>
          <t>Subject English has existing grades for ST001 (KT_TX=5.0) and ST002 (KT_TX=6.0).</t>
        </is>
      </c>
      <c r="H11" s="28" t="inlineStr">
        <is>
          <t>CSV containing: StudentID, KT_TX, DK1. Rows: 'ST001,8.0,9.0' and 'ST002,7.5,8.0'</t>
        </is>
      </c>
      <c r="I11" s="28" t="inlineStr">
        <is>
          <t>1. Select subject 'English';
2. Click Upload Grades via CSV;
3. Select new CSV file and confirm upload;
4. Observe grade list</t>
        </is>
      </c>
      <c r="J11" s="28" t="inlineStr">
        <is>
          <t>Upload succeeds. Grades for ST001 update to KT_TX=8.0, DK1=9.0 (TBKT=8.67), and ST002 update to KT_TX=7.5, DK1=8.0 (TBKT=7.83). Old grades are overwritten.</t>
        </is>
      </c>
      <c r="K11" s="28" t="inlineStr"/>
      <c r="L11" s="30" t="inlineStr">
        <is>
          <t>Not Run</t>
        </is>
      </c>
      <c r="M11" s="26" t="inlineStr"/>
      <c r="N11" s="25" t="inlineStr">
        <is>
          <t>High</t>
        </is>
      </c>
      <c r="O11" s="28" t="inlineStr">
        <is>
          <t>Related Requirement: M03-F04, Business Rules 7.5</t>
        </is>
      </c>
    </row>
    <row r="12" ht="75" customHeight="1">
      <c r="A12" s="21" t="inlineStr">
        <is>
          <t>TC-M03-011</t>
        </is>
      </c>
      <c r="B12" s="21" t="inlineStr">
        <is>
          <t>Module 03</t>
        </is>
      </c>
      <c r="C12" s="22" t="inlineStr">
        <is>
          <t>M03-F04</t>
        </is>
      </c>
      <c r="D12" s="23" t="inlineStr">
        <is>
          <t>Grade Upload via CSV</t>
        </is>
      </c>
      <c r="E12" s="23" t="inlineStr">
        <is>
          <t>CSV Grade Upload with Blank Cells Clears Existing Grades</t>
        </is>
      </c>
      <c r="F12" s="23" t="inlineStr">
        <is>
          <t>Verify that blank cells in CSV file are interpreted as NULL/Empty and clear corresponding old grades.</t>
        </is>
      </c>
      <c r="G12" s="23" t="inlineStr">
        <is>
          <t>Student ST001 has grades (KT_TX=8.0, DK1=9.0).</t>
        </is>
      </c>
      <c r="H12" s="23" t="inlineStr">
        <is>
          <t>CSV row: ST001,,9.0 (empty KT_TX value between commas)</t>
        </is>
      </c>
      <c r="I12" s="23" t="inlineStr">
        <is>
          <t>1. Select subject, click Upload Grades via CSV;
2. Select CSV containing empty KT_TX for ST001;
3. Confirm import</t>
        </is>
      </c>
      <c r="J12" s="23" t="inlineStr">
        <is>
          <t>Grade list is updated. Regular test grade (KT_TX) for ST001 (previously 8.0) is cleared/empty. DK1 remains 9.0.</t>
        </is>
      </c>
      <c r="K12" s="23" t="inlineStr"/>
      <c r="L12" s="30" t="inlineStr">
        <is>
          <t>Not Run</t>
        </is>
      </c>
      <c r="M12" s="21" t="inlineStr"/>
      <c r="N12" s="25" t="inlineStr">
        <is>
          <t>High</t>
        </is>
      </c>
      <c r="O12" s="23" t="inlineStr">
        <is>
          <t>Related Requirement: M03-F04, CSV Import Rules 8</t>
        </is>
      </c>
    </row>
    <row r="13" ht="90" customHeight="1">
      <c r="A13" s="26" t="inlineStr">
        <is>
          <t>TC-M03-012</t>
        </is>
      </c>
      <c r="B13" s="26" t="inlineStr">
        <is>
          <t>Module 03</t>
        </is>
      </c>
      <c r="C13" s="27" t="inlineStr">
        <is>
          <t>M03-F04</t>
        </is>
      </c>
      <c r="D13" s="28" t="inlineStr">
        <is>
          <t>Grade Upload via CSV</t>
        </is>
      </c>
      <c r="E13" s="28" t="inlineStr">
        <is>
          <t>CSV Grade Upload Fails due to Missing StudentID Column</t>
        </is>
      </c>
      <c r="F13" s="28" t="inlineStr">
        <is>
          <t>Verify that CSV grade import rejects files missing the StudentID column and does not modify any data.</t>
        </is>
      </c>
      <c r="G13" s="28" t="inlineStr">
        <is>
          <t>Staff user is logged in.</t>
        </is>
      </c>
      <c r="H13" s="28" t="inlineStr">
        <is>
          <t>CSV with KT_TX, DK1, TCK columns (no StudentID column)</t>
        </is>
      </c>
      <c r="I13" s="28" t="inlineStr">
        <is>
          <t>1. Select subject, click Upload Grades via CSV;
2. Select CSV missing StudentID column and upload;
3. Observe error message</t>
        </is>
      </c>
      <c r="J13" s="28" t="inlineStr">
        <is>
          <t>System rejects the CSV file and displays error: 'Missing required column StudentID'. No grades are modified.</t>
        </is>
      </c>
      <c r="K13" s="28" t="inlineStr"/>
      <c r="L13" s="30" t="inlineStr">
        <is>
          <t>Not Run</t>
        </is>
      </c>
      <c r="M13" s="26" t="inlineStr"/>
      <c r="N13" s="25" t="inlineStr">
        <is>
          <t>High</t>
        </is>
      </c>
      <c r="O13" s="28" t="inlineStr">
        <is>
          <t>Related Requirement: M03-F04, Error Handling 10</t>
        </is>
      </c>
    </row>
    <row r="14" ht="75" customHeight="1">
      <c r="A14" s="21" t="inlineStr">
        <is>
          <t>TC-M03-013</t>
        </is>
      </c>
      <c r="B14" s="21" t="inlineStr">
        <is>
          <t>Module 03</t>
        </is>
      </c>
      <c r="C14" s="22" t="inlineStr">
        <is>
          <t>M03-F04</t>
        </is>
      </c>
      <c r="D14" s="23" t="inlineStr">
        <is>
          <t>Grade Upload via CSV</t>
        </is>
      </c>
      <c r="E14" s="23" t="inlineStr">
        <is>
          <t>CSV Grade Upload Fails due to Decimal Comma Format (8,5)</t>
        </is>
      </c>
      <c r="F14" s="23" t="inlineStr">
        <is>
          <t>Verify that decimal grades formatted with commas (e.g. 8,5) instead of dots (8.5) trigger error.</t>
        </is>
      </c>
      <c r="G14" s="23" t="inlineStr">
        <is>
          <t>Staff user is logged in.</t>
        </is>
      </c>
      <c r="H14" s="23" t="inlineStr">
        <is>
          <t>CSV row: ST001,8,5,9.0 (or double quoted ST001,\8</t>
        </is>
      </c>
      <c r="I14" s="23" t="inlineStr">
        <is>
          <t>5\"</t>
        </is>
      </c>
      <c r="J14" s="23" t="inlineStr">
        <is>
          <t>9.0)"</t>
        </is>
      </c>
      <c r="K14" s="23" t="inlineStr"/>
      <c r="L14" s="30" t="inlineStr">
        <is>
          <t>Not Run</t>
        </is>
      </c>
      <c r="M14" s="21" t="inlineStr"/>
      <c r="N14" s="21" t="inlineStr">
        <is>
          <t>1. Click Upload Grades via CSV;
2. Select CSV containing '8,5' for ST001;
3. Observe response</t>
        </is>
      </c>
      <c r="O14" s="23" t="inlineStr">
        <is>
          <t>System blocks import or warns of invalid decimal format requiring dot '.'. Grade is not saved incorrectly.</t>
        </is>
      </c>
    </row>
    <row r="15" ht="75" customHeight="1">
      <c r="A15" s="26" t="inlineStr">
        <is>
          <t>TC-M03-014</t>
        </is>
      </c>
      <c r="B15" s="26" t="inlineStr">
        <is>
          <t>Module 03</t>
        </is>
      </c>
      <c r="C15" s="27" t="inlineStr">
        <is>
          <t>M03-F04</t>
        </is>
      </c>
      <c r="D15" s="28" t="inlineStr">
        <is>
          <t>Grade Upload via CSV</t>
        </is>
      </c>
      <c r="E15" s="28" t="inlineStr">
        <is>
          <t>CSV Grade Upload Fails due to Out of Range Grades (0-10)</t>
        </is>
      </c>
      <c r="F15" s="28" t="inlineStr">
        <is>
          <t>Verify that grades outside the 0-10 scale in CSV are rejected.</t>
        </is>
      </c>
      <c r="G15" s="28" t="inlineStr">
        <is>
          <t>Staff user is logged in.</t>
        </is>
      </c>
      <c r="H15" s="28" t="inlineStr">
        <is>
          <t>CSV row: ST001,11.0,8.0 (KT_TX = 11.0)</t>
        </is>
      </c>
      <c r="I15" s="28" t="inlineStr">
        <is>
          <t>1. Click Upload Grades via CSV;
2. Select CSV with invalid grade '11.0';
3. Observe error message</t>
        </is>
      </c>
      <c r="J15" s="28" t="inlineStr">
        <is>
          <t>System blocks import and displays validation error: 'Grade must be between 0 and 10.' at the corresponding row. No grades are saved.</t>
        </is>
      </c>
      <c r="K15" s="28" t="inlineStr"/>
      <c r="L15" s="30" t="inlineStr">
        <is>
          <t>Not Run</t>
        </is>
      </c>
      <c r="M15" s="26" t="inlineStr"/>
      <c r="N15" s="25" t="inlineStr">
        <is>
          <t>High</t>
        </is>
      </c>
      <c r="O15" s="28" t="inlineStr">
        <is>
          <t>Related Requirement: M03-F04, Validation Rules 9</t>
        </is>
      </c>
    </row>
    <row r="16" ht="90" customHeight="1">
      <c r="A16" s="21" t="inlineStr">
        <is>
          <t>TC-M03-015</t>
        </is>
      </c>
      <c r="B16" s="21" t="inlineStr">
        <is>
          <t>Module 03</t>
        </is>
      </c>
      <c r="C16" s="22" t="inlineStr">
        <is>
          <t>M03-F07</t>
        </is>
      </c>
      <c r="D16" s="23" t="inlineStr">
        <is>
          <t>Manual GPA &amp; Letter Grade Entry</t>
        </is>
      </c>
      <c r="E16" s="23" t="inlineStr">
        <is>
          <t>Manually Upload Semester GPA and Letter Grade via CSV</t>
        </is>
      </c>
      <c r="F16" s="23" t="inlineStr">
        <is>
          <t>Verify that final score, GPA, and letter grades can be manually imported from CSV and preserved without automatic recalculation.</t>
        </is>
      </c>
      <c r="G16" s="23" t="inlineStr">
        <is>
          <t>Student ST001 has semester grade record.</t>
        </is>
      </c>
      <c r="H16" s="23" t="inlineStr">
        <is>
          <t>CSV with StudentID, FinalScore, GPA, LetterGrade. Row: ST001,8.5,3.6,A</t>
        </is>
      </c>
      <c r="I16" s="23" t="inlineStr">
        <is>
          <t>1. Navigate to GPA &amp; Letter Grade CSV import;
2. Select CSV containing GPA=3.6 and LetterGrade=A for ST001;
3. View ST001 semester transcript details</t>
        </is>
      </c>
      <c r="J16" s="23" t="inlineStr">
        <is>
          <t>GPA=3.6 and LetterGrade=A are saved and displayed exactly. No auto-recalculations are performed on these fields.</t>
        </is>
      </c>
      <c r="K16" s="23" t="inlineStr"/>
      <c r="L16" s="30" t="inlineStr">
        <is>
          <t>Not Run</t>
        </is>
      </c>
      <c r="M16" s="21" t="inlineStr"/>
      <c r="N16" s="25" t="inlineStr">
        <is>
          <t>High</t>
        </is>
      </c>
      <c r="O16" s="23" t="inlineStr">
        <is>
          <t>Related Requirement: M03-F07, Business Rules 7.7</t>
        </is>
      </c>
    </row>
    <row r="17" ht="120" customHeight="1">
      <c r="A17" s="26" t="inlineStr">
        <is>
          <t>TC-M03-016</t>
        </is>
      </c>
      <c r="B17" s="26" t="inlineStr">
        <is>
          <t>Module 03</t>
        </is>
      </c>
      <c r="C17" s="27" t="inlineStr">
        <is>
          <t>M03-F05</t>
        </is>
      </c>
      <c r="D17" s="28" t="inlineStr">
        <is>
          <t>Subject Deletion</t>
        </is>
      </c>
      <c r="E17" s="28" t="inlineStr">
        <is>
          <t>Subject Deletion Confirmation and Grade Cleanup</t>
        </is>
      </c>
      <c r="F17" s="28" t="inlineStr">
        <is>
          <t>Verify that subject deletion requires confirmation and permanently purges all associated grades.</t>
        </is>
      </c>
      <c r="G17" s="28" t="inlineStr">
        <is>
          <t>English subject exists with grades entered for students.</t>
        </is>
      </c>
      <c r="H17" s="28" t="inlineStr">
        <is>
          <t>None</t>
        </is>
      </c>
      <c r="I17" s="28" t="inlineStr">
        <is>
          <t>1. Navigate to subject list;
2. Click Delete icon next to English;
3. Click Cancel on confirmation popup; verify subject exists;
4. Click Delete again, click Confirm/Delete; verify list and DB</t>
        </is>
      </c>
      <c r="J17" s="28" t="inlineStr">
        <is>
          <t>Cancel keeps subject and grades intact. Confirm deletes English from subject list. All associated student grades for English are permanently purged from database.</t>
        </is>
      </c>
      <c r="K17" s="28" t="inlineStr"/>
      <c r="L17" s="30" t="inlineStr">
        <is>
          <t>Not Run</t>
        </is>
      </c>
      <c r="M17" s="26" t="inlineStr"/>
      <c r="N17" s="25" t="inlineStr">
        <is>
          <t>High</t>
        </is>
      </c>
      <c r="O17" s="28" t="inlineStr">
        <is>
          <t>Related Requirement: M03-F05, Subject Deletion 7.8</t>
        </is>
      </c>
    </row>
    <row r="18" ht="105" customHeight="1">
      <c r="A18" s="21" t="inlineStr">
        <is>
          <t>TC-M03-017</t>
        </is>
      </c>
      <c r="B18" s="21" t="inlineStr">
        <is>
          <t>Module 03</t>
        </is>
      </c>
      <c r="C18" s="22" t="inlineStr">
        <is>
          <t>M03-F06</t>
        </is>
      </c>
      <c r="D18" s="23" t="inlineStr">
        <is>
          <t>PDF Transcript Export</t>
        </is>
      </c>
      <c r="E18" s="23" t="inlineStr">
        <is>
          <t>Export Single Student PDF Transcript</t>
        </is>
      </c>
      <c r="F18" s="23" t="inlineStr">
        <is>
          <t>Verify that staff can generate and download a formal PDF transcript containing academic info for a specific student.</t>
        </is>
      </c>
      <c r="G18" s="23" t="inlineStr">
        <is>
          <t>Student ST001 has grades, GPA, and letter grades entered.</t>
        </is>
      </c>
      <c r="H18" s="23" t="inlineStr">
        <is>
          <t>StudentID=ST001</t>
        </is>
      </c>
      <c r="I18" s="23" t="inlineStr">
        <is>
          <t>1. Open Student list or Export Transcripts page;
2. Find student ST001;
3. Click Export PDF Transcript for ST001;
4. Open the downloaded PDF file</t>
        </is>
      </c>
      <c r="J18" s="23" t="inlineStr">
        <is>
          <t>PDF downloaded successfully. Content displays ST001 info, list of subjects, grades, TBKT, GPA, and Letter Grade.</t>
        </is>
      </c>
      <c r="K18" s="23" t="inlineStr"/>
      <c r="L18" s="30" t="inlineStr">
        <is>
          <t>Not Run</t>
        </is>
      </c>
      <c r="M18" s="21" t="inlineStr"/>
      <c r="N18" s="25" t="inlineStr">
        <is>
          <t>High</t>
        </is>
      </c>
      <c r="O18" s="23" t="inlineStr">
        <is>
          <t>Related Requirement: M03-F06</t>
        </is>
      </c>
    </row>
    <row r="19" ht="105" customHeight="1">
      <c r="A19" s="26" t="inlineStr">
        <is>
          <t>TC-M03-018</t>
        </is>
      </c>
      <c r="B19" s="26" t="inlineStr">
        <is>
          <t>Module 03</t>
        </is>
      </c>
      <c r="C19" s="27" t="inlineStr">
        <is>
          <t>M03-F06</t>
        </is>
      </c>
      <c r="D19" s="28" t="inlineStr">
        <is>
          <t>PDF Transcript Export</t>
        </is>
      </c>
      <c r="E19" s="28" t="inlineStr">
        <is>
          <t>Bulk Export PDF Transcripts for Multiple Students</t>
        </is>
      </c>
      <c r="F19" s="28" t="inlineStr">
        <is>
          <t>Verify that staff can export transcripts in batch for selected students.</t>
        </is>
      </c>
      <c r="G19" s="28" t="inlineStr">
        <is>
          <t>Multiple students in batch PNV26A have grades.</t>
        </is>
      </c>
      <c r="H19" s="28" t="inlineStr">
        <is>
          <t>Batch=PNV26A; Selected: ST001, ST002, ST003</t>
        </is>
      </c>
      <c r="I19" s="28" t="inlineStr">
        <is>
          <t>1. Open Export Transcripts page;
2. Select Batch PNV26A;
3. Check checkboxes for ST001, ST002, and ST003;
4. Click Export Selected transcripts to PDF</t>
        </is>
      </c>
      <c r="J19" s="28" t="inlineStr">
        <is>
          <t>Export succeeds. A combined PDF file or ZIP file containing individual PDFs is downloaded.</t>
        </is>
      </c>
      <c r="K19" s="28" t="inlineStr"/>
      <c r="L19" s="30" t="inlineStr">
        <is>
          <t>Not Run</t>
        </is>
      </c>
      <c r="M19" s="26" t="inlineStr"/>
      <c r="N19" s="25" t="inlineStr">
        <is>
          <t>High</t>
        </is>
      </c>
      <c r="O19" s="28" t="inlineStr">
        <is>
          <t>Related Requirement: M03-F06</t>
        </is>
      </c>
    </row>
    <row r="20" ht="75" customHeight="1">
      <c r="A20" s="21" t="inlineStr">
        <is>
          <t>TC-M03-019</t>
        </is>
      </c>
      <c r="B20" s="21" t="inlineStr">
        <is>
          <t>Module 03</t>
        </is>
      </c>
      <c r="C20" s="22" t="inlineStr">
        <is>
          <t>M03-F06</t>
        </is>
      </c>
      <c r="D20" s="23" t="inlineStr">
        <is>
          <t>PDF Transcript Export</t>
        </is>
      </c>
      <c r="E20" s="23" t="inlineStr">
        <is>
          <t>Verify Grade Color Rules on Reports (Green, Orange, Red)</t>
        </is>
      </c>
      <c r="F20" s="23" t="inlineStr">
        <is>
          <t>Verify that final grades (/10) are colored dynamically on reports according to specified ranges.</t>
        </is>
      </c>
      <c r="G20" s="23" t="inlineStr">
        <is>
          <t>ST001 final grade is 8.5; ST002 is 7.0; ST003 is 4.5.</t>
        </is>
      </c>
      <c r="H20" s="23" t="inlineStr">
        <is>
          <t>None</t>
        </is>
      </c>
      <c r="I20" s="23" t="inlineStr">
        <is>
          <t>1. Open Batch Transcript report;
2. Locate final grades for ST001, ST002, and ST003;
3. Observe color of grades</t>
        </is>
      </c>
      <c r="J20" s="23" t="inlineStr">
        <is>
          <t>ST001 final grade (8.5) is Green (🟢) (grade &gt;= 8.0). ST002 final grade (7.0) is Orange (🟡) (grade 5.5 - 7.9). ST003 final grade (4.5) is Red (🔴) (grade &lt; 5.5).</t>
        </is>
      </c>
      <c r="K20" s="23" t="inlineStr"/>
      <c r="L20" s="30" t="inlineStr">
        <is>
          <t>Not Run</t>
        </is>
      </c>
      <c r="M20" s="21" t="inlineStr"/>
      <c r="N20" s="29" t="inlineStr">
        <is>
          <t>Medium</t>
        </is>
      </c>
      <c r="O20" s="23" t="inlineStr">
        <is>
          <t>Related Requirement: Grade Color Rules 5</t>
        </is>
      </c>
    </row>
    <row r="21" ht="75" customHeight="1">
      <c r="A21" s="26" t="inlineStr">
        <is>
          <t>TC-M03-020</t>
        </is>
      </c>
      <c r="B21" s="26" t="inlineStr">
        <is>
          <t>Module 03</t>
        </is>
      </c>
      <c r="C21" s="27" t="inlineStr">
        <is>
          <t>M03-F06</t>
        </is>
      </c>
      <c r="D21" s="28" t="inlineStr">
        <is>
          <t>PDF Transcript Export</t>
        </is>
      </c>
      <c r="E21" s="28" t="inlineStr">
        <is>
          <t>Verify GPA Color Rules on Reports (Green, Orange, Red)</t>
        </is>
      </c>
      <c r="F21" s="28" t="inlineStr">
        <is>
          <t>Verify that GPA scores (/4) are colored dynamically on reports according to specified ranges.</t>
        </is>
      </c>
      <c r="G21" s="28" t="inlineStr">
        <is>
          <t>ST001 GPA is 3.6; ST002 GPA is 3.0; ST003 GPA is 1.8.</t>
        </is>
      </c>
      <c r="H21" s="28" t="inlineStr">
        <is>
          <t>None</t>
        </is>
      </c>
      <c r="I21" s="28" t="inlineStr">
        <is>
          <t>1. Open Batch Transcript report;
2. Locate GPA scores for ST001, ST002, and ST003;
3. Observe color of GPA</t>
        </is>
      </c>
      <c r="J21" s="28" t="inlineStr">
        <is>
          <t>ST001 GPA (3.6) is Green (🟢) (GPA &gt;= 3.5). ST002 GPA (3.0) is Orange (🟡) (GPA 2.0 - 3.4). ST003 GPA (1.8) is Red (🔴) (GPA &lt; 2.0).</t>
        </is>
      </c>
      <c r="K21" s="28" t="inlineStr"/>
      <c r="L21" s="30" t="inlineStr">
        <is>
          <t>Not Run</t>
        </is>
      </c>
      <c r="M21" s="26" t="inlineStr"/>
      <c r="N21" s="29" t="inlineStr">
        <is>
          <t>Medium</t>
        </is>
      </c>
      <c r="O21" s="28" t="inlineStr">
        <is>
          <t>Related Requirement: Grade Color Rules 5</t>
        </is>
      </c>
    </row>
    <row r="22" ht="90" customHeight="1">
      <c r="A22" s="21" t="inlineStr">
        <is>
          <t>TC-M03-021</t>
        </is>
      </c>
      <c r="B22" s="21" t="inlineStr">
        <is>
          <t>Module 03</t>
        </is>
      </c>
      <c r="C22" s="22" t="inlineStr">
        <is>
          <t>M03-SEC</t>
        </is>
      </c>
      <c r="D22" s="23" t="inlineStr">
        <is>
          <t>Access Control &amp; Security</t>
        </is>
      </c>
      <c r="E22" s="23" t="inlineStr">
        <is>
          <t>Block Student Access to Academic Management</t>
        </is>
      </c>
      <c r="F22" s="23" t="inlineStr">
        <is>
          <t>Verify that a student user cannot access Academic Management features.</t>
        </is>
      </c>
      <c r="G22" s="23" t="inlineStr">
        <is>
          <t>User logged in with student email student01@student.passerellesnumeriques.org.</t>
        </is>
      </c>
      <c r="H22" s="23" t="inlineStr">
        <is>
          <t>Email=student01@student.passerellesnumeriques.org</t>
        </is>
      </c>
      <c r="I22" s="23" t="inlineStr">
        <is>
          <t>1. Sign in via Google OAuth with student account;
2. Attempt direct URL navigation to Academic Management page;
3. Observe result</t>
        </is>
      </c>
      <c r="J22" s="23" t="inlineStr">
        <is>
          <t>Access is blocked. 'Access Denied' message displays or user is redirected to student home page. Academic Management menu is hidden.</t>
        </is>
      </c>
      <c r="K22" s="23" t="inlineStr"/>
      <c r="L22" s="30" t="inlineStr">
        <is>
          <t>Not Run</t>
        </is>
      </c>
      <c r="M22" s="21" t="inlineStr"/>
      <c r="N22" s="25" t="inlineStr">
        <is>
          <t>High</t>
        </is>
      </c>
      <c r="O22" s="23" t="inlineStr">
        <is>
          <t>Related Requirement: User Roles</t>
        </is>
      </c>
    </row>
    <row r="23" ht="105" customHeight="1">
      <c r="A23" s="26" t="inlineStr">
        <is>
          <t>TC-M03-022</t>
        </is>
      </c>
      <c r="B23" s="26" t="inlineStr">
        <is>
          <t>Module 03</t>
        </is>
      </c>
      <c r="C23" s="27" t="inlineStr">
        <is>
          <t>M03-F03</t>
        </is>
      </c>
      <c r="D23" s="28" t="inlineStr">
        <is>
          <t>Automatic TBKT Calculation</t>
        </is>
      </c>
      <c r="E23" s="28" t="inlineStr">
        <is>
          <t>TBKT Calculation Independence with Varying Periodic Test Counts (n)</t>
        </is>
      </c>
      <c r="F23" s="28" t="inlineStr">
        <is>
          <t>Verify that TBKT formula calculates correctly for subjects with different numbers of periodic tests (n from 1 to 6).</t>
        </is>
      </c>
      <c r="G23" s="28" t="inlineStr">
        <is>
          <t>Subject A has 1 periodic test (DK1); Subject B has 3 periodic tests (DK1, DK2, DK3).</t>
        </is>
      </c>
      <c r="H23" s="28" t="inlineStr">
        <is>
          <t>Subject A: KT_TX=6.0; DK1=7.0. Subject B: KT_TX=6.0; DK1=7.0; DK2=8.0; DK3=9.0.</t>
        </is>
      </c>
      <c r="I23" s="28" t="inlineStr">
        <is>
          <t>1. Under Subject A, enter KT_TX=6.0 and DK1=7.0 for ST001, save;
2. Under Subject B, enter KT_TX=6.0, DK1=7.0, DK2=8.0, DK3=9.0 for ST001, save;
3. Compare TBKT scores for ST001</t>
        </is>
      </c>
      <c r="J23" s="28" t="inlineStr">
        <is>
          <t>Subject A TBKT is 6.67 (formula: (6.0*1 + 7.0*2)/3 = 6.67). Subject B TBKT is 7.71 (formula: (6.0*1 + 7.0*2 + 8.0*2 + 9.0*2)/7 = 7.71). Both are calculated independently and correctly.</t>
        </is>
      </c>
      <c r="K23" s="28" t="inlineStr"/>
      <c r="L23" s="30" t="inlineStr">
        <is>
          <t>Not Run</t>
        </is>
      </c>
      <c r="M23" s="26" t="inlineStr"/>
      <c r="N23" s="25" t="inlineStr">
        <is>
          <t>High</t>
        </is>
      </c>
      <c r="O23" s="28" t="inlineStr">
        <is>
          <t>Related Requirement: TBKT Calculation Formula</t>
        </is>
      </c>
    </row>
  </sheetData>
  <autoFilter ref="A1:O23"/>
  <dataValidations count="2">
    <dataValidation sqref="L2:L123" showDropDown="0" showInputMessage="0" showErrorMessage="0" allowBlank="1" errorTitle="Invalid Status" error="Please select a valid state: Passed, Failed, or Not Run" type="list">
      <formula1>"Passed,Failed,Not Run"</formula1>
    </dataValidation>
    <dataValidation sqref="N2:N123" showDropDown="0" showInputMessage="0" showErrorMessage="0" allowBlank="1" errorTitle="Invalid Priority" error="Please select a valid priority: High, Medium, or Low" type="list">
      <formula1>"High,Medium,Low"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4"/>
  <sheetViews>
    <sheetView showGridLines="1" workbookViewId="0">
      <selection activeCell="A1" sqref="A1"/>
    </sheetView>
  </sheetViews>
  <sheetFormatPr baseColWidth="8" defaultRowHeight="15"/>
  <cols>
    <col width="15" customWidth="1" min="1" max="1"/>
    <col width="14" customWidth="1" min="2" max="2"/>
    <col width="14" customWidth="1" min="3" max="3"/>
    <col width="28" customWidth="1" min="4" max="4"/>
    <col width="32" customWidth="1" min="5" max="5"/>
    <col width="36" customWidth="1" min="6" max="6"/>
    <col width="30" customWidth="1" min="7" max="7"/>
    <col width="28" customWidth="1" min="8" max="8"/>
    <col width="48" customWidth="1" min="9" max="9"/>
    <col width="48" customWidth="1" min="10" max="10"/>
    <col width="36" customWidth="1" min="11" max="11"/>
    <col width="16" customWidth="1" min="12" max="12"/>
    <col width="25" customWidth="1" min="13" max="13"/>
    <col width="14" customWidth="1" min="14" max="14"/>
    <col width="32" customWidth="1" min="15" max="15"/>
  </cols>
  <sheetData>
    <row r="1" ht="28" customHeight="1">
      <c r="A1" s="20" t="inlineStr">
        <is>
          <t>ID</t>
        </is>
      </c>
      <c r="B1" s="20" t="inlineStr">
        <is>
          <t>Module</t>
        </is>
      </c>
      <c r="C1" s="20" t="inlineStr">
        <is>
          <t>Feature ID</t>
        </is>
      </c>
      <c r="D1" s="20" t="inlineStr">
        <is>
          <t>Feature Name</t>
        </is>
      </c>
      <c r="E1" s="20" t="inlineStr">
        <is>
          <t>Title</t>
        </is>
      </c>
      <c r="F1" s="20" t="inlineStr">
        <is>
          <t>Objective</t>
        </is>
      </c>
      <c r="G1" s="20" t="inlineStr">
        <is>
          <t>Preconditions</t>
        </is>
      </c>
      <c r="H1" s="20" t="inlineStr">
        <is>
          <t>TestData</t>
        </is>
      </c>
      <c r="I1" s="20" t="inlineStr">
        <is>
          <t>Steps</t>
        </is>
      </c>
      <c r="J1" s="20" t="inlineStr">
        <is>
          <t>ExpectedResult</t>
        </is>
      </c>
      <c r="K1" s="20" t="inlineStr">
        <is>
          <t>Actual Result</t>
        </is>
      </c>
      <c r="L1" s="20" t="inlineStr">
        <is>
          <t>Status</t>
        </is>
      </c>
      <c r="M1" s="20" t="inlineStr">
        <is>
          <t>Evidence</t>
        </is>
      </c>
      <c r="N1" s="20" t="inlineStr">
        <is>
          <t>Priority</t>
        </is>
      </c>
      <c r="O1" s="20" t="inlineStr">
        <is>
          <t>Notes</t>
        </is>
      </c>
    </row>
    <row r="2" ht="180" customHeight="1">
      <c r="A2" s="21" t="inlineStr">
        <is>
          <t>TC-M04-001</t>
        </is>
      </c>
      <c r="B2" s="21" t="inlineStr">
        <is>
          <t>Module 04</t>
        </is>
      </c>
      <c r="C2" s="22" t="inlineStr">
        <is>
          <t>M04-F01</t>
        </is>
      </c>
      <c r="D2" s="23" t="inlineStr">
        <is>
          <t>Council Feedback Record</t>
        </is>
      </c>
      <c r="E2" s="23" t="inlineStr">
        <is>
          <t>Record Council Feedback Successful</t>
        </is>
      </c>
      <c r="F2" s="23" t="inlineStr">
        <is>
          <t>Verify that staff can successfully record a Class Council record with comments from all departments.</t>
        </is>
      </c>
      <c r="G2" s="23" t="inlineStr">
        <is>
          <t>Staff user is logged in. Student ST001 and Semester 1 exist. No council record exists for ST001 in Semester 1.</t>
        </is>
      </c>
      <c r="H2" s="23" t="inlineStr">
        <is>
          <t>Student=ST001; Semester=Semester 1; GeneralComment=Strong learning attitude; ITComment=Excellent coding skills; EnglishComment=Fluent communicator; PLTComment=Highly cooperative; EducatorComment=Good behavior</t>
        </is>
      </c>
      <c r="I2" s="23" t="inlineStr">
        <is>
          <t>1. Navigate to Class Council Management;
2. Click Create Council Record;
3. Select Student ST001 and Semester 'Semester 1';
4. Enter General Comment 'Strong learning attitude';
5. Enter IT Comment 'Excellent coding skills';
6. Enter English Comment 'Fluent communicator';
7. Enter PLT Comment 'Highly cooperative';
8. Enter Educator Comment 'Good behavior';
9. Click Save</t>
        </is>
      </c>
      <c r="J2" s="23" t="inlineStr">
        <is>
          <t>The record is saved successfully. A success message appears. The student's record is displayed in the list with all comments.</t>
        </is>
      </c>
      <c r="K2" s="23" t="inlineStr">
        <is>
          <t>The record is saved successfully. A success message appears. The student's record is displayed in the list with all comments.</t>
        </is>
      </c>
      <c r="L2" s="24" t="inlineStr">
        <is>
          <t>Passed</t>
        </is>
      </c>
      <c r="M2" s="21" t="inlineStr"/>
      <c r="N2" s="25" t="inlineStr">
        <is>
          <t>High</t>
        </is>
      </c>
      <c r="O2" s="23" t="inlineStr">
        <is>
          <t>Related Requirement: M04-F01</t>
        </is>
      </c>
    </row>
    <row r="3" ht="165" customHeight="1">
      <c r="A3" s="26" t="inlineStr">
        <is>
          <t>TC-M04-002</t>
        </is>
      </c>
      <c r="B3" s="26" t="inlineStr">
        <is>
          <t>Module 04</t>
        </is>
      </c>
      <c r="C3" s="27" t="inlineStr">
        <is>
          <t>M04-F01</t>
        </is>
      </c>
      <c r="D3" s="28" t="inlineStr">
        <is>
          <t>Council Feedback Record</t>
        </is>
      </c>
      <c r="E3" s="28" t="inlineStr">
        <is>
          <t>Record Council Feedback with Empty Optional Fields</t>
        </is>
      </c>
      <c r="F3" s="28" t="inlineStr">
        <is>
          <t>Verify that saving a completely empty council feedback record is allowed without validation errors.</t>
        </is>
      </c>
      <c r="G3" s="28" t="inlineStr">
        <is>
          <t>Staff user is logged in. Student ST002 and Semester 1 exist. No record exists for ST002 in Semester 1.</t>
        </is>
      </c>
      <c r="H3" s="28" t="inlineStr">
        <is>
          <t>Student=ST002; Semester=Semester 1; AllComments=Empty; Warning=False; WarningReason=Empty</t>
        </is>
      </c>
      <c r="I3" s="28" t="inlineStr">
        <is>
          <t>1. Navigate to Class Council Management;
2. Click Create Council Record;
3. Select Student ST002 and Semester 'Semester 1';
4. Leave all comment fields empty;
5. Ensure Warning is unchecked and Warning Reason is blank;
6. Click Save</t>
        </is>
      </c>
      <c r="J3" s="28" t="inlineStr">
        <is>
          <t>The record is saved successfully. No validation errors occur. No badges appear on the list for student ST002.</t>
        </is>
      </c>
      <c r="K3" s="28" t="inlineStr">
        <is>
          <t>The record is saved successfully. No validation errors occur. No badges appear on the list for student ST002.</t>
        </is>
      </c>
      <c r="L3" s="24" t="inlineStr">
        <is>
          <t>Passed</t>
        </is>
      </c>
      <c r="M3" s="26" t="inlineStr"/>
      <c r="N3" s="25" t="inlineStr">
        <is>
          <t>High</t>
        </is>
      </c>
      <c r="O3" s="28" t="inlineStr">
        <is>
          <t>Related Requirement: M04-F01, Optional Fields 6.2</t>
        </is>
      </c>
    </row>
    <row r="4" ht="120" customHeight="1">
      <c r="A4" s="21" t="inlineStr">
        <is>
          <t>TC-M04-003</t>
        </is>
      </c>
      <c r="B4" s="21" t="inlineStr">
        <is>
          <t>Module 04</t>
        </is>
      </c>
      <c r="C4" s="22" t="inlineStr">
        <is>
          <t>M04-F02</t>
        </is>
      </c>
      <c r="D4" s="23" t="inlineStr">
        <is>
          <t>Academic Warning Flag</t>
        </is>
      </c>
      <c r="E4" s="23" t="inlineStr">
        <is>
          <t>Set Academic Warning Flag and Warning Reason</t>
        </is>
      </c>
      <c r="F4" s="23" t="inlineStr">
        <is>
          <t>Verify that staff can set an academic warning flag and input a warning reason.</t>
        </is>
      </c>
      <c r="G4" s="23" t="inlineStr">
        <is>
          <t>Staff user is logged in. Student ST001 and Semester 1 exist.</t>
        </is>
      </c>
      <c r="H4" s="23" t="inlineStr">
        <is>
          <t>Student=ST001; Semester=Semester 1; Warning=True; WarningReason=Attendance below required level</t>
        </is>
      </c>
      <c r="I4" s="23" t="inlineStr">
        <is>
          <t>1. Open the council record for ST001 in Semester 1;
2. Check the 'Academic Warning' checkbox;
3. Enter Warning Reason: 'Attendance below required level';
4. Click Save</t>
        </is>
      </c>
      <c r="J4" s="23" t="inlineStr">
        <is>
          <t>The record is saved successfully. The warning badge (⚠) appears next to the student's name in the list.</t>
        </is>
      </c>
      <c r="K4" s="23" t="inlineStr">
        <is>
          <t>The record is saved successfully. The warning badge (⚠) appears next to the student's name in the list.</t>
        </is>
      </c>
      <c r="L4" s="24" t="inlineStr">
        <is>
          <t>Passed</t>
        </is>
      </c>
      <c r="M4" s="21" t="inlineStr"/>
      <c r="N4" s="25" t="inlineStr">
        <is>
          <t>High</t>
        </is>
      </c>
      <c r="O4" s="23" t="inlineStr">
        <is>
          <t>Related Requirement: M04-F02, Academic Warning 6.3</t>
        </is>
      </c>
    </row>
    <row r="5" ht="105" customHeight="1">
      <c r="A5" s="26" t="inlineStr">
        <is>
          <t>TC-M04-004</t>
        </is>
      </c>
      <c r="B5" s="26" t="inlineStr">
        <is>
          <t>Module 04</t>
        </is>
      </c>
      <c r="C5" s="27" t="inlineStr">
        <is>
          <t>M04-F02</t>
        </is>
      </c>
      <c r="D5" s="28" t="inlineStr">
        <is>
          <t>Academic Warning Flag</t>
        </is>
      </c>
      <c r="E5" s="28" t="inlineStr">
        <is>
          <t>Set Academic Warning Flag with Empty Warning Reason</t>
        </is>
      </c>
      <c r="F5" s="28" t="inlineStr">
        <is>
          <t>Verify that warning reason is optional and saving warning flag without a reason is allowed.</t>
        </is>
      </c>
      <c r="G5" s="28" t="inlineStr">
        <is>
          <t>Staff user is logged in.</t>
        </is>
      </c>
      <c r="H5" s="28" t="inlineStr">
        <is>
          <t>Student=ST001; Semester=Semester 1; Warning=True; WarningReason=Empty</t>
        </is>
      </c>
      <c r="I5" s="28" t="inlineStr">
        <is>
          <t>1. Open the council record for ST001 in Semester 1;
2. Check the 'Academic Warning' checkbox;
3. Leave 'Warning Reason' empty;
4. Click Save</t>
        </is>
      </c>
      <c r="J5" s="28" t="inlineStr">
        <is>
          <t>The record is saved successfully. No validation errors occur. The warning badge (⚠) is displayed on the student list.</t>
        </is>
      </c>
      <c r="K5" s="28" t="inlineStr">
        <is>
          <t>The record is saved successfully. No validation errors occur. The warning badge (⚠) is displayed on the student list.</t>
        </is>
      </c>
      <c r="L5" s="24" t="inlineStr">
        <is>
          <t>Passed</t>
        </is>
      </c>
      <c r="M5" s="26" t="inlineStr"/>
      <c r="N5" s="25" t="inlineStr">
        <is>
          <t>High</t>
        </is>
      </c>
      <c r="O5" s="28" t="inlineStr">
        <is>
          <t>Related Requirement: M04-F02, Optional Fields 6.2, Validation Rules 7</t>
        </is>
      </c>
    </row>
    <row r="6" ht="120" customHeight="1">
      <c r="A6" s="21" t="inlineStr">
        <is>
          <t>TC-M04-005</t>
        </is>
      </c>
      <c r="B6" s="21" t="inlineStr">
        <is>
          <t>Module 04</t>
        </is>
      </c>
      <c r="C6" s="22" t="inlineStr">
        <is>
          <t>M04-F04</t>
        </is>
      </c>
      <c r="D6" s="23" t="inlineStr">
        <is>
          <t>Auto Draft Saving</t>
        </is>
      </c>
      <c r="E6" s="23" t="inlineStr">
        <is>
          <t>Verify Automatic Draft Saving in Browser Local Storage</t>
        </is>
      </c>
      <c r="F6" s="23" t="inlineStr">
        <is>
          <t>Verify that the system automatically saves typed comments into local storage in the background.</t>
        </is>
      </c>
      <c r="G6" s="23" t="inlineStr">
        <is>
          <t>Staff user is logged in. Bi-directional sync/save has not been initiated.</t>
        </is>
      </c>
      <c r="H6" s="23" t="inlineStr">
        <is>
          <t>Student=ST003; Semester=Semester 1; ITComment=Draft comment for IT department</t>
        </is>
      </c>
      <c r="I6" s="23" t="inlineStr">
        <is>
          <t>1. Open the council record for ST003 in Semester 1;
2. Type IT Comment 'Draft comment for IT department';
3. Do NOT click Save;
4. Open Developer Tools -&gt; Application -&gt; Local Storage</t>
        </is>
      </c>
      <c r="J6" s="23" t="inlineStr">
        <is>
          <t>The text 'Draft comment for IT department' is saved automatically to browser Local Storage under a key representing ST003/Semester 1 as typing occurs.</t>
        </is>
      </c>
      <c r="K6" s="23" t="inlineStr">
        <is>
          <t>The text 'Draft comment for IT department' is saved automatically to browser Local Storage under a key representing ST003/Semester 1 as typing occurs.</t>
        </is>
      </c>
      <c r="L6" s="24" t="inlineStr">
        <is>
          <t>Passed</t>
        </is>
      </c>
      <c r="M6" s="21" t="inlineStr"/>
      <c r="N6" s="25" t="inlineStr">
        <is>
          <t>High</t>
        </is>
      </c>
      <c r="O6" s="23" t="inlineStr">
        <is>
          <t>Related Requirement: M04-F04, Automatic Draft Saving 6.5</t>
        </is>
      </c>
    </row>
    <row r="7" ht="120" customHeight="1">
      <c r="A7" s="26" t="inlineStr">
        <is>
          <t>TC-M04-006</t>
        </is>
      </c>
      <c r="B7" s="26" t="inlineStr">
        <is>
          <t>Module 04</t>
        </is>
      </c>
      <c r="C7" s="27" t="inlineStr">
        <is>
          <t>M04-F05</t>
        </is>
      </c>
      <c r="D7" s="28" t="inlineStr">
        <is>
          <t>Draft Recovery / Discard</t>
        </is>
      </c>
      <c r="E7" s="28" t="inlineStr">
        <is>
          <t>Recover Unsaved Draft after Unexpected Browser Closure</t>
        </is>
      </c>
      <c r="F7" s="28" t="inlineStr">
        <is>
          <t>Verify that the system detects unsaved local drafts and displays a prompt to restore them.</t>
        </is>
      </c>
      <c r="G7" s="28" t="inlineStr">
        <is>
          <t>Unsaved draft for ST003 with ITComment='Draft comment for IT department' exists in Local Storage. Sheets database does not have this comment.</t>
        </is>
      </c>
      <c r="H7" s="28" t="inlineStr">
        <is>
          <t>Student=ST003; Semester=Semester 1</t>
        </is>
      </c>
      <c r="I7" s="28" t="inlineStr">
        <is>
          <t>1. Close browser and reopen it (simulating crash);
2. Navigate back to the council record for ST003 in Semester 1;
3. Verify prompt;
4. Select 'Continue editing'</t>
        </is>
      </c>
      <c r="J7" s="28" t="inlineStr">
        <is>
          <t>An 'Unsaved Draft' warning/prompt is shown. Selecting 'Continue editing' restores the draft text 'Draft comment for IT department' to the IT Comment text box.</t>
        </is>
      </c>
      <c r="K7" s="28" t="inlineStr">
        <is>
          <t>An 'Unsaved Draft' warning/prompt is shown. Selecting 'Continue editing' restores the draft text 'Draft comment for IT department' to the IT Comment text box.</t>
        </is>
      </c>
      <c r="L7" s="24" t="inlineStr">
        <is>
          <t>Passed</t>
        </is>
      </c>
      <c r="M7" s="26" t="inlineStr"/>
      <c r="N7" s="25" t="inlineStr">
        <is>
          <t>High</t>
        </is>
      </c>
      <c r="O7" s="28" t="inlineStr">
        <is>
          <t>Related Requirement: M04-F05, Draft Recovery 6.6</t>
        </is>
      </c>
    </row>
    <row r="8" ht="90" customHeight="1">
      <c r="A8" s="21" t="inlineStr">
        <is>
          <t>TC-M04-007</t>
        </is>
      </c>
      <c r="B8" s="21" t="inlineStr">
        <is>
          <t>Module 04</t>
        </is>
      </c>
      <c r="C8" s="22" t="inlineStr">
        <is>
          <t>M04-F05</t>
        </is>
      </c>
      <c r="D8" s="23" t="inlineStr">
        <is>
          <t>Draft Recovery / Discard</t>
        </is>
      </c>
      <c r="E8" s="23" t="inlineStr">
        <is>
          <t>Discard Unsaved Draft to Restore Last Saved Data</t>
        </is>
      </c>
      <c r="F8" s="23" t="inlineStr">
        <is>
          <t>Verify that choosing to discard an unsaved draft removes it and restores the last saved data from database.</t>
        </is>
      </c>
      <c r="G8" s="23" t="inlineStr">
        <is>
          <t>Official database record for ST003 has ITComment='Good student'. Unsaved draft in Local Storage has ITComment='Draft edit'.</t>
        </is>
      </c>
      <c r="H8" s="23" t="inlineStr">
        <is>
          <t>Student=ST003; Semester=Semester 1</t>
        </is>
      </c>
      <c r="I8" s="23" t="inlineStr">
        <is>
          <t>1. Open council record for ST003 in Semester 1;
2. When 'Unsaved Draft' prompt appears, select 'Discard draft';
3. Check the IT Comment text box</t>
        </is>
      </c>
      <c r="J8" s="23" t="inlineStr">
        <is>
          <t>Local Storage draft is cleared. The IT Comment reverts to the database value 'Good student'. Draft edits are discarded.</t>
        </is>
      </c>
      <c r="K8" s="23" t="inlineStr">
        <is>
          <t>Local Storage draft is cleared. The IT Comment reverts to the database value 'Good student'. Draft edits are discarded.</t>
        </is>
      </c>
      <c r="L8" s="24" t="inlineStr">
        <is>
          <t>Passed</t>
        </is>
      </c>
      <c r="M8" s="21" t="inlineStr"/>
      <c r="N8" s="25" t="inlineStr">
        <is>
          <t>High</t>
        </is>
      </c>
      <c r="O8" s="23" t="inlineStr">
        <is>
          <t>Related Requirement: M04-F05, Draft Recovery 6.6</t>
        </is>
      </c>
    </row>
    <row r="9" ht="135" customHeight="1">
      <c r="A9" s="26" t="inlineStr">
        <is>
          <t>TC-M04-008</t>
        </is>
      </c>
      <c r="B9" s="26" t="inlineStr">
        <is>
          <t>Module 04</t>
        </is>
      </c>
      <c r="C9" s="27" t="inlineStr">
        <is>
          <t>M04-F06</t>
        </is>
      </c>
      <c r="D9" s="28" t="inlineStr">
        <is>
          <t>Batch Feedback Entry</t>
        </is>
      </c>
      <c r="E9" s="28" t="inlineStr">
        <is>
          <t>Batch Feedback Entry by Comment Type</t>
        </is>
      </c>
      <c r="F9" s="28" t="inlineStr">
        <is>
          <t>Verify that staff can enter the same feedback type for multiple students simultaneously in batch mode.</t>
        </is>
      </c>
      <c r="G9" s="28" t="inlineStr">
        <is>
          <t>Staff user is logged in. Students ST001, ST002, and ST003 exist in Batch PNV26A.</t>
        </is>
      </c>
      <c r="H9" s="28" t="inlineStr">
        <is>
          <t>Batch=PNV26A; Semester=Semester 1; FeedbackType=IT Comment; Comments='Active performance in programming project' for ST001, ST002, and ST003</t>
        </is>
      </c>
      <c r="I9" s="28" t="inlineStr">
        <is>
          <t>1. Open Batch Feedback page;
2. Select Batch PNV26A, Semester 'Semester 1', and Feedback Type 'IT Comment';
3. In the grid, type 'Active performance in programming project' for ST001, ST002, and ST003;
4. Click Save All</t>
        </is>
      </c>
      <c r="J9" s="28" t="inlineStr">
        <is>
          <t>All three records are saved successfully. Success message 'Saved 3 students' is shown. Selected students have the new IT comment.</t>
        </is>
      </c>
      <c r="K9" s="28" t="inlineStr">
        <is>
          <t>All three records are saved successfully. Success message 'Saved 3 students' is shown. Selected students have the new IT comment.</t>
        </is>
      </c>
      <c r="L9" s="24" t="inlineStr">
        <is>
          <t>Passed</t>
        </is>
      </c>
      <c r="M9" s="26" t="inlineStr"/>
      <c r="N9" s="25" t="inlineStr">
        <is>
          <t>High</t>
        </is>
      </c>
      <c r="O9" s="28" t="inlineStr">
        <is>
          <t>Related Requirement: M04-F06, Batch Feedback 6.7</t>
        </is>
      </c>
    </row>
    <row r="10" ht="120" customHeight="1">
      <c r="A10" s="21" t="inlineStr">
        <is>
          <t>TC-M04-009</t>
        </is>
      </c>
      <c r="B10" s="21" t="inlineStr">
        <is>
          <t>Module 04</t>
        </is>
      </c>
      <c r="C10" s="22" t="inlineStr">
        <is>
          <t>M04-F06</t>
        </is>
      </c>
      <c r="D10" s="23" t="inlineStr">
        <is>
          <t>Batch Feedback Entry</t>
        </is>
      </c>
      <c r="E10" s="23" t="inlineStr">
        <is>
          <t>Batch Feedback Entry Does Not Overwrite Other Comment Fields</t>
        </is>
      </c>
      <c r="F10" s="23" t="inlineStr">
        <is>
          <t>Verify that entering batch feedback for one field does not erase other existing comment fields for that student.</t>
        </is>
      </c>
      <c r="G10" s="23" t="inlineStr">
        <is>
          <t>Student ST001 has existing ITComment='Excellent coding' and EnglishComment='Good speaking'.</t>
        </is>
      </c>
      <c r="H10" s="23" t="inlineStr">
        <is>
          <t>FeedbackType=English Comment; NewEnglishComment='Excellent communication'</t>
        </is>
      </c>
      <c r="I10" s="23" t="inlineStr">
        <is>
          <t>1. Open Batch Feedback page;
2. Select Feedback Type 'English Comment';
3. Input 'Excellent communication' for ST001 and click Save;
4. Navigate to ST001's council record details</t>
        </is>
      </c>
      <c r="J10" s="23" t="inlineStr">
        <is>
          <t>English Comment is updated to 'Excellent communication'. The existing IT Comment is preserved as 'Excellent coding' (not cleared).</t>
        </is>
      </c>
      <c r="K10" s="23" t="inlineStr">
        <is>
          <t>English Comment is updated to 'Excellent communication'. The existing IT Comment is preserved as 'Excellent coding' (not cleared).</t>
        </is>
      </c>
      <c r="L10" s="24" t="inlineStr">
        <is>
          <t>Passed</t>
        </is>
      </c>
      <c r="M10" s="21" t="inlineStr"/>
      <c r="N10" s="25" t="inlineStr">
        <is>
          <t>High</t>
        </is>
      </c>
      <c r="O10" s="23" t="inlineStr">
        <is>
          <t>Related Requirement: M04-F06, Batch Feedback 6.7</t>
        </is>
      </c>
    </row>
    <row r="11" ht="150" customHeight="1">
      <c r="A11" s="26" t="inlineStr">
        <is>
          <t>TC-M04-010</t>
        </is>
      </c>
      <c r="B11" s="26" t="inlineStr">
        <is>
          <t>Module 04</t>
        </is>
      </c>
      <c r="C11" s="27" t="inlineStr">
        <is>
          <t>M04-F07</t>
        </is>
      </c>
      <c r="D11" s="28" t="inlineStr">
        <is>
          <t>Concurrent Edit Conflict Handling</t>
        </is>
      </c>
      <c r="E11" s="28" t="inlineStr">
        <is>
          <t>Three-Way Merge for Non-conflicting Concurrent Edits</t>
        </is>
      </c>
      <c r="F11" s="28" t="inlineStr">
        <is>
          <t>Verify that concurrent edits on different fields of the same record are merged successfully using 3-way merge.</t>
        </is>
      </c>
      <c r="G11" s="28" t="inlineStr">
        <is>
          <t>Teacher A and Teacher B are logged in. The database record for ST001 has GeneralComment='Good student', other fields are empty.</t>
        </is>
      </c>
      <c r="H11" s="28" t="inlineStr">
        <is>
          <t>ST001 record in Semester 1; Teacher B saves ITComment='Excellent'; Teacher A saves EnglishComment='Fluent'</t>
        </is>
      </c>
      <c r="I11" s="28" t="inlineStr">
        <is>
          <t>1. Teacher A opens ST001 council edit form;
2. Teacher B opens ST001 council edit form;
3. Teacher B updates IT Comment to 'Excellent' and clicks Save first;
4. Teacher A updates English Comment to 'Fluent' (IT Comment remains empty on their screen) and clicks Save</t>
        </is>
      </c>
      <c r="J11" s="28" t="inlineStr">
        <is>
          <t>Save succeeds. The final record on Sheets is merged: GeneralComment='Good student', ITComment='Excellent', and EnglishComment='Fluent'. Teacher A receives notification of updates by another teacher.</t>
        </is>
      </c>
      <c r="K11" s="28" t="inlineStr">
        <is>
          <t>Save succeeds. The final record on Sheets is merged: GeneralComment='Good student', ITComment='Excellent', and EnglishComment='Fluent'. Teacher A receives notification of updates by another teacher.</t>
        </is>
      </c>
      <c r="L11" s="24" t="inlineStr">
        <is>
          <t>Passed</t>
        </is>
      </c>
      <c r="M11" s="26" t="inlineStr"/>
      <c r="N11" s="25" t="inlineStr">
        <is>
          <t>High</t>
        </is>
      </c>
      <c r="O11" s="28" t="inlineStr">
        <is>
          <t>Related Requirement: M04-F07, Concurrent Editing 6.8</t>
        </is>
      </c>
    </row>
    <row r="12" ht="135" customHeight="1">
      <c r="A12" s="21" t="inlineStr">
        <is>
          <t>TC-M04-011</t>
        </is>
      </c>
      <c r="B12" s="21" t="inlineStr">
        <is>
          <t>Module 04</t>
        </is>
      </c>
      <c r="C12" s="22" t="inlineStr">
        <is>
          <t>M04-F07</t>
        </is>
      </c>
      <c r="D12" s="23" t="inlineStr">
        <is>
          <t>Concurrent Edit Conflict Handling</t>
        </is>
      </c>
      <c r="E12" s="23" t="inlineStr">
        <is>
          <t>Flag Conflict on Concurrent Edits of Same Field</t>
        </is>
      </c>
      <c r="F12" s="23" t="inlineStr">
        <is>
          <t>Verify that concurrent edits on the same field block the second user from overwriting first user's saved data and flag a conflict.</t>
        </is>
      </c>
      <c r="G12" s="23" t="inlineStr">
        <is>
          <t>Teacher A and Teacher B are logged in. ST001 has ITComment='Good'.</t>
        </is>
      </c>
      <c r="H12" s="23" t="inlineStr">
        <is>
          <t>ST001 record in Semester 1; Teacher B saves ITComment='Excellent'; Teacher A saves ITComment='Very Good'</t>
        </is>
      </c>
      <c r="I12" s="23" t="inlineStr">
        <is>
          <t>1. Teacher A opens ST001 edit form;
2. Teacher B opens ST001 edit form;
3. Teacher B changes IT Comment to 'Excellent' and clicks Save;
4. Teacher A changes IT Comment to 'Very Good' and clicks Save after Teacher B</t>
        </is>
      </c>
      <c r="J12" s="23" t="inlineStr">
        <is>
          <t>Teacher A's save is blocked or triggers a conflict. An error 'Saved, but these fields were updated by another teacher: IT Comment' is shown. Teacher B's value 'Excellent' is preserved in database.</t>
        </is>
      </c>
      <c r="K12" s="23" t="inlineStr">
        <is>
          <t>Teacher A's save is blocked or triggers a conflict. An error 'Saved, but these fields were updated by another teacher: IT Comment' is shown. Teacher B's value 'Excellent' is preserved in database.</t>
        </is>
      </c>
      <c r="L12" s="24" t="inlineStr">
        <is>
          <t>Passed</t>
        </is>
      </c>
      <c r="M12" s="21" t="inlineStr"/>
      <c r="N12" s="25" t="inlineStr">
        <is>
          <t>High</t>
        </is>
      </c>
      <c r="O12" s="23" t="inlineStr">
        <is>
          <t>Related Requirement: M04-F07, Concurrent Editing 6.8</t>
        </is>
      </c>
    </row>
    <row r="13" ht="75" customHeight="1">
      <c r="A13" s="26" t="inlineStr">
        <is>
          <t>TC-M04-012</t>
        </is>
      </c>
      <c r="B13" s="26" t="inlineStr">
        <is>
          <t>Module 04</t>
        </is>
      </c>
      <c r="C13" s="27" t="inlineStr">
        <is>
          <t>M04-F08</t>
        </is>
      </c>
      <c r="D13" s="28" t="inlineStr">
        <is>
          <t>PDF Report Export</t>
        </is>
      </c>
      <c r="E13" s="28" t="inlineStr">
        <is>
          <t>Export Class Council Report to PDF</t>
        </is>
      </c>
      <c r="F13" s="28" t="inlineStr">
        <is>
          <t>Verify that staff can generate and download a PDF report containing student info, semester, comments, and warnings.</t>
        </is>
      </c>
      <c r="G13" s="28" t="inlineStr">
        <is>
          <t>Student ST001 has a complete council record in Semester 1.</t>
        </is>
      </c>
      <c r="H13" s="28" t="inlineStr">
        <is>
          <t>Student=ST001; Semester=Semester 1</t>
        </is>
      </c>
      <c r="I13" s="28" t="inlineStr">
        <is>
          <t>1. Open ST001's council record details page;
2. Click Export PDF;
3. Open the downloaded PDF file</t>
        </is>
      </c>
      <c r="J13" s="28" t="inlineStr">
        <is>
          <t>The PDF report downloads successfully. It contains student details, Semester 1, all teacher comments, and warning details formatted correctly.</t>
        </is>
      </c>
      <c r="K13" s="28" t="inlineStr">
        <is>
          <t>The PDF report downloads successfully. It contains student details, Semester 1, all teacher comments, and warning details formatted correctly.</t>
        </is>
      </c>
      <c r="L13" s="24" t="inlineStr">
        <is>
          <t>Passed</t>
        </is>
      </c>
      <c r="M13" s="26" t="inlineStr"/>
      <c r="N13" s="25" t="inlineStr">
        <is>
          <t>High</t>
        </is>
      </c>
      <c r="O13" s="28" t="inlineStr">
        <is>
          <t>Related Requirement: M04-F08, PDF Export 6.9</t>
        </is>
      </c>
    </row>
    <row r="14" ht="120" customHeight="1">
      <c r="A14" s="21" t="inlineStr">
        <is>
          <t>TC-M04-013</t>
        </is>
      </c>
      <c r="B14" s="21" t="inlineStr">
        <is>
          <t>Module 04</t>
        </is>
      </c>
      <c r="C14" s="22" t="inlineStr">
        <is>
          <t>M04-F02</t>
        </is>
      </c>
      <c r="D14" s="23" t="inlineStr">
        <is>
          <t>Academic Warning Flag</t>
        </is>
      </c>
      <c r="E14" s="23" t="inlineStr">
        <is>
          <t>Badge Display Activation on Content Entry</t>
        </is>
      </c>
      <c r="F14" s="23" t="inlineStr">
        <is>
          <t>Verify that saving comments activates their corresponding badges (G, IT, EN, PLT, ED) on the student list.</t>
        </is>
      </c>
      <c r="G14" s="23" t="inlineStr">
        <is>
          <t>Staff user is logged in. ST001 has no comments in Semester 1.</t>
        </is>
      </c>
      <c r="H14" s="23" t="inlineStr">
        <is>
          <t>Student=ST001; Semester=Semester 1; ITComment='Good'; EducatorComment='Active'</t>
        </is>
      </c>
      <c r="I14" s="23" t="inlineStr">
        <is>
          <t>1. Create council record for ST001 in Semester 1;
2. Input IT Comment 'Good' and Educator Comment 'Active' (others left empty);
3. Click Save;
4. Go to student list and observe ST001 row</t>
        </is>
      </c>
      <c r="J14" s="23" t="inlineStr">
        <is>
          <t>Only 'IT' and 'ED' badges are activated/displayed next to ST001's name. Other badges (G, EN, PLT, ⚠) are hidden.</t>
        </is>
      </c>
      <c r="K14" s="23" t="inlineStr">
        <is>
          <t>Only 'IT' and 'ED' badges are activated/displayed next to ST001's name. Other badges (G, EN, PLT, ⚠) are hidden.</t>
        </is>
      </c>
      <c r="L14" s="24" t="inlineStr">
        <is>
          <t>Passed</t>
        </is>
      </c>
      <c r="M14" s="21" t="inlineStr"/>
      <c r="N14" s="29" t="inlineStr">
        <is>
          <t>Medium</t>
        </is>
      </c>
      <c r="O14" s="23" t="inlineStr">
        <is>
          <t>Related Requirement: Business Rules, Badge Display 6.4</t>
        </is>
      </c>
    </row>
    <row r="15" ht="105" customHeight="1">
      <c r="A15" s="26" t="inlineStr">
        <is>
          <t>TC-M04-014</t>
        </is>
      </c>
      <c r="B15" s="26" t="inlineStr">
        <is>
          <t>Module 04</t>
        </is>
      </c>
      <c r="C15" s="27" t="inlineStr">
        <is>
          <t>M04-F02</t>
        </is>
      </c>
      <c r="D15" s="28" t="inlineStr">
        <is>
          <t>Academic Warning Flag</t>
        </is>
      </c>
      <c r="E15" s="28" t="inlineStr">
        <is>
          <t>Badge Display Deactivation on Content Removal</t>
        </is>
      </c>
      <c r="F15" s="28" t="inlineStr">
        <is>
          <t>Verify that removing comment content deactivates the corresponding badge on save.</t>
        </is>
      </c>
      <c r="G15" s="28" t="inlineStr">
        <is>
          <t>Student ST001 has an IT comment and the 'IT' badge is active.</t>
        </is>
      </c>
      <c r="H15" s="28" t="inlineStr">
        <is>
          <t>Student=ST001; Semester=Semester 1; ITComment=''</t>
        </is>
      </c>
      <c r="I15" s="28" t="inlineStr">
        <is>
          <t>1. Open ST001's Semester 1 council record;
2. Clear the IT Comment field completely;
3. Click Save;
4. Go to student list and observe badges</t>
        </is>
      </c>
      <c r="J15" s="28" t="inlineStr">
        <is>
          <t>The record is updated. The 'IT' badge disappears from ST001's name on the list since its comment was removed.</t>
        </is>
      </c>
      <c r="K15" s="28" t="inlineStr">
        <is>
          <t>The record is updated. The 'IT' badge disappears from ST001's name on the list since its comment was removed.</t>
        </is>
      </c>
      <c r="L15" s="24" t="inlineStr">
        <is>
          <t>Passed</t>
        </is>
      </c>
      <c r="M15" s="26" t="inlineStr"/>
      <c r="N15" s="29" t="inlineStr">
        <is>
          <t>Medium</t>
        </is>
      </c>
      <c r="O15" s="28" t="inlineStr">
        <is>
          <t>Related Requirement: Business Rules, Badge Display 6.4</t>
        </is>
      </c>
    </row>
    <row r="16" ht="45" customHeight="1">
      <c r="A16" s="21" t="inlineStr">
        <is>
          <t>TC-M04-015</t>
        </is>
      </c>
      <c r="B16" s="21" t="inlineStr">
        <is>
          <t>Module 04</t>
        </is>
      </c>
      <c r="C16" s="22" t="inlineStr">
        <is>
          <t>M04-SEC</t>
        </is>
      </c>
      <c r="D16" s="23" t="inlineStr">
        <is>
          <t>Access Control &amp; Security</t>
        </is>
      </c>
      <c r="E16" s="23" t="inlineStr">
        <is>
          <t>Block Unknown Email Domain Access</t>
        </is>
      </c>
      <c r="F16" s="23" t="inlineStr">
        <is>
          <t>Verify that users with unauthorized email domains (non-PNV/non-student) are completely blocked.</t>
        </is>
      </c>
      <c r="G16" s="23" t="inlineStr">
        <is>
          <t>User is authenticated with email testuser@gmail.com.</t>
        </is>
      </c>
      <c r="H16" s="23" t="inlineStr">
        <is>
          <t>Email=testuser@gmail.com</t>
        </is>
      </c>
      <c r="I16" s="23" t="inlineStr">
        <is>
          <t>1. Enter application URL;
2. Sign in via Google OAuth with testuser@gmail.com</t>
        </is>
      </c>
      <c r="J16" s="23" t="inlineStr">
        <is>
          <t>Login fails or 'Access Denied' message displays. User is blocked from accessing any management features.</t>
        </is>
      </c>
      <c r="K16" s="23" t="inlineStr">
        <is>
          <t>Login fails or 'Access Denied' message displays. User is blocked from accessing any management features.</t>
        </is>
      </c>
      <c r="L16" s="24" t="inlineStr">
        <is>
          <t>Passed</t>
        </is>
      </c>
      <c r="M16" s="21" t="inlineStr"/>
      <c r="N16" s="25" t="inlineStr">
        <is>
          <t>High</t>
        </is>
      </c>
      <c r="O16" s="23" t="inlineStr">
        <is>
          <t>Related Requirement: General Rules, User Roles</t>
        </is>
      </c>
    </row>
    <row r="17" ht="135" customHeight="1">
      <c r="A17" s="26" t="inlineStr">
        <is>
          <t>TC-M04-016</t>
        </is>
      </c>
      <c r="B17" s="26" t="inlineStr">
        <is>
          <t>Module 04</t>
        </is>
      </c>
      <c r="C17" s="27" t="inlineStr">
        <is>
          <t>M04-F04</t>
        </is>
      </c>
      <c r="D17" s="28" t="inlineStr">
        <is>
          <t>Auto Draft Saving</t>
        </is>
      </c>
      <c r="E17" s="28" t="inlineStr">
        <is>
          <t>Verify Draft Storage Device Specificity</t>
        </is>
      </c>
      <c r="F17" s="28" t="inlineStr">
        <is>
          <t>Verify that local drafts are device-specific and not synchronized to other computers.</t>
        </is>
      </c>
      <c r="G17" s="28" t="inlineStr">
        <is>
          <t>Staff user logged in on Computer X and Computer Y.</t>
        </is>
      </c>
      <c r="H17" s="28" t="inlineStr">
        <is>
          <t>Computer X: input IT Comment 'Draft text on Computer X' for ST003.</t>
        </is>
      </c>
      <c r="I17" s="28" t="inlineStr">
        <is>
          <t>1. On Computer X, open ST003 council form and type IT comment 'Draft text on Computer X' (wait for auto-save, do NOT click Save);
2. On Computer Y, log in to same account and open ST003 Semester 1 council form;
3. Verify if draft warning appears</t>
        </is>
      </c>
      <c r="J17" s="28" t="inlineStr">
        <is>
          <t>No 'Unsaved Draft' warning appears on Computer Y, and the IT comment field is empty (or displays the saved Sheets value). Draft is device-specific.</t>
        </is>
      </c>
      <c r="K17" s="28" t="inlineStr">
        <is>
          <t>No 'Unsaved Draft' warning appears on Computer Y, and the IT comment field is empty (or displays the saved Sheets value). Draft is device-specific.</t>
        </is>
      </c>
      <c r="L17" s="24" t="inlineStr">
        <is>
          <t>Passed</t>
        </is>
      </c>
      <c r="M17" s="26" t="inlineStr"/>
      <c r="N17" s="29" t="inlineStr">
        <is>
          <t>Medium</t>
        </is>
      </c>
      <c r="O17" s="28" t="inlineStr">
        <is>
          <t>Related Requirement: M04-F04, Automatic Draft Saving 6.5, Out of Scope 12</t>
        </is>
      </c>
    </row>
    <row r="18" ht="135" customHeight="1">
      <c r="A18" s="21" t="inlineStr">
        <is>
          <t>TC-M04-017</t>
        </is>
      </c>
      <c r="B18" s="21" t="inlineStr">
        <is>
          <t>Module 04</t>
        </is>
      </c>
      <c r="C18" s="22" t="inlineStr">
        <is>
          <t>M04-F03</t>
        </is>
      </c>
      <c r="D18" s="23" t="inlineStr">
        <is>
          <t>Duplicate Record Prevention</t>
        </is>
      </c>
      <c r="E18" s="23" t="inlineStr">
        <is>
          <t>Prevent Duplicate Council Record Creation</t>
        </is>
      </c>
      <c r="F18" s="23" t="inlineStr">
        <is>
          <t>Verify that the system blocks creating a second Class Council record for a student in the same semester.</t>
        </is>
      </c>
      <c r="G18" s="23" t="inlineStr">
        <is>
          <t>Staff user is logged in. A Class Council record already exists for ST001 in Semester 1.</t>
        </is>
      </c>
      <c r="H18" s="23" t="inlineStr">
        <is>
          <t>Student=ST001; Semester=Semester 1</t>
        </is>
      </c>
      <c r="I18" s="23" t="inlineStr">
        <is>
          <t>1. Navigate to Class Council Management;
2. Click Create Council Record;
3. Select Student ST001 and Semester 'Semester 1';
4. Enter General Comment 'Second record test';
5. Click Save</t>
        </is>
      </c>
      <c r="J18" s="23" t="inlineStr">
        <is>
          <t>System rejects creation. Error message appears: 'A council record already exists for this student in Semester 1.' Duplicate record is blocked.</t>
        </is>
      </c>
      <c r="K18" s="23" t="inlineStr">
        <is>
          <t>System rejects creation. Error message appears: 'A council record already exists for this student in Semester 1.' Duplicate record is blocked.</t>
        </is>
      </c>
      <c r="L18" s="24" t="inlineStr">
        <is>
          <t>Passed</t>
        </is>
      </c>
      <c r="M18" s="21" t="inlineStr"/>
      <c r="N18" s="25" t="inlineStr">
        <is>
          <t>High</t>
        </is>
      </c>
      <c r="O18" s="23" t="inlineStr">
        <is>
          <t>Related Requirement: M04-F03, Business Rule 6.1</t>
        </is>
      </c>
    </row>
    <row r="19" ht="135" customHeight="1">
      <c r="A19" s="26" t="inlineStr">
        <is>
          <t>TC-M04-018</t>
        </is>
      </c>
      <c r="B19" s="26" t="inlineStr">
        <is>
          <t>Module 04</t>
        </is>
      </c>
      <c r="C19" s="27" t="inlineStr">
        <is>
          <t>M04-F03</t>
        </is>
      </c>
      <c r="D19" s="28" t="inlineStr">
        <is>
          <t>Duplicate Record Prevention</t>
        </is>
      </c>
      <c r="E19" s="28" t="inlineStr">
        <is>
          <t>Allow Council Record in Different Semester</t>
        </is>
      </c>
      <c r="F19" s="28" t="inlineStr">
        <is>
          <t>Verify that the system allows creating a council record for a student in Semester 2 even if a record exists in Semester 1.</t>
        </is>
      </c>
      <c r="G19" s="28" t="inlineStr">
        <is>
          <t>Staff user is logged in. Council record exists for ST001 in Semester 1. No record exists for ST001 in Semester 2.</t>
        </is>
      </c>
      <c r="H19" s="28" t="inlineStr">
        <is>
          <t>Student=ST001; Semester=Semester 2; GeneralComment=Progressing well in term 2</t>
        </is>
      </c>
      <c r="I19" s="28" t="inlineStr">
        <is>
          <t>1. Navigate to Class Council Management;
2. Click Create Council Record;
3. Select Student ST001 and Semester 'Semester 2';
4. Enter General Comment 'Progressing well in term 2';
5. Click Save</t>
        </is>
      </c>
      <c r="J19" s="28" t="inlineStr">
        <is>
          <t>The record for Semester 2 is saved successfully. ST001 now has two distinct records for Semester 1 and Semester 2.</t>
        </is>
      </c>
      <c r="K19" s="28" t="inlineStr">
        <is>
          <t>The record for Semester 2 is saved successfully. ST001 now has two distinct records for Semester 1 and Semester 2.</t>
        </is>
      </c>
      <c r="L19" s="24" t="inlineStr">
        <is>
          <t>Passed</t>
        </is>
      </c>
      <c r="M19" s="26" t="inlineStr"/>
      <c r="N19" s="25" t="inlineStr">
        <is>
          <t>High</t>
        </is>
      </c>
      <c r="O19" s="28" t="inlineStr">
        <is>
          <t>Related Requirement: M04-F03, Business Rule 6.1</t>
        </is>
      </c>
    </row>
    <row r="20" ht="75" customHeight="1">
      <c r="A20" s="21" t="inlineStr">
        <is>
          <t>TC-M04-019</t>
        </is>
      </c>
      <c r="B20" s="21" t="inlineStr">
        <is>
          <t>Module 04</t>
        </is>
      </c>
      <c r="C20" s="22" t="inlineStr">
        <is>
          <t>M04-F08</t>
        </is>
      </c>
      <c r="D20" s="23" t="inlineStr">
        <is>
          <t>PDF Report Export</t>
        </is>
      </c>
      <c r="E20" s="23" t="inlineStr">
        <is>
          <t>Hide Trend Chart in Semester 1 PDF Export</t>
        </is>
      </c>
      <c r="F20" s="23" t="inlineStr">
        <is>
          <t>Verify that trend charts are not displayed in PDF exports for Semester 1 records due to lack of historical data.</t>
        </is>
      </c>
      <c r="G20" s="23" t="inlineStr">
        <is>
          <t>Staff user is logged in. Council record for ST001 in Semester 1 exists.</t>
        </is>
      </c>
      <c r="H20" s="23" t="inlineStr">
        <is>
          <t>Student=ST001; Semester=Semester 1</t>
        </is>
      </c>
      <c r="I20" s="23" t="inlineStr">
        <is>
          <t>1. Open council record for ST001 in Semester 1;
2. Click Export PDF;
3. Open and inspect the downloaded PDF report</t>
        </is>
      </c>
      <c r="J20" s="23" t="inlineStr">
        <is>
          <t>PDF report generates successfully. Student details and comments are present. Trend chart section is omitted/not displayed for Semester 1.</t>
        </is>
      </c>
      <c r="K20" s="23" t="inlineStr">
        <is>
          <t>PDF report generates successfully. Student details and comments are present. Trend chart section is omitted/not displayed for Semester 1.</t>
        </is>
      </c>
      <c r="L20" s="24" t="inlineStr">
        <is>
          <t>Passed</t>
        </is>
      </c>
      <c r="M20" s="21" t="inlineStr"/>
      <c r="N20" s="29" t="inlineStr">
        <is>
          <t>Medium</t>
        </is>
      </c>
      <c r="O20" s="23" t="inlineStr">
        <is>
          <t>Related Requirement: M04-F08, Business Rule 6.10</t>
        </is>
      </c>
    </row>
    <row r="21" ht="75" customHeight="1">
      <c r="A21" s="26" t="inlineStr">
        <is>
          <t>TC-M04-020</t>
        </is>
      </c>
      <c r="B21" s="26" t="inlineStr">
        <is>
          <t>Module 04</t>
        </is>
      </c>
      <c r="C21" s="27" t="inlineStr">
        <is>
          <t>M04-F08</t>
        </is>
      </c>
      <c r="D21" s="28" t="inlineStr">
        <is>
          <t>PDF Report Export</t>
        </is>
      </c>
      <c r="E21" s="28" t="inlineStr">
        <is>
          <t>Display Trend Chart in Semester 2 PDF Export</t>
        </is>
      </c>
      <c r="F21" s="28" t="inlineStr">
        <is>
          <t>Verify that trend charts are automatically generated and displayed in PDF exports for Semester 2 when historical data exists.</t>
        </is>
      </c>
      <c r="G21" s="28" t="inlineStr">
        <is>
          <t>Staff user is logged in. Council records exist for ST001 in both Semester 1 and Semester 2.</t>
        </is>
      </c>
      <c r="H21" s="28" t="inlineStr">
        <is>
          <t>Student=ST001; Semester=Semester 2</t>
        </is>
      </c>
      <c r="I21" s="28" t="inlineStr">
        <is>
          <t>1. Open council record for ST001 in Semester 2;
2. Click Export PDF;
3. Open and inspect the downloaded PDF report</t>
        </is>
      </c>
      <c r="J21" s="28" t="inlineStr">
        <is>
          <t>PDF report generates successfully. Evaluation trend chart comparing Semester 1 and Semester 2 is displayed in the report.</t>
        </is>
      </c>
      <c r="K21" s="28" t="inlineStr">
        <is>
          <t>PDF report generates successfully. Evaluation trend chart comparing Semester 1 and Semester 2 is displayed in the report.</t>
        </is>
      </c>
      <c r="L21" s="24" t="inlineStr">
        <is>
          <t>Passed</t>
        </is>
      </c>
      <c r="M21" s="26" t="inlineStr"/>
      <c r="N21" s="29" t="inlineStr">
        <is>
          <t>Medium</t>
        </is>
      </c>
      <c r="O21" s="28" t="inlineStr">
        <is>
          <t>Related Requirement: M04-F08, Business Rule 6.10</t>
        </is>
      </c>
    </row>
    <row r="22" ht="135" customHeight="1">
      <c r="A22" s="21" t="inlineStr">
        <is>
          <t>TC-M04-021</t>
        </is>
      </c>
      <c r="B22" s="21" t="inlineStr">
        <is>
          <t>Module 04</t>
        </is>
      </c>
      <c r="C22" s="22" t="inlineStr">
        <is>
          <t>M04-F02</t>
        </is>
      </c>
      <c r="D22" s="23" t="inlineStr">
        <is>
          <t>Academic Warning Flag</t>
        </is>
      </c>
      <c r="E22" s="23" t="inlineStr">
        <is>
          <t>Deactivate Academic Warning Flag and Clear Reason</t>
        </is>
      </c>
      <c r="F22" s="23" t="inlineStr">
        <is>
          <t>Verify that unchecking the Academic Warning flag removes the warning badge and clears the warning reason upon saving.</t>
        </is>
      </c>
      <c r="G22" s="23" t="inlineStr">
        <is>
          <t>Staff user is logged in. Student ST001 has an active academic warning with reason 'Attendance below required level'.</t>
        </is>
      </c>
      <c r="H22" s="23" t="inlineStr">
        <is>
          <t>Student=ST001; Semester=Semester 1; Warning=False; WarningReason=''</t>
        </is>
      </c>
      <c r="I22" s="23" t="inlineStr">
        <is>
          <t>1. Open council record for ST001 in Semester 1;
2. Uncheck the 'Academic Warning' checkbox;
3. Clear the Warning Reason text box;
4. Click Save;
5. Observe student list row for ST001</t>
        </is>
      </c>
      <c r="J22" s="23" t="inlineStr">
        <is>
          <t>Record updates successfully. Warning badge (⚠) is removed from ST001 in the list view. Warning reason is cleared.</t>
        </is>
      </c>
      <c r="K22" s="23" t="inlineStr">
        <is>
          <t>Record updates successfully. Warning badge (⚠) is removed from ST001 in the list view. Warning reason is cleared.</t>
        </is>
      </c>
      <c r="L22" s="24" t="inlineStr">
        <is>
          <t>Passed</t>
        </is>
      </c>
      <c r="M22" s="21" t="inlineStr"/>
      <c r="N22" s="29" t="inlineStr">
        <is>
          <t>Medium</t>
        </is>
      </c>
      <c r="O22" s="23" t="inlineStr">
        <is>
          <t>Related Requirement: M04-F02, Business Rule 6.3, 6.4</t>
        </is>
      </c>
    </row>
    <row r="23" ht="150" customHeight="1">
      <c r="A23" s="26" t="inlineStr">
        <is>
          <t>TC-M04-022</t>
        </is>
      </c>
      <c r="B23" s="26" t="inlineStr">
        <is>
          <t>Module 04</t>
        </is>
      </c>
      <c r="C23" s="27" t="inlineStr">
        <is>
          <t>M04-F01</t>
        </is>
      </c>
      <c r="D23" s="28" t="inlineStr">
        <is>
          <t>Council Feedback Record</t>
        </is>
      </c>
      <c r="E23" s="28" t="inlineStr">
        <is>
          <t>Update Existing Class Council Evaluation Comments</t>
        </is>
      </c>
      <c r="F23" s="28" t="inlineStr">
        <is>
          <t>Verify that staff can open an existing council record and update feedback comments from multiple departments.</t>
        </is>
      </c>
      <c r="G23" s="28" t="inlineStr">
        <is>
          <t>Staff user is logged in. Record for ST001 in Semester 1 exists with initial IT Comment 'Good'.</t>
        </is>
      </c>
      <c r="H23" s="28" t="inlineStr">
        <is>
          <t>Student=ST001; Semester=Semester 1; ITComment=Outstanding programming progress; EnglishComment=Improved presentation skills</t>
        </is>
      </c>
      <c r="I23" s="28" t="inlineStr">
        <is>
          <t>1. Navigate to Class Council Management;
2. Open edit form for ST001 Semester 1 record;
3. Update IT Comment to 'Outstanding programming progress';
4. Update English Comment to 'Improved presentation skills';
5. Click Save</t>
        </is>
      </c>
      <c r="J23" s="28" t="inlineStr">
        <is>
          <t>Record updates successfully. New comments are persisted. Badges 'IT' and 'EN' remain active on the student list.</t>
        </is>
      </c>
      <c r="K23" s="28" t="inlineStr">
        <is>
          <t>Record updates successfully. New comments are persisted. Badges 'IT' and 'EN' remain active on the student list.</t>
        </is>
      </c>
      <c r="L23" s="24" t="inlineStr">
        <is>
          <t>Passed</t>
        </is>
      </c>
      <c r="M23" s="26" t="inlineStr"/>
      <c r="N23" s="25" t="inlineStr">
        <is>
          <t>High</t>
        </is>
      </c>
      <c r="O23" s="28" t="inlineStr">
        <is>
          <t>Related Requirement: M04-F01</t>
        </is>
      </c>
    </row>
    <row r="24" ht="120" customHeight="1">
      <c r="A24" s="21" t="inlineStr">
        <is>
          <t>TC-M04-023</t>
        </is>
      </c>
      <c r="B24" s="21" t="inlineStr">
        <is>
          <t>Module 04</t>
        </is>
      </c>
      <c r="C24" s="22" t="inlineStr">
        <is>
          <t>M04-F01</t>
        </is>
      </c>
      <c r="D24" s="23" t="inlineStr">
        <is>
          <t>Council Feedback Record</t>
        </is>
      </c>
      <c r="E24" s="23" t="inlineStr">
        <is>
          <t>Block Saving Council Record Without Student</t>
        </is>
      </c>
      <c r="F24" s="23" t="inlineStr">
        <is>
          <t>Verify that the system enforces student selection as a required field when creating a council record.</t>
        </is>
      </c>
      <c r="G24" s="23" t="inlineStr">
        <is>
          <t>Staff user is logged in.</t>
        </is>
      </c>
      <c r="H24" s="23" t="inlineStr">
        <is>
          <t>Student=Unselected; Semester=Semester 1; GeneralComment=Test comment</t>
        </is>
      </c>
      <c r="I24" s="23" t="inlineStr">
        <is>
          <t>1. Open Create Council Record form;
2. Leave Student unselected;
3. Select Semester 'Semester 1';
4. Enter General Comment 'Test comment';
5. Click Save</t>
        </is>
      </c>
      <c r="J24" s="23" t="inlineStr">
        <is>
          <t>Form submission is blocked. Validation error message appears: 'Student is required.' Record is not saved.</t>
        </is>
      </c>
      <c r="K24" s="23" t="inlineStr">
        <is>
          <t>Form submission is blocked. Validation error message appears: 'Student is required.' Record is not saved.</t>
        </is>
      </c>
      <c r="L24" s="24" t="inlineStr">
        <is>
          <t>Passed</t>
        </is>
      </c>
      <c r="M24" s="21" t="inlineStr"/>
      <c r="N24" s="25" t="inlineStr">
        <is>
          <t>High</t>
        </is>
      </c>
      <c r="O24" s="23" t="inlineStr">
        <is>
          <t>Related Requirement: Validation Rules 7</t>
        </is>
      </c>
    </row>
    <row r="25" ht="120" customHeight="1">
      <c r="A25" s="26" t="inlineStr">
        <is>
          <t>TC-M04-024</t>
        </is>
      </c>
      <c r="B25" s="26" t="inlineStr">
        <is>
          <t>Module 04</t>
        </is>
      </c>
      <c r="C25" s="27" t="inlineStr">
        <is>
          <t>M04-F01</t>
        </is>
      </c>
      <c r="D25" s="28" t="inlineStr">
        <is>
          <t>Council Feedback Record</t>
        </is>
      </c>
      <c r="E25" s="28" t="inlineStr">
        <is>
          <t>Block Saving Council Record Without Semester</t>
        </is>
      </c>
      <c r="F25" s="28" t="inlineStr">
        <is>
          <t>Verify that the system enforces semester selection as a required field when creating a council record.</t>
        </is>
      </c>
      <c r="G25" s="28" t="inlineStr">
        <is>
          <t>Staff user is logged in. Student ST001 exists.</t>
        </is>
      </c>
      <c r="H25" s="28" t="inlineStr">
        <is>
          <t>Student=ST001; Semester=Unselected; GeneralComment=Test comment</t>
        </is>
      </c>
      <c r="I25" s="28" t="inlineStr">
        <is>
          <t>1. Open Create Council Record form;
2. Select Student ST001;
3. Leave Semester unselected;
4. Enter General Comment 'Test comment';
5. Click Save</t>
        </is>
      </c>
      <c r="J25" s="28" t="inlineStr">
        <is>
          <t>Form submission is blocked. Validation error message appears: 'Semester is required.' Record is not saved.</t>
        </is>
      </c>
      <c r="K25" s="28" t="inlineStr">
        <is>
          <t>Form submission is blocked. Validation error message appears: 'Semester is required.' Record is not saved.</t>
        </is>
      </c>
      <c r="L25" s="24" t="inlineStr">
        <is>
          <t>Passed</t>
        </is>
      </c>
      <c r="M25" s="26" t="inlineStr"/>
      <c r="N25" s="25" t="inlineStr">
        <is>
          <t>High</t>
        </is>
      </c>
      <c r="O25" s="28" t="inlineStr">
        <is>
          <t>Related Requirement: Validation Rules 7</t>
        </is>
      </c>
    </row>
    <row r="26" ht="120" customHeight="1">
      <c r="A26" s="21" t="inlineStr">
        <is>
          <t>TC-M04-025</t>
        </is>
      </c>
      <c r="B26" s="21" t="inlineStr">
        <is>
          <t>Module 04</t>
        </is>
      </c>
      <c r="C26" s="22" t="inlineStr">
        <is>
          <t>M04-F06</t>
        </is>
      </c>
      <c r="D26" s="23" t="inlineStr">
        <is>
          <t>Batch Feedback Entry</t>
        </is>
      </c>
      <c r="E26" s="23" t="inlineStr">
        <is>
          <t>Clear Comment Field Across Multiple Students via Batch Entry</t>
        </is>
      </c>
      <c r="F26" s="23" t="inlineStr">
        <is>
          <t>Staff user is logged in. Students ST001 and ST002 have existing PLT comments.</t>
        </is>
      </c>
      <c r="G26" s="23" t="inlineStr">
        <is>
          <t>Batch=PNV26A; Semester=Semester 1; FeedbackType=PLT Comment; Comments='' for ST001 and ST002</t>
        </is>
      </c>
      <c r="H26" s="23" t="inlineStr">
        <is>
          <t>1. Open Batch Feedback page;
2. Select Batch PNV26A, Semester 'Semester 1', and Feedback Type 'PLT Comment';
3. Clear comments for ST001 and ST002 in the grid;
4. Click Save All</t>
        </is>
      </c>
      <c r="I26" s="23" t="inlineStr">
        <is>
          <t>Batch update succeeds. PLT comments for ST001 and ST002 are removed</t>
        </is>
      </c>
      <c r="J26" s="23" t="inlineStr">
        <is>
          <t>and 'PLT' badge is deactivated for both students.</t>
        </is>
      </c>
      <c r="K26" s="23" t="inlineStr">
        <is>
          <t>and 'PLT' badge is deactivated for both students.</t>
        </is>
      </c>
      <c r="L26" s="24" t="inlineStr">
        <is>
          <t>Passed</t>
        </is>
      </c>
      <c r="M26" s="21" t="inlineStr"/>
      <c r="N26" s="29" t="inlineStr">
        <is>
          <t>Medium</t>
        </is>
      </c>
      <c r="O26" s="23" t="inlineStr">
        <is>
          <t>Related Requirement: M04-F06, Business Rule 6.4, 6.7</t>
        </is>
      </c>
    </row>
    <row r="27" ht="120" customHeight="1">
      <c r="A27" s="26" t="inlineStr">
        <is>
          <t>TC-M04-026</t>
        </is>
      </c>
      <c r="B27" s="26" t="inlineStr">
        <is>
          <t>Module 04</t>
        </is>
      </c>
      <c r="C27" s="27" t="inlineStr">
        <is>
          <t>M04-F06</t>
        </is>
      </c>
      <c r="D27" s="28" t="inlineStr">
        <is>
          <t>Batch Feedback Entry</t>
        </is>
      </c>
      <c r="E27" s="28" t="inlineStr">
        <is>
          <t>Save Batch Feedback Without Modifying Any Comments</t>
        </is>
      </c>
      <c r="F27" s="28" t="inlineStr">
        <is>
          <t>Verify system behavior when clicking Save All in batch mode without modifying any student comments.</t>
        </is>
      </c>
      <c r="G27" s="28" t="inlineStr">
        <is>
          <t>Staff user is logged in. Batch PNV26A has 5 active students.</t>
        </is>
      </c>
      <c r="H27" s="28" t="inlineStr">
        <is>
          <t>Batch=PNV26A; Semester=Semester 1; FeedbackType=General Comment; No edits made</t>
        </is>
      </c>
      <c r="I27" s="28" t="inlineStr">
        <is>
          <t>1. Open Batch Feedback page;
2. Select Batch PNV26A, Semester 'Semester 1', and Feedback Type 'General Comment';
3. Do NOT edit any comment cells;
4. Click Save All</t>
        </is>
      </c>
      <c r="J27" s="28" t="inlineStr">
        <is>
          <t>System notifies 'No changes to save' or successfully processes 0 updates without errors. Existing data remains unchanged.</t>
        </is>
      </c>
      <c r="K27" s="28" t="inlineStr">
        <is>
          <t>System notifies 'No changes to save' or successfully processes 0 updates without errors. Existing data remains unchanged.</t>
        </is>
      </c>
      <c r="L27" s="24" t="inlineStr">
        <is>
          <t>Passed</t>
        </is>
      </c>
      <c r="M27" s="26" t="inlineStr"/>
      <c r="N27" s="24" t="inlineStr">
        <is>
          <t>Low</t>
        </is>
      </c>
      <c r="O27" s="28" t="inlineStr">
        <is>
          <t>Related Requirement: M04-F06</t>
        </is>
      </c>
    </row>
    <row r="28" ht="105" customHeight="1">
      <c r="A28" s="21" t="inlineStr">
        <is>
          <t>TC-M04-027</t>
        </is>
      </c>
      <c r="B28" s="21" t="inlineStr">
        <is>
          <t>Module 04</t>
        </is>
      </c>
      <c r="C28" s="22" t="inlineStr">
        <is>
          <t>M04-F07</t>
        </is>
      </c>
      <c r="D28" s="23" t="inlineStr">
        <is>
          <t>Concurrent Edit Conflict Handling</t>
        </is>
      </c>
      <c r="E28" s="23" t="inlineStr">
        <is>
          <t>Handle Concurrent Edits When Both Users Enter Identical Text</t>
        </is>
      </c>
      <c r="F28" s="23" t="inlineStr">
        <is>
          <t>Verify that when two teachers edit the same comment field with identical text</t>
        </is>
      </c>
      <c r="G28" s="23" t="inlineStr">
        <is>
          <t>Teacher A and Teacher B are logged in. ST001 has GeneralComment='Initial state'.</t>
        </is>
      </c>
      <c r="H28" s="23" t="inlineStr">
        <is>
          <t>ST001 record in Semester 1; Teacher B saves ITComment='Excellent'; Teacher A saves ITComment='Excellent'</t>
        </is>
      </c>
      <c r="I28" s="23" t="inlineStr">
        <is>
          <t>1. Teacher A and Teacher B open ST001 edit form concurrently;
2. Teacher B enters IT Comment 'Excellent' and saves first;
3. Teacher A enters identical IT Comment 'Excellent' and saves second</t>
        </is>
      </c>
      <c r="J28" s="23" t="inlineStr">
        <is>
          <t>Save succeeds smoothly without error. The field value remains 'Excellent'.</t>
        </is>
      </c>
      <c r="K28" s="23" t="inlineStr">
        <is>
          <t>Save succeeds smoothly without error. The field value remains 'Excellent'.</t>
        </is>
      </c>
      <c r="L28" s="24" t="inlineStr">
        <is>
          <t>Passed</t>
        </is>
      </c>
      <c r="M28" s="21" t="inlineStr"/>
      <c r="N28" s="29" t="inlineStr">
        <is>
          <t>Medium</t>
        </is>
      </c>
      <c r="O28" s="23" t="inlineStr">
        <is>
          <t>Related Requirement: M04-F07, Concurrent Editing 6.8</t>
        </is>
      </c>
    </row>
    <row r="29" ht="120" customHeight="1">
      <c r="A29" s="26" t="inlineStr">
        <is>
          <t>TC-M04-028</t>
        </is>
      </c>
      <c r="B29" s="26" t="inlineStr">
        <is>
          <t>Module 04</t>
        </is>
      </c>
      <c r="C29" s="27" t="inlineStr">
        <is>
          <t>M04-F04</t>
        </is>
      </c>
      <c r="D29" s="28" t="inlineStr">
        <is>
          <t>Auto Draft Saving</t>
        </is>
      </c>
      <c r="E29" s="28" t="inlineStr">
        <is>
          <t>Clear Local Storage Draft After Successful Official Record Save</t>
        </is>
      </c>
      <c r="F29" s="28" t="inlineStr">
        <is>
          <t>Verify that saving an official record successfully purges the local storage draft key for that record.</t>
        </is>
      </c>
      <c r="G29" s="28" t="inlineStr">
        <is>
          <t>Staff user is logged in. Typing in progress for ST001</t>
        </is>
      </c>
      <c r="H29" s="28" t="inlineStr">
        <is>
          <t>Student=ST001; Semester=Semester 1; ITComment=Finalized comment</t>
        </is>
      </c>
      <c r="I29" s="28" t="inlineStr">
        <is>
          <t>1. Open council record for ST001 and type IT Comment 'Finalized comment';
2. Verify draft exists in Local Storage;
3. Click Save button;
4. Open Developer Tools -&gt; Application -&gt; Local Storage</t>
        </is>
      </c>
      <c r="J29" s="28" t="inlineStr">
        <is>
          <t>Record is saved to database. Local Storage draft entry for ST001/Semester 1 is completely deleted upon successful save.</t>
        </is>
      </c>
      <c r="K29" s="28" t="inlineStr">
        <is>
          <t>Record is saved to database. Local Storage draft entry for ST001/Semester 1 is completely deleted upon successful save.</t>
        </is>
      </c>
      <c r="L29" s="24" t="inlineStr">
        <is>
          <t>Passed</t>
        </is>
      </c>
      <c r="M29" s="26" t="inlineStr"/>
      <c r="N29" s="29" t="inlineStr">
        <is>
          <t>Medium</t>
        </is>
      </c>
      <c r="O29" s="28" t="inlineStr">
        <is>
          <t>Related Requirement: M04-F04, M04-F05, Business Rule 6.5</t>
        </is>
      </c>
    </row>
    <row r="30" ht="105" customHeight="1">
      <c r="A30" s="21" t="inlineStr">
        <is>
          <t>TC-M04-029</t>
        </is>
      </c>
      <c r="B30" s="21" t="inlineStr">
        <is>
          <t>Module 04</t>
        </is>
      </c>
      <c r="C30" s="22" t="inlineStr">
        <is>
          <t>M04-SEC</t>
        </is>
      </c>
      <c r="D30" s="23" t="inlineStr">
        <is>
          <t>Access Control &amp; Security</t>
        </is>
      </c>
      <c r="E30" s="23" t="inlineStr">
        <is>
          <t>Block Student Account From Accessing Council Edit Forms</t>
        </is>
      </c>
      <c r="F30" s="23" t="inlineStr">
        <is>
          <t>Verify that student user accounts cannot access Class Council edit pages or perform save actions.</t>
        </is>
      </c>
      <c r="G30" s="23" t="inlineStr">
        <is>
          <t>User is authenticated with a valid Student account.</t>
        </is>
      </c>
      <c r="H30" s="23" t="inlineStr">
        <is>
          <t>UserRole=Student; TargetURL=/class-council/edit/ST001</t>
        </is>
      </c>
      <c r="I30" s="23" t="inlineStr">
        <is>
          <t>1. Log in with student account;
2. Attempt to directly navigate to Class Council Edit URL (/class-council/edit/ST001);
3. Attempt to invoke council record save API</t>
        </is>
      </c>
      <c r="J30" s="23" t="inlineStr">
        <is>
          <t>Access is denied. Page redirects to dashboard or displays '403 Forbidden / Access Denied'. API request is rejected.</t>
        </is>
      </c>
      <c r="K30" s="23" t="inlineStr">
        <is>
          <t>Access is denied. Page redirects to dashboard or displays '403 Forbidden / Access Denied'. API request is rejected.</t>
        </is>
      </c>
      <c r="L30" s="24" t="inlineStr">
        <is>
          <t>Passed</t>
        </is>
      </c>
      <c r="M30" s="21" t="inlineStr"/>
      <c r="N30" s="25" t="inlineStr">
        <is>
          <t>High</t>
        </is>
      </c>
      <c r="O30" s="23" t="inlineStr">
        <is>
          <t>Related Requirement: General Rules, User Roles</t>
        </is>
      </c>
    </row>
    <row r="31" ht="120" customHeight="1">
      <c r="A31" s="26" t="inlineStr">
        <is>
          <t>TC-M04-030</t>
        </is>
      </c>
      <c r="B31" s="26" t="inlineStr">
        <is>
          <t>Module 04</t>
        </is>
      </c>
      <c r="C31" s="27" t="inlineStr">
        <is>
          <t>M04-F08</t>
        </is>
      </c>
      <c r="D31" s="28" t="inlineStr">
        <is>
          <t>PDF Report Export</t>
        </is>
      </c>
      <c r="E31" s="28" t="inlineStr">
        <is>
          <t>Export Batch Class Council Reports to Combined Package</t>
        </is>
      </c>
      <c r="F31" s="28" t="inlineStr">
        <is>
          <t>Verify that staff can select a batch and export all student council reports for a semester in one click.</t>
        </is>
      </c>
      <c r="G31" s="28" t="inlineStr">
        <is>
          <t>Staff user is logged in. Batch PNV26A has 5 students with saved council records in Semester 1.</t>
        </is>
      </c>
      <c r="H31" s="28" t="inlineStr">
        <is>
          <t>Batch=PNV26A; Semester=Semester 1; ExportType=Batch PDF</t>
        </is>
      </c>
      <c r="I31" s="28" t="inlineStr">
        <is>
          <t>1. Open Class Council Overview;
2. Filter by Batch PNV26A and Semester 'Semester 1';
3. Click 'Export Batch Reports (PDF)';
4. Download and extract/open exported file</t>
        </is>
      </c>
      <c r="J31" s="28" t="inlineStr">
        <is>
          <t>Combined archive or PDF containing reports for all 5 students downloads successfully. All reports are complete and accurate.</t>
        </is>
      </c>
      <c r="K31" s="28" t="inlineStr">
        <is>
          <t>Combined archive or PDF containing reports for all 5 students downloads successfully. All reports are complete and accurate.</t>
        </is>
      </c>
      <c r="L31" s="24" t="inlineStr">
        <is>
          <t>Passed</t>
        </is>
      </c>
      <c r="M31" s="26" t="inlineStr"/>
      <c r="N31" s="29" t="inlineStr">
        <is>
          <t>Medium</t>
        </is>
      </c>
      <c r="O31" s="28" t="inlineStr">
        <is>
          <t>Related Requirement: M04-F08, PDF Export 6.9</t>
        </is>
      </c>
    </row>
    <row r="32" ht="120" customHeight="1">
      <c r="A32" s="21" t="inlineStr">
        <is>
          <t>TC-M04-031</t>
        </is>
      </c>
      <c r="B32" s="21" t="inlineStr">
        <is>
          <t>Module 04</t>
        </is>
      </c>
      <c r="C32" s="22" t="inlineStr">
        <is>
          <t>M04-F05</t>
        </is>
      </c>
      <c r="D32" s="23" t="inlineStr">
        <is>
          <t>Draft Recovery / Discard</t>
        </is>
      </c>
      <c r="E32" s="23" t="inlineStr">
        <is>
          <t>Discard Draft Changes Manually via Form Action Button</t>
        </is>
      </c>
      <c r="F32" s="23" t="inlineStr">
        <is>
          <t>Verify that staff can discard active local draft edits at any time using the 'Discard Draft' button on the form.</t>
        </is>
      </c>
      <c r="G32" s="23" t="inlineStr">
        <is>
          <t>Staff user is logged in. Council record for ST001 has saved ITComment='Saved IT Comment'. Local draft has ITComment='Unsaved edit'.</t>
        </is>
      </c>
      <c r="H32" s="23" t="inlineStr">
        <is>
          <t>Student=ST001; Semester=Semester 1</t>
        </is>
      </c>
      <c r="I32" s="23" t="inlineStr">
        <is>
          <t>1. Open council record for ST001;
2. Observe unsaved draft text 'Unsaved edit' in IT Comment field;
3. Click 'Discard Draft' button in form header;
4. Confirm discard action in modal prompt</t>
        </is>
      </c>
      <c r="J32" s="23" t="inlineStr">
        <is>
          <t>Unsaved local draft is discarded. IT Comment field immediately reverts to 'Saved IT Comment'. Local storage key is cleared.</t>
        </is>
      </c>
      <c r="K32" s="23" t="inlineStr">
        <is>
          <t>Unsaved local draft is discarded. IT Comment field immediately reverts to 'Saved IT Comment'. Local storage key is cleared.</t>
        </is>
      </c>
      <c r="L32" s="24" t="inlineStr">
        <is>
          <t>Passed</t>
        </is>
      </c>
      <c r="M32" s="21" t="inlineStr"/>
      <c r="N32" s="29" t="inlineStr">
        <is>
          <t>Medium</t>
        </is>
      </c>
      <c r="O32" s="23" t="inlineStr">
        <is>
          <t>Related Requirement: M04-F05, Business Rule 6.6</t>
        </is>
      </c>
    </row>
    <row r="33" ht="120" customHeight="1">
      <c r="A33" s="26" t="inlineStr">
        <is>
          <t>TC-M04-032</t>
        </is>
      </c>
      <c r="B33" s="26" t="inlineStr">
        <is>
          <t>Module 04</t>
        </is>
      </c>
      <c r="C33" s="27" t="inlineStr">
        <is>
          <t>M04-F04</t>
        </is>
      </c>
      <c r="D33" s="28" t="inlineStr">
        <is>
          <t>Auto Draft Saving</t>
        </is>
      </c>
      <c r="E33" s="28" t="inlineStr">
        <is>
          <t>Retain Draft Comments in Local Storage During Network Disconnection</t>
        </is>
      </c>
      <c r="F33" s="28" t="inlineStr">
        <is>
          <t>Verify that local draft auto-saving continues working seamlessly when user loses internet connection.</t>
        </is>
      </c>
      <c r="G33" s="28" t="inlineStr">
        <is>
          <t>Staff user is logged in and editing council record for ST002.</t>
        </is>
      </c>
      <c r="H33" s="28" t="inlineStr">
        <is>
          <t>Student=ST002; Semester=Semester 1; ITComment=Offline draft comment</t>
        </is>
      </c>
      <c r="I33" s="28" t="inlineStr">
        <is>
          <t>1. Open council record for ST002;
2. Disconnect internet network connection;
3. Type IT Comment 'Offline draft comment';
4. Observe local storage and UI offline indicator</t>
        </is>
      </c>
      <c r="J33" s="28" t="inlineStr">
        <is>
          <t>System indicates offline status. Comment text 'Offline draft comment' is safely stored in browser Local Storage without data loss.</t>
        </is>
      </c>
      <c r="K33" s="28" t="inlineStr">
        <is>
          <t>System indicates offline status. Comment text 'Offline draft comment' is safely stored in browser Local Storage without data loss.</t>
        </is>
      </c>
      <c r="L33" s="24" t="inlineStr">
        <is>
          <t>Passed</t>
        </is>
      </c>
      <c r="M33" s="26" t="inlineStr"/>
      <c r="N33" s="24" t="inlineStr">
        <is>
          <t>Low</t>
        </is>
      </c>
      <c r="O33" s="28" t="inlineStr">
        <is>
          <t>Related Requirement: M04-F04, Business Rule 6.5</t>
        </is>
      </c>
    </row>
    <row r="34" ht="75" customHeight="1">
      <c r="A34" s="21" t="inlineStr">
        <is>
          <t>TC-M04-033</t>
        </is>
      </c>
      <c r="B34" s="21" t="inlineStr">
        <is>
          <t>Module 04</t>
        </is>
      </c>
      <c r="C34" s="22" t="inlineStr">
        <is>
          <t>M04-F08</t>
        </is>
      </c>
      <c r="D34" s="23" t="inlineStr">
        <is>
          <t>PDF Report Export</t>
        </is>
      </c>
      <c r="E34" s="23" t="inlineStr">
        <is>
          <t>Export PDF Report for Council Record with Partial Comments</t>
        </is>
      </c>
      <c r="F34" s="23" t="inlineStr">
        <is>
          <t>Verify that exporting a PDF report works properly even if some optional department comments are left blank.</t>
        </is>
      </c>
      <c r="G34" s="23" t="inlineStr">
        <is>
          <t>Staff user is logged in. ST002 has a saved council record with only IT Comment filled (others empty).</t>
        </is>
      </c>
      <c r="H34" s="23" t="inlineStr">
        <is>
          <t>Student=ST002; Semester=Semester 1</t>
        </is>
      </c>
      <c r="I34" s="23" t="inlineStr">
        <is>
          <t>1. Open council record for ST002 in Semester 1;
2. Click Export PDF;
3. Download and inspect PDF report</t>
        </is>
      </c>
      <c r="J34" s="23" t="inlineStr">
        <is>
          <t>PDF report exports successfully without errors. Blank comment sections display 'N/A' or remain neatly empty without breaking PDF layout.</t>
        </is>
      </c>
      <c r="K34" s="23" t="inlineStr">
        <is>
          <t>PDF report exports successfully without errors. Blank comment sections display 'N/A' or remain neatly empty without breaking PDF layout.</t>
        </is>
      </c>
      <c r="L34" s="24" t="inlineStr">
        <is>
          <t>Passed</t>
        </is>
      </c>
      <c r="M34" s="21" t="inlineStr"/>
      <c r="N34" s="29" t="inlineStr">
        <is>
          <t>Medium</t>
        </is>
      </c>
      <c r="O34" s="23" t="inlineStr">
        <is>
          <t>Related Requirement: M04-F08, Business Rule 6.2, 6.9</t>
        </is>
      </c>
    </row>
  </sheetData>
  <autoFilter ref="A1:O34"/>
  <dataValidations count="2">
    <dataValidation sqref="L2:L134" showDropDown="0" showInputMessage="0" showErrorMessage="0" allowBlank="1" errorTitle="Invalid Status" error="Please select a valid state: Passed, Failed, or Not Run" type="list">
      <formula1>"Passed,Failed,Not Run"</formula1>
    </dataValidation>
    <dataValidation sqref="N2:N134" showDropDown="0" showInputMessage="0" showErrorMessage="0" allowBlank="1" errorTitle="Invalid Priority" error="Please select a valid priority: High, Medium, or Low" type="list">
      <formula1>"High,Medium,Low"</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4"/>
  <sheetViews>
    <sheetView showGridLines="1" workbookViewId="0">
      <selection activeCell="A1" sqref="A1"/>
    </sheetView>
  </sheetViews>
  <sheetFormatPr baseColWidth="8" defaultRowHeight="15"/>
  <cols>
    <col width="15" customWidth="1" min="1" max="1"/>
    <col width="14" customWidth="1" min="2" max="2"/>
    <col width="14" customWidth="1" min="3" max="3"/>
    <col width="28" customWidth="1" min="4" max="4"/>
    <col width="32" customWidth="1" min="5" max="5"/>
    <col width="36" customWidth="1" min="6" max="6"/>
    <col width="30" customWidth="1" min="7" max="7"/>
    <col width="28" customWidth="1" min="8" max="8"/>
    <col width="48" customWidth="1" min="9" max="9"/>
    <col width="48" customWidth="1" min="10" max="10"/>
    <col width="36" customWidth="1" min="11" max="11"/>
    <col width="16" customWidth="1" min="12" max="12"/>
    <col width="25" customWidth="1" min="13" max="13"/>
    <col width="14" customWidth="1" min="14" max="14"/>
    <col width="32" customWidth="1" min="15" max="15"/>
  </cols>
  <sheetData>
    <row r="1" ht="28" customHeight="1">
      <c r="A1" s="20" t="inlineStr">
        <is>
          <t>ID</t>
        </is>
      </c>
      <c r="B1" s="20" t="inlineStr">
        <is>
          <t>Module</t>
        </is>
      </c>
      <c r="C1" s="20" t="inlineStr">
        <is>
          <t>Feature ID</t>
        </is>
      </c>
      <c r="D1" s="20" t="inlineStr">
        <is>
          <t>Feature Name</t>
        </is>
      </c>
      <c r="E1" s="20" t="inlineStr">
        <is>
          <t>Title</t>
        </is>
      </c>
      <c r="F1" s="20" t="inlineStr">
        <is>
          <t>Objective</t>
        </is>
      </c>
      <c r="G1" s="20" t="inlineStr">
        <is>
          <t>Preconditions</t>
        </is>
      </c>
      <c r="H1" s="20" t="inlineStr">
        <is>
          <t>TestData</t>
        </is>
      </c>
      <c r="I1" s="20" t="inlineStr">
        <is>
          <t>Steps</t>
        </is>
      </c>
      <c r="J1" s="20" t="inlineStr">
        <is>
          <t>ExpectedResult</t>
        </is>
      </c>
      <c r="K1" s="20" t="inlineStr">
        <is>
          <t>Actual Result</t>
        </is>
      </c>
      <c r="L1" s="20" t="inlineStr">
        <is>
          <t>Status</t>
        </is>
      </c>
      <c r="M1" s="20" t="inlineStr">
        <is>
          <t>Evidence</t>
        </is>
      </c>
      <c r="N1" s="20" t="inlineStr">
        <is>
          <t>Priority</t>
        </is>
      </c>
      <c r="O1" s="20" t="inlineStr">
        <is>
          <t>Notes</t>
        </is>
      </c>
    </row>
    <row r="2" ht="165" customHeight="1">
      <c r="A2" s="21" t="inlineStr">
        <is>
          <t>TC-M05-001</t>
        </is>
      </c>
      <c r="B2" s="21" t="inlineStr">
        <is>
          <t>Module 05 - Internship Management</t>
        </is>
      </c>
      <c r="C2" s="22" t="inlineStr">
        <is>
          <t>M05-F01</t>
        </is>
      </c>
      <c r="D2" s="23" t="inlineStr">
        <is>
          <t>Internship Group Creation</t>
        </is>
      </c>
      <c r="E2" s="23" t="inlineStr">
        <is>
          <t>Create New Internship Group with Valid Information</t>
        </is>
      </c>
      <c r="F2" s="23" t="inlineStr">
        <is>
          <t>Verify functionality for creating a new internship group when entering all required and valid information.</t>
        </is>
      </c>
      <c r="G2" s="23" t="inlineStr">
        <is>
          <t>User is logged in as Staff.
Currently on Internship Management interface.
Classes "PNV26A" and "PNV26B" exist in system and are not assigned to any internship group in the same academic year.</t>
        </is>
      </c>
      <c r="H2" s="23" t="inlineStr">
        <is>
          <t>GroupName="Internship Group 2026"; AcademicYear="2026"; Classes="PNV26A, PNV26B"; StartDate="2026-06-01"</t>
        </is>
      </c>
      <c r="I2" s="23" t="inlineStr">
        <is>
          <t>1. Click Create New Internship Group button;
2. Enter Group Name as "Internship Group 2026";
3. Select Academic Year as "2026";
4. Select classes "PNV26A" and "PNV26B";
5. Select Start Date as "2026-06-01";
6. Click Save button.</t>
        </is>
      </c>
      <c r="J2" s="23" t="inlineStr">
        <is>
          <t>Internship group is created successfully.
Success notification appears and "Internship Group 2026" is displayed in the active internship group list with 2 assigned classes.</t>
        </is>
      </c>
      <c r="K2" s="23" t="inlineStr">
        <is>
          <t>Internship group is created successfully.
Success notification appears and "Internship Group 2026" is displayed in the active internship group list with 2 assigned classes.</t>
        </is>
      </c>
      <c r="L2" s="24" t="inlineStr">
        <is>
          <t>Passed</t>
        </is>
      </c>
      <c r="M2" s="21" t="inlineStr"/>
      <c r="N2" s="25" t="inlineStr">
        <is>
          <t>High</t>
        </is>
      </c>
      <c r="O2" s="23" t="inlineStr">
        <is>
          <t>Related Requirement: M05-F01, Rule 6.1</t>
        </is>
      </c>
    </row>
    <row r="3" ht="120" customHeight="1">
      <c r="A3" s="26" t="inlineStr">
        <is>
          <t>TC-M05-002</t>
        </is>
      </c>
      <c r="B3" s="26" t="inlineStr">
        <is>
          <t>Module 05 - Internship Management</t>
        </is>
      </c>
      <c r="C3" s="27" t="inlineStr">
        <is>
          <t>M05-F01</t>
        </is>
      </c>
      <c r="D3" s="28" t="inlineStr">
        <is>
          <t>Internship Group Creation</t>
        </is>
      </c>
      <c r="E3" s="28" t="inlineStr">
        <is>
          <t>Internship Group Creation Fails Due to Empty Group Name</t>
        </is>
      </c>
      <c r="F3" s="28" t="inlineStr">
        <is>
          <t>Verify system displays error and prevents creating internship group when group name is blank.</t>
        </is>
      </c>
      <c r="G3" s="28" t="inlineStr">
        <is>
          <t>User is logged in as Staff.
Currently on Create New Internship Group interface.
Class "PNV26A" is not assigned to any internship group in the academic year.</t>
        </is>
      </c>
      <c r="H3" s="28" t="inlineStr">
        <is>
          <t>GroupName=""; AcademicYear="2026"; Classes="PNV26A"; StartDate="2026-06-01"</t>
        </is>
      </c>
      <c r="I3" s="28" t="inlineStr">
        <is>
          <t>1. Leave Group Name blank;
2. Select Academic Year as "2026";
3. Select class "PNV26A";
4. Select Start Date as "2026-06-01";
5. Click Save button.</t>
        </is>
      </c>
      <c r="J3" s="28" t="inlineStr">
        <is>
          <t>System blocks creation.
Validation error message appears: "Group Name is required."
Form remains open and no new record is created.</t>
        </is>
      </c>
      <c r="K3" s="28" t="inlineStr">
        <is>
          <t>System blocks creation.
Validation error message appears: "Group Name is required."
Form remains open and no new record is created.</t>
        </is>
      </c>
      <c r="L3" s="24" t="inlineStr">
        <is>
          <t>Passed</t>
        </is>
      </c>
      <c r="M3" s="26" t="inlineStr"/>
      <c r="N3" s="25" t="inlineStr">
        <is>
          <t>High</t>
        </is>
      </c>
      <c r="O3" s="28" t="inlineStr">
        <is>
          <t>Related Requirement: M05-F01, Rule 6.1, Validation Rules (Section 8)</t>
        </is>
      </c>
    </row>
    <row r="4" ht="135" customHeight="1">
      <c r="A4" s="21" t="inlineStr">
        <is>
          <t>TC-M05-003</t>
        </is>
      </c>
      <c r="B4" s="21" t="inlineStr">
        <is>
          <t>Module 05 - Internship Management</t>
        </is>
      </c>
      <c r="C4" s="22" t="inlineStr">
        <is>
          <t>M05-F01</t>
        </is>
      </c>
      <c r="D4" s="23" t="inlineStr">
        <is>
          <t>Internship Group Creation</t>
        </is>
      </c>
      <c r="E4" s="23" t="inlineStr">
        <is>
          <t>Internship Group Creation Fails Due to Unselected Classes</t>
        </is>
      </c>
      <c r="F4" s="23" t="inlineStr">
        <is>
          <t>Verify system displays error and prevents creating internship group when no classes are selected.</t>
        </is>
      </c>
      <c r="G4" s="23" t="inlineStr">
        <is>
          <t>User is logged in as Staff.
Currently on Create New Internship Group interface.</t>
        </is>
      </c>
      <c r="H4" s="23" t="inlineStr">
        <is>
          <t>GroupName="Internship Group 2026"; AcademicYear="2026"; Classes=None; StartDate="2026-06-01"</t>
        </is>
      </c>
      <c r="I4" s="23" t="inlineStr">
        <is>
          <t>1. Enter Group Name as "Internship Group 2026";
2. Select Academic Year as "2026";
3. Do not select any class checkbox;
4. Select Start Date as "2026-06-01";
5. Click Save button.</t>
        </is>
      </c>
      <c r="J4" s="23" t="inlineStr">
        <is>
          <t>System blocks creation.
Validation error message appears: "At least one class must be selected."
Group is not created.</t>
        </is>
      </c>
      <c r="K4" s="23" t="inlineStr">
        <is>
          <t>System blocks creation.
Validation error message appears: "At least one class must be selected."
Group is not created.</t>
        </is>
      </c>
      <c r="L4" s="24" t="inlineStr">
        <is>
          <t>Passed</t>
        </is>
      </c>
      <c r="M4" s="21" t="inlineStr"/>
      <c r="N4" s="25" t="inlineStr">
        <is>
          <t>High</t>
        </is>
      </c>
      <c r="O4" s="23" t="inlineStr">
        <is>
          <t>Related Requirement: M05-F01, Rule 6.1, Validation Rules (Section 8)</t>
        </is>
      </c>
    </row>
    <row r="5" ht="120" customHeight="1">
      <c r="A5" s="26" t="inlineStr">
        <is>
          <t>TC-M05-004</t>
        </is>
      </c>
      <c r="B5" s="26" t="inlineStr">
        <is>
          <t>Module 05 - Internship Management</t>
        </is>
      </c>
      <c r="C5" s="27" t="inlineStr">
        <is>
          <t>M05-F01</t>
        </is>
      </c>
      <c r="D5" s="28" t="inlineStr">
        <is>
          <t>Internship Group Creation</t>
        </is>
      </c>
      <c r="E5" s="28" t="inlineStr">
        <is>
          <t>Internship Group Creation Fails Due to Missing Start Date</t>
        </is>
      </c>
      <c r="F5" s="28" t="inlineStr">
        <is>
          <t>Verify system displays error and prevents creating internship group when Start Date is empty.</t>
        </is>
      </c>
      <c r="G5" s="28" t="inlineStr">
        <is>
          <t>User is logged in as Staff.
Currently on Create New Internship Group interface.</t>
        </is>
      </c>
      <c r="H5" s="28" t="inlineStr">
        <is>
          <t>GroupName="Internship Group 2026"; AcademicYear="2026"; Classes="PNV26A"; StartDate=""</t>
        </is>
      </c>
      <c r="I5" s="28" t="inlineStr">
        <is>
          <t>1. Enter Group Name as "Internship Group 2026";
2. Select Academic Year as "2026";
3. Select class "PNV26A";
4. Leave Start Date blank;
5. Click Save button.</t>
        </is>
      </c>
      <c r="J5" s="28" t="inlineStr">
        <is>
          <t>System blocks creation.
Validation error message appears: "Start Date is required."
Group is not created.</t>
        </is>
      </c>
      <c r="K5" s="28" t="inlineStr">
        <is>
          <t>System blocks creation.
Validation error message appears: "Start Date is required."
Group is not created.</t>
        </is>
      </c>
      <c r="L5" s="24" t="inlineStr">
        <is>
          <t>Passed</t>
        </is>
      </c>
      <c r="M5" s="26" t="inlineStr"/>
      <c r="N5" s="25" t="inlineStr">
        <is>
          <t>High</t>
        </is>
      </c>
      <c r="O5" s="28" t="inlineStr">
        <is>
          <t>Related Requirement: M05-F01, Rule 6.1, Validation Rules (Section 8)</t>
        </is>
      </c>
    </row>
    <row r="6" ht="135" customHeight="1">
      <c r="A6" s="21" t="inlineStr">
        <is>
          <t>TC-M05-005</t>
        </is>
      </c>
      <c r="B6" s="21" t="inlineStr">
        <is>
          <t>Module 05 - Internship Management</t>
        </is>
      </c>
      <c r="C6" s="22" t="inlineStr">
        <is>
          <t>M05-F01</t>
        </is>
      </c>
      <c r="D6" s="23" t="inlineStr">
        <is>
          <t>Internship Group Creation</t>
        </is>
      </c>
      <c r="E6" s="23" t="inlineStr">
        <is>
          <t>Internship Group Creation Fails Due to Missing Academic Year</t>
        </is>
      </c>
      <c r="F6" s="23" t="inlineStr">
        <is>
          <t>Verify system displays error and prevents creating internship group when Academic Year is empty.</t>
        </is>
      </c>
      <c r="G6" s="23" t="inlineStr">
        <is>
          <t>User is logged in as Staff.
Currently on Create New Internship Group interface.</t>
        </is>
      </c>
      <c r="H6" s="23" t="inlineStr">
        <is>
          <t>GroupName="Internship Group 2026"; AcademicYear=""; Classes="PNV26A"; StartDate="2026-06-01"</t>
        </is>
      </c>
      <c r="I6" s="23" t="inlineStr">
        <is>
          <t>1. Enter Group Name as "Internship Group 2026";
2. Leave Academic Year dropdown unselected/empty;
3. Select class "PNV26A";
4. Select Start Date as "2026-06-01";
5. Click Save button.</t>
        </is>
      </c>
      <c r="J6" s="23" t="inlineStr">
        <is>
          <t>System blocks creation.
Validation error message appears: "Academic Year is required."
Group is not created.</t>
        </is>
      </c>
      <c r="K6" s="23" t="inlineStr">
        <is>
          <t>System blocks creation.
Validation error message appears: "Academic Year is required."
Group is not created.</t>
        </is>
      </c>
      <c r="L6" s="24" t="inlineStr">
        <is>
          <t>Passed</t>
        </is>
      </c>
      <c r="M6" s="21" t="inlineStr"/>
      <c r="N6" s="25" t="inlineStr">
        <is>
          <t>High</t>
        </is>
      </c>
      <c r="O6" s="23" t="inlineStr">
        <is>
          <t>Related Requirement: M05-F01, Rule 6.1, Validation Rules (Section 8)</t>
        </is>
      </c>
    </row>
    <row r="7" ht="105" customHeight="1">
      <c r="A7" s="26" t="inlineStr">
        <is>
          <t>TC-M05-006</t>
        </is>
      </c>
      <c r="B7" s="26" t="inlineStr">
        <is>
          <t>Module 05 - Internship Management</t>
        </is>
      </c>
      <c r="C7" s="27" t="inlineStr">
        <is>
          <t>M05-F01</t>
        </is>
      </c>
      <c r="D7" s="28" t="inlineStr">
        <is>
          <t>Internship Group Creation</t>
        </is>
      </c>
      <c r="E7" s="28" t="inlineStr">
        <is>
          <t>Create Internship Group Successfully When Assigning Same Class across Different Academic Years</t>
        </is>
      </c>
      <c r="F7" s="28" t="inlineStr">
        <is>
          <t>Verify system allows assigning the same class to another internship group if the academic years are different.</t>
        </is>
      </c>
      <c r="G7" s="28" t="inlineStr">
        <is>
          <t>User is logged in as Staff.
Class "PNV26A" was assigned to an internship group in academic year 2025.</t>
        </is>
      </c>
      <c r="H7" s="28" t="inlineStr">
        <is>
          <t>GroupName="Internship Group 2026"; AcademicYear="2026"; Classes="PNV26A"; StartDate="2026-06-01"</t>
        </is>
      </c>
      <c r="I7" s="28" t="inlineStr">
        <is>
          <t>1. Create new group with Academic Year "2026";
2. Select class "PNV26A";
3. Click Save button.</t>
        </is>
      </c>
      <c r="J7" s="28" t="inlineStr">
        <is>
          <t>System allows creation successfully without duplicate class error because academic years differ (2025 vs 2026).</t>
        </is>
      </c>
      <c r="K7" s="28" t="inlineStr">
        <is>
          <t>System allows creation successfully without duplicate class error because academic years differ (2025 vs 2026).</t>
        </is>
      </c>
      <c r="L7" s="24" t="inlineStr">
        <is>
          <t>Passed</t>
        </is>
      </c>
      <c r="M7" s="26" t="inlineStr"/>
      <c r="N7" s="29" t="inlineStr">
        <is>
          <t>Medium</t>
        </is>
      </c>
      <c r="O7" s="28" t="inlineStr">
        <is>
          <t>Related Requirement: M05-F01, Rule 6.1</t>
        </is>
      </c>
    </row>
    <row r="8" ht="120" customHeight="1">
      <c r="A8" s="21" t="inlineStr">
        <is>
          <t>TC-M05-007</t>
        </is>
      </c>
      <c r="B8" s="21" t="inlineStr">
        <is>
          <t>Module 05 - Internship Management</t>
        </is>
      </c>
      <c r="C8" s="22" t="inlineStr">
        <is>
          <t>M05-F03</t>
        </is>
      </c>
      <c r="D8" s="23" t="inlineStr">
        <is>
          <t>Partner Company Management</t>
        </is>
      </c>
      <c r="E8" s="23" t="inlineStr">
        <is>
          <t>Add New Partner Company with Valid Name</t>
        </is>
      </c>
      <c r="F8" s="23" t="inlineStr">
        <is>
          <t>Verify functionality for adding a new partner company with a valid name.</t>
        </is>
      </c>
      <c r="G8" s="23" t="inlineStr">
        <is>
          <t>User is logged in as Staff.
Currently on Company Management interface.
Company "ABC Technology" does not exist in system.</t>
        </is>
      </c>
      <c r="H8" s="23" t="inlineStr">
        <is>
          <t>CompanyName="ABC Technology"</t>
        </is>
      </c>
      <c r="I8" s="23" t="inlineStr">
        <is>
          <t>1. Click Add Company button;
2. Enter Company Name as "ABC Technology";
3. Click Save button.</t>
        </is>
      </c>
      <c r="J8" s="23" t="inlineStr">
        <is>
          <t>Company is added successfully.
Success notification appears and "ABC Technology" is displayed in company list with status Active.</t>
        </is>
      </c>
      <c r="K8" s="23" t="inlineStr">
        <is>
          <t>Company is added successfully.
Success notification appears and "ABC Technology" is displayed in company list with status Active.</t>
        </is>
      </c>
      <c r="L8" s="24" t="inlineStr">
        <is>
          <t>Passed</t>
        </is>
      </c>
      <c r="M8" s="21" t="inlineStr"/>
      <c r="N8" s="25" t="inlineStr">
        <is>
          <t>High</t>
        </is>
      </c>
      <c r="O8" s="23" t="inlineStr">
        <is>
          <t>Related Requirement: M05-F03, Rule 6.3</t>
        </is>
      </c>
    </row>
    <row r="9" ht="105" customHeight="1">
      <c r="A9" s="26" t="inlineStr">
        <is>
          <t>TC-M05-008</t>
        </is>
      </c>
      <c r="B9" s="26" t="inlineStr">
        <is>
          <t>Module 05 - Internship Management</t>
        </is>
      </c>
      <c r="C9" s="27" t="inlineStr">
        <is>
          <t>M05-F03</t>
        </is>
      </c>
      <c r="D9" s="28" t="inlineStr">
        <is>
          <t>Partner Company Management</t>
        </is>
      </c>
      <c r="E9" s="28" t="inlineStr">
        <is>
          <t>Add Company Fails Due to Empty Company Name</t>
        </is>
      </c>
      <c r="F9" s="28" t="inlineStr">
        <is>
          <t>Verify system displays error and prevents adding company when company name is empty.</t>
        </is>
      </c>
      <c r="G9" s="28" t="inlineStr">
        <is>
          <t>User is logged in as Staff.
Currently on Add Company dialog.</t>
        </is>
      </c>
      <c r="H9" s="28" t="inlineStr">
        <is>
          <t>CompanyName=""</t>
        </is>
      </c>
      <c r="I9" s="28" t="inlineStr">
        <is>
          <t>1. Leave Company Name field empty;
2. Click Save button.</t>
        </is>
      </c>
      <c r="J9" s="28" t="inlineStr">
        <is>
          <t>System blocks action.
Validation error message appears: "Company Name is required."
No new company is saved.</t>
        </is>
      </c>
      <c r="K9" s="28" t="inlineStr">
        <is>
          <t>System blocks action.
Validation error message appears: "Company Name is required."
No new company is saved.</t>
        </is>
      </c>
      <c r="L9" s="24" t="inlineStr">
        <is>
          <t>Passed</t>
        </is>
      </c>
      <c r="M9" s="26" t="inlineStr"/>
      <c r="N9" s="25" t="inlineStr">
        <is>
          <t>High</t>
        </is>
      </c>
      <c r="O9" s="28" t="inlineStr">
        <is>
          <t>Related Requirement: M05-F03, Rule 6.3, Validation Rules (Section 8)</t>
        </is>
      </c>
    </row>
    <row r="10" ht="105" customHeight="1">
      <c r="A10" s="21" t="inlineStr">
        <is>
          <t>TC-M05-009</t>
        </is>
      </c>
      <c r="B10" s="21" t="inlineStr">
        <is>
          <t>Module 05 - Internship Management</t>
        </is>
      </c>
      <c r="C10" s="22" t="inlineStr">
        <is>
          <t>M05-F03</t>
        </is>
      </c>
      <c r="D10" s="23" t="inlineStr">
        <is>
          <t>Partner Company Management</t>
        </is>
      </c>
      <c r="E10" s="23" t="inlineStr">
        <is>
          <t>Add Company Fails Due to Duplicate Name (Case Insensitive)</t>
        </is>
      </c>
      <c r="F10" s="23" t="inlineStr">
        <is>
          <t>Verify system detects duplicate company names regardless of uppercase/lowercase letters.</t>
        </is>
      </c>
      <c r="G10" s="23" t="inlineStr">
        <is>
          <t>User is logged in as Staff.
Company "ABC Technology" already exists in system.</t>
        </is>
      </c>
      <c r="H10" s="23" t="inlineStr">
        <is>
          <t>CompanyName="abc technology"</t>
        </is>
      </c>
      <c r="I10" s="23" t="inlineStr">
        <is>
          <t>1. Click Add Company button;
2. Enter Company Name as "abc technology";
3. Click Save button.</t>
        </is>
      </c>
      <c r="J10" s="23" t="inlineStr">
        <is>
          <t>System blocks action.
Error message appears: "Company name already exists."
Duplicate company is not created.</t>
        </is>
      </c>
      <c r="K10" s="23" t="inlineStr">
        <is>
          <t>System blocks action.
Error message appears: "Company name already exists."
Duplicate company is not created.</t>
        </is>
      </c>
      <c r="L10" s="24" t="inlineStr">
        <is>
          <t>Passed</t>
        </is>
      </c>
      <c r="M10" s="21" t="inlineStr"/>
      <c r="N10" s="25" t="inlineStr">
        <is>
          <t>High</t>
        </is>
      </c>
      <c r="O10" s="23" t="inlineStr">
        <is>
          <t>Related Requirement: M05-F03, Rule 6.3</t>
        </is>
      </c>
    </row>
    <row r="11" ht="105" customHeight="1">
      <c r="A11" s="26" t="inlineStr">
        <is>
          <t>TC-M05-010</t>
        </is>
      </c>
      <c r="B11" s="26" t="inlineStr">
        <is>
          <t>Module 05 - Internship Management</t>
        </is>
      </c>
      <c r="C11" s="27" t="inlineStr">
        <is>
          <t>M05-F03</t>
        </is>
      </c>
      <c r="D11" s="28" t="inlineStr">
        <is>
          <t>Partner Company Management</t>
        </is>
      </c>
      <c r="E11" s="28" t="inlineStr">
        <is>
          <t>Add Company Fails Due to Duplicate Name with Leading/Trailing Whitespace</t>
        </is>
      </c>
      <c r="F11" s="28" t="inlineStr">
        <is>
          <t>Verify system trims leading and trailing spaces before checking for duplicate company names.</t>
        </is>
      </c>
      <c r="G11" s="28" t="inlineStr">
        <is>
          <t>User is logged in as Staff.
Company "ABC Technology" already exists in system.</t>
        </is>
      </c>
      <c r="H11" s="28" t="inlineStr">
        <is>
          <t>CompanyName="  ABC Technology  "</t>
        </is>
      </c>
      <c r="I11" s="28" t="inlineStr">
        <is>
          <t>1. Click Add Company button;
2. Enter Company Name as "  ABC Technology  ";
3. Click Save button.</t>
        </is>
      </c>
      <c r="J11" s="28" t="inlineStr">
        <is>
          <t>System trims spaces, detects duplicate "ABC Technology", and displays error: "Company name already exists."
Save is rejected.</t>
        </is>
      </c>
      <c r="K11" s="28" t="inlineStr">
        <is>
          <t>System trims spaces, detects duplicate "ABC Technology", and displays error: "Company name already exists."
Save is rejected.</t>
        </is>
      </c>
      <c r="L11" s="24" t="inlineStr">
        <is>
          <t>Passed</t>
        </is>
      </c>
      <c r="M11" s="26" t="inlineStr"/>
      <c r="N11" s="29" t="inlineStr">
        <is>
          <t>Medium</t>
        </is>
      </c>
      <c r="O11" s="28" t="inlineStr">
        <is>
          <t>Related Requirement: M05-F03, Rule 6.3</t>
        </is>
      </c>
    </row>
    <row r="12" ht="165" customHeight="1">
      <c r="A12" s="21" t="inlineStr">
        <is>
          <t>TC-M05-011</t>
        </is>
      </c>
      <c r="B12" s="21" t="inlineStr">
        <is>
          <t>Module 05 - Internship Management</t>
        </is>
      </c>
      <c r="C12" s="22" t="inlineStr">
        <is>
          <t>M05-F04</t>
        </is>
      </c>
      <c r="D12" s="23" t="inlineStr">
        <is>
          <t>Single Student Internship Assignment</t>
        </is>
      </c>
      <c r="E12" s="23" t="inlineStr">
        <is>
          <t>Assign Internship to Individual Student</t>
        </is>
      </c>
      <c r="F12" s="23" t="inlineStr">
        <is>
          <t>Verify functionality for assigning an internship company to a single student.</t>
        </is>
      </c>
      <c r="G12" s="23" t="inlineStr">
        <is>
          <t>User is logged in as Staff.
Currently on Student List in Internship Group.
Student "Nguyen Van A" has no assigned company.
Company "ABC Technology" exists in system.</t>
        </is>
      </c>
      <c r="H12" s="23" t="inlineStr">
        <is>
          <t>StudentName="Nguyen Van A"; AssignedCompany="ABC Technology"</t>
        </is>
      </c>
      <c r="I12" s="23" t="inlineStr">
        <is>
          <t>1. Find student "Nguyen Van A" in list;
2. Click Company assignment dropdown for this student;
3. Select company "ABC Technology";
4. Click Save button.</t>
        </is>
      </c>
      <c r="J12" s="23" t="inlineStr">
        <is>
          <t>Assignment saved successfully.
Student "Nguyen Van A" displays company "ABC Technology" in the table list.</t>
        </is>
      </c>
      <c r="K12" s="23" t="inlineStr">
        <is>
          <t>Assignment saved successfully.
Student "Nguyen Van A" displays company "ABC Technology" in the table list.</t>
        </is>
      </c>
      <c r="L12" s="24" t="inlineStr">
        <is>
          <t>Passed</t>
        </is>
      </c>
      <c r="M12" s="21" t="inlineStr"/>
      <c r="N12" s="25" t="inlineStr">
        <is>
          <t>High</t>
        </is>
      </c>
      <c r="O12" s="23" t="inlineStr">
        <is>
          <t>Related Requirement: M05-F04, Rule 6.4</t>
        </is>
      </c>
    </row>
    <row r="13" ht="165" customHeight="1">
      <c r="A13" s="26" t="inlineStr">
        <is>
          <t>TC-M05-012</t>
        </is>
      </c>
      <c r="B13" s="26" t="inlineStr">
        <is>
          <t>Module 05 - Internship Management</t>
        </is>
      </c>
      <c r="C13" s="27" t="inlineStr">
        <is>
          <t>M05-F05</t>
        </is>
      </c>
      <c r="D13" s="28" t="inlineStr">
        <is>
          <t>Batch Student Internship Assignment</t>
        </is>
      </c>
      <c r="E13" s="28" t="inlineStr">
        <is>
          <t>Batch Assign Internship to Multiple Students</t>
        </is>
      </c>
      <c r="F13" s="28" t="inlineStr">
        <is>
          <t>Verify functionality for assigning an internship company to multiple selected students simultaneously.</t>
        </is>
      </c>
      <c r="G13" s="28" t="inlineStr">
        <is>
          <t>User is logged in as Staff.
Currently on Student List in Internship Group.
Students "Nguyen Van A" and "Tran Thi B" have no assigned company.</t>
        </is>
      </c>
      <c r="H13" s="28" t="inlineStr">
        <is>
          <t>SelectedStudents=["Nguyen Van A", "Tran Thi B"]; AssignedCompany="ABC Technology"</t>
        </is>
      </c>
      <c r="I13" s="28" t="inlineStr">
        <is>
          <t>1. Check selection boxes for "Nguyen Van A" and "Tran Thi B";
2. Click Batch Assign Company button;
3. Select company "ABC Technology" in modal dialog;
4. Click Apply and Save.</t>
        </is>
      </c>
      <c r="J13" s="28" t="inlineStr">
        <is>
          <t>Batch assignment saved successfully.
Both students "Nguyen Van A" and "Tran Thi B" display company "ABC Technology" in the list.</t>
        </is>
      </c>
      <c r="K13" s="28" t="inlineStr">
        <is>
          <t>Batch assignment saved successfully.
Both students "Nguyen Van A" and "Tran Thi B" display company "ABC Technology" in the list.</t>
        </is>
      </c>
      <c r="L13" s="24" t="inlineStr">
        <is>
          <t>Passed</t>
        </is>
      </c>
      <c r="M13" s="26" t="inlineStr"/>
      <c r="N13" s="25" t="inlineStr">
        <is>
          <t>High</t>
        </is>
      </c>
      <c r="O13" s="28" t="inlineStr">
        <is>
          <t>Related Requirement: M05-F05, Rule 6.4</t>
        </is>
      </c>
    </row>
    <row r="14" ht="120" customHeight="1">
      <c r="A14" s="21" t="inlineStr">
        <is>
          <t>TC-M05-013</t>
        </is>
      </c>
      <c r="B14" s="21" t="inlineStr">
        <is>
          <t>Module 05 - Internship Management</t>
        </is>
      </c>
      <c r="C14" s="22" t="inlineStr">
        <is>
          <t>M05-F04</t>
        </is>
      </c>
      <c r="D14" s="23" t="inlineStr">
        <is>
          <t>Single Student Internship Assignment</t>
        </is>
      </c>
      <c r="E14" s="23" t="inlineStr">
        <is>
          <t>Change Student Assigned Company</t>
        </is>
      </c>
      <c r="F14" s="23" t="inlineStr">
        <is>
          <t>Verify functionality for updating the assigned internship company for a student.</t>
        </is>
      </c>
      <c r="G14" s="23" t="inlineStr">
        <is>
          <t>User is logged in as Staff.
Student "Nguyen Van A" is currently assigned to "ABC Technology".</t>
        </is>
      </c>
      <c r="H14" s="23" t="inlineStr">
        <is>
          <t>StudentName="Nguyen Van A"; NewCompany="XYZ Global"</t>
        </is>
      </c>
      <c r="I14" s="23" t="inlineStr">
        <is>
          <t>1. Locate student "Nguyen Van A";
2. Change company dropdown selection from "ABC Technology" to "XYZ Global";
3. Click Save button.</t>
        </is>
      </c>
      <c r="J14" s="23" t="inlineStr">
        <is>
          <t>Assignment updated successfully.
Student "Nguyen Van A" displays new company "XYZ Global".</t>
        </is>
      </c>
      <c r="K14" s="23" t="inlineStr">
        <is>
          <t>Assignment updated successfully.
Student "Nguyen Van A" displays new company "XYZ Global".</t>
        </is>
      </c>
      <c r="L14" s="24" t="inlineStr">
        <is>
          <t>Passed</t>
        </is>
      </c>
      <c r="M14" s="21" t="inlineStr"/>
      <c r="N14" s="25" t="inlineStr">
        <is>
          <t>High</t>
        </is>
      </c>
      <c r="O14" s="23" t="inlineStr">
        <is>
          <t>Related Requirement: M05-F04, Rule 6.4</t>
        </is>
      </c>
    </row>
    <row r="15" ht="105" customHeight="1">
      <c r="A15" s="26" t="inlineStr">
        <is>
          <t>TC-M05-014</t>
        </is>
      </c>
      <c r="B15" s="26" t="inlineStr">
        <is>
          <t>Module 05 - Internship Management</t>
        </is>
      </c>
      <c r="C15" s="27" t="inlineStr">
        <is>
          <t>M05-F04</t>
        </is>
      </c>
      <c r="D15" s="28" t="inlineStr">
        <is>
          <t>Single Student Internship Assignment</t>
        </is>
      </c>
      <c r="E15" s="28" t="inlineStr">
        <is>
          <t>Unassign Company from Student by Selecting No Company</t>
        </is>
      </c>
      <c r="F15" s="28" t="inlineStr">
        <is>
          <t>Verify functionality for removing an assigned company from a student by selecting "No Company".</t>
        </is>
      </c>
      <c r="G15" s="28" t="inlineStr">
        <is>
          <t>User is logged in as Staff.
Student "Nguyen Van A" is currently assigned to "ABC Technology".</t>
        </is>
      </c>
      <c r="H15" s="28" t="inlineStr">
        <is>
          <t>StudentName="Nguyen Van A"; AssignedCompany="No Company"</t>
        </is>
      </c>
      <c r="I15" s="28" t="inlineStr">
        <is>
          <t>1. Locate student "Nguyen Van A";
2. Select "No Company" (or empty option) in company dropdown;
3. Click Save button.</t>
        </is>
      </c>
      <c r="J15" s="28" t="inlineStr">
        <is>
          <t>Company assignment cleared successfully.
Student "Nguyen Van A" displays "Unassigned" or "No Company" in student list.</t>
        </is>
      </c>
      <c r="K15" s="28" t="inlineStr">
        <is>
          <t>Company assignment cleared successfully.
Student "Nguyen Van A" displays "Unassigned" or "No Company" in student list.</t>
        </is>
      </c>
      <c r="L15" s="24" t="inlineStr">
        <is>
          <t>Passed</t>
        </is>
      </c>
      <c r="M15" s="26" t="inlineStr"/>
      <c r="N15" s="29" t="inlineStr">
        <is>
          <t>Medium</t>
        </is>
      </c>
      <c r="O15" s="28" t="inlineStr">
        <is>
          <t>Related Requirement: M05-F04, Rule 6.4</t>
        </is>
      </c>
    </row>
    <row r="16" ht="120" customHeight="1">
      <c r="A16" s="21" t="inlineStr">
        <is>
          <t>TC-M05-015</t>
        </is>
      </c>
      <c r="B16" s="21" t="inlineStr">
        <is>
          <t>Module 05 - Internship Management</t>
        </is>
      </c>
      <c r="C16" s="22" t="inlineStr">
        <is>
          <t>M05-F06</t>
        </is>
      </c>
      <c r="D16" s="23" t="inlineStr">
        <is>
          <t>Company Hiding &amp; Deletion Safety</t>
        </is>
      </c>
      <c r="E16" s="23" t="inlineStr">
        <is>
          <t>Hide Company and Verify Exclusion from New Assignment Options</t>
        </is>
      </c>
      <c r="F16" s="23" t="inlineStr">
        <is>
          <t>Verify system hides company from assignment dropdowns when company status is set to Hidden/Inactive.</t>
        </is>
      </c>
      <c r="G16" s="23" t="inlineStr">
        <is>
          <t>User is logged in as Staff.
Company "Defunct Corp" exists in system.</t>
        </is>
      </c>
      <c r="H16" s="23" t="inlineStr">
        <is>
          <t>CompanyName="Defunct Corp"</t>
        </is>
      </c>
      <c r="I16" s="23" t="inlineStr">
        <is>
          <t>1. Go to Company Management;
2. Change status of "Defunct Corp" to Hidden/Inactive;
3. Go to Student List assignment dropdown.</t>
        </is>
      </c>
      <c r="J16" s="23" t="inlineStr">
        <is>
          <t>Company "Defunct Corp" no longer appears in dropdown list for new student assignments.</t>
        </is>
      </c>
      <c r="K16" s="23" t="inlineStr">
        <is>
          <t>Company "Defunct Corp" no longer appears in dropdown list for new student assignments.</t>
        </is>
      </c>
      <c r="L16" s="24" t="inlineStr">
        <is>
          <t>Passed</t>
        </is>
      </c>
      <c r="M16" s="21" t="inlineStr"/>
      <c r="N16" s="25" t="inlineStr">
        <is>
          <t>High</t>
        </is>
      </c>
      <c r="O16" s="23" t="inlineStr">
        <is>
          <t>Related Requirement: M05-F06, Rule 6.6</t>
        </is>
      </c>
    </row>
    <row r="17" ht="105" customHeight="1">
      <c r="A17" s="26" t="inlineStr">
        <is>
          <t>TC-M05-016</t>
        </is>
      </c>
      <c r="B17" s="26" t="inlineStr">
        <is>
          <t>Module 05 - Internship Management</t>
        </is>
      </c>
      <c r="C17" s="27" t="inlineStr">
        <is>
          <t>M05-F06</t>
        </is>
      </c>
      <c r="D17" s="28" t="inlineStr">
        <is>
          <t>Company Hiding &amp; Deletion Safety</t>
        </is>
      </c>
      <c r="E17" s="28" t="inlineStr">
        <is>
          <t>Ensure Existing Student Assignment Remains Unaffected When Company Is Hidden</t>
        </is>
      </c>
      <c r="F17" s="28" t="inlineStr">
        <is>
          <t>Verify hiding a company does not remove or distort historical/existing student assignments associated with that company.</t>
        </is>
      </c>
      <c r="G17" s="28" t="inlineStr">
        <is>
          <t>User is logged in as Staff.
Student "Tran Thi B" is assigned to company "ABC Technology".</t>
        </is>
      </c>
      <c r="H17" s="28" t="inlineStr">
        <is>
          <t>CompanyName="ABC Technology"; StudentName="Tran Thi B"</t>
        </is>
      </c>
      <c r="I17" s="28" t="inlineStr">
        <is>
          <t>1. Change status of company "ABC Technology" to Hidden in Company Management;
2. View Student List in Internship Group.</t>
        </is>
      </c>
      <c r="J17" s="28" t="inlineStr">
        <is>
          <t>Assignment of student "Tran Thi B" still displays "ABC Technology" normally in student list.
No error notification appears and existing assignment is preserved.</t>
        </is>
      </c>
      <c r="K17" s="28" t="inlineStr">
        <is>
          <t>Assignment of student "Tran Thi B" still displays "ABC Technology" normally in student list.
No error notification appears and existing assignment is preserved.</t>
        </is>
      </c>
      <c r="L17" s="24" t="inlineStr">
        <is>
          <t>Passed</t>
        </is>
      </c>
      <c r="M17" s="26" t="inlineStr"/>
      <c r="N17" s="25" t="inlineStr">
        <is>
          <t>High</t>
        </is>
      </c>
      <c r="O17" s="28" t="inlineStr">
        <is>
          <t>Related Requirement: M05-F06, Rule 6.6</t>
        </is>
      </c>
    </row>
    <row r="18" ht="180" customHeight="1">
      <c r="A18" s="21" t="inlineStr">
        <is>
          <t>TC-M05-017</t>
        </is>
      </c>
      <c r="B18" s="21" t="inlineStr">
        <is>
          <t>Module 05 - Internship Management</t>
        </is>
      </c>
      <c r="C18" s="22" t="inlineStr">
        <is>
          <t>M05-F07</t>
        </is>
      </c>
      <c r="D18" s="23" t="inlineStr">
        <is>
          <t>Feedback Recording by Team</t>
        </is>
      </c>
      <c r="E18" s="23" t="inlineStr">
        <is>
          <t>Record Internship Feedback Successfully for Student by Training Team</t>
        </is>
      </c>
      <c r="F18" s="23" t="inlineStr">
        <is>
          <t>Verify functionality for recording internship feedback for a student by Training team.</t>
        </is>
      </c>
      <c r="G18" s="23" t="inlineStr">
        <is>
          <t>User is logged in as Staff.
Currently on Student List in Internship Group.
Student "Nguyen Van A" has assigned internship.</t>
        </is>
      </c>
      <c r="H18" s="23" t="inlineStr">
        <is>
          <t>StudentName="Nguyen Van A"; FeedbackTeam="Training"; FeedbackDate="2026-08-15"; FeedbackNotes="Good progress, proactive in assigned tasks."</t>
        </is>
      </c>
      <c r="I18" s="23" t="inlineStr">
        <is>
          <t>1. Locate student "Nguyen Van A" in list;
2. Click Add Feedback button for this student;
3. Select Feedback Team as "Training";
4. Enter Feedback Date as "2026-08-15";
5. Enter Feedback Notes as "Good progress, proactive in assigned tasks.";
6. Click Save Feedback button.</t>
        </is>
      </c>
      <c r="J18" s="23" t="inlineStr">
        <is>
          <t>Feedback saved successfully.
New feedback entry appears under student name with Team "Training", date, and entered notes.</t>
        </is>
      </c>
      <c r="K18" s="23" t="inlineStr">
        <is>
          <t>Feedback saved successfully.
New feedback entry appears under student name with Team "Training", date, and entered notes.</t>
        </is>
      </c>
      <c r="L18" s="24" t="inlineStr">
        <is>
          <t>Passed</t>
        </is>
      </c>
      <c r="M18" s="21" t="inlineStr"/>
      <c r="N18" s="25" t="inlineStr">
        <is>
          <t>High</t>
        </is>
      </c>
      <c r="O18" s="23" t="inlineStr">
        <is>
          <t>Related Requirement: M05-F07, Rule 6.7</t>
        </is>
      </c>
    </row>
    <row r="19" ht="165" customHeight="1">
      <c r="A19" s="26" t="inlineStr">
        <is>
          <t>TC-M05-018</t>
        </is>
      </c>
      <c r="B19" s="26" t="inlineStr">
        <is>
          <t>Module 05 - Internship Management</t>
        </is>
      </c>
      <c r="C19" s="27" t="inlineStr">
        <is>
          <t>M05-F07</t>
        </is>
      </c>
      <c r="D19" s="28" t="inlineStr">
        <is>
          <t>Feedback Recording by Team</t>
        </is>
      </c>
      <c r="E19" s="28" t="inlineStr">
        <is>
          <t>Record Internship Feedback Successfully for Student by ERO Team</t>
        </is>
      </c>
      <c r="F19" s="28" t="inlineStr">
        <is>
          <t>Verify functionality for recording internship feedback for a student by ERO team.</t>
        </is>
      </c>
      <c r="G19" s="28" t="inlineStr">
        <is>
          <t>User is logged in as Staff.
Currently on Student List in Internship Group.
Student "Nguyen Van A" has assigned internship.</t>
        </is>
      </c>
      <c r="H19" s="28" t="inlineStr">
        <is>
          <t>StudentName="Nguyen Van A"; FeedbackTeam="ERO"; FeedbackNotes="Strong technical skills and professional attitude."</t>
        </is>
      </c>
      <c r="I19" s="28" t="inlineStr">
        <is>
          <t>1. Locate student "Nguyen Van A" in list;
2. Select Feedback Team as "ERO";
3. Enter Feedback Notes as "Strong technical skills and professional attitude.";
4. Click Save Feedback button.</t>
        </is>
      </c>
      <c r="J19" s="28" t="inlineStr">
        <is>
          <t>Feedback saved successfully.
New feedback entry appears under student name with Team "ERO", and entered notes.</t>
        </is>
      </c>
      <c r="K19" s="28" t="inlineStr">
        <is>
          <t>Feedback saved successfully.
New feedback entry appears under student name with Team "ERO", and entered notes.</t>
        </is>
      </c>
      <c r="L19" s="24" t="inlineStr">
        <is>
          <t>Passed</t>
        </is>
      </c>
      <c r="M19" s="26" t="inlineStr"/>
      <c r="N19" s="25" t="inlineStr">
        <is>
          <t>High</t>
        </is>
      </c>
      <c r="O19" s="28" t="inlineStr">
        <is>
          <t>Related Requirement: M05-F07, Rule 6.7</t>
        </is>
      </c>
    </row>
    <row r="20" ht="180" customHeight="1">
      <c r="A20" s="21" t="inlineStr">
        <is>
          <t>TC-M05-019</t>
        </is>
      </c>
      <c r="B20" s="21" t="inlineStr">
        <is>
          <t>Module 05 - Internship Management</t>
        </is>
      </c>
      <c r="C20" s="22" t="inlineStr">
        <is>
          <t>M05-F07</t>
        </is>
      </c>
      <c r="D20" s="23" t="inlineStr">
        <is>
          <t>Feedback Recording by Team</t>
        </is>
      </c>
      <c r="E20" s="23" t="inlineStr">
        <is>
          <t>Record Internship Feedback Successfully for Student by Educators Team</t>
        </is>
      </c>
      <c r="F20" s="23" t="inlineStr">
        <is>
          <t>Verify functionality for recording internship feedback for a student by Educators team.</t>
        </is>
      </c>
      <c r="G20" s="23" t="inlineStr">
        <is>
          <t>User is logged in as Staff.
Currently on Student List in Internship Group.
Student "Nguyen Van A" has assigned internship.</t>
        </is>
      </c>
      <c r="H20" s="23" t="inlineStr">
        <is>
          <t>StudentName="Nguyen Van A"; FeedbackTeam="Educators";  FeedbackNotes="Actively contributes constructive ideas to group."</t>
        </is>
      </c>
      <c r="I20" s="23" t="inlineStr">
        <is>
          <t>1. Locate student "Nguyen Van A" in list;
2. Click Add Feedback button for this student;
3. Select Feedback Team as "Educators";
4. Enter Feedback Notes as "Actively contributes constructive ideas to group.";
5. Click Save Feedback button.</t>
        </is>
      </c>
      <c r="J20" s="23" t="inlineStr">
        <is>
          <t>Feedback saved successfully.
New feedback entry appears under student name with Team "Educators", and entered notes.</t>
        </is>
      </c>
      <c r="K20" s="23" t="inlineStr">
        <is>
          <t>Feedback saved successfully.
New feedback entry appears under student name with Team "Educators", and entered notes.</t>
        </is>
      </c>
      <c r="L20" s="24" t="inlineStr">
        <is>
          <t>Passed</t>
        </is>
      </c>
      <c r="M20" s="21" t="inlineStr"/>
      <c r="N20" s="25" t="inlineStr">
        <is>
          <t>High</t>
        </is>
      </c>
      <c r="O20" s="23" t="inlineStr">
        <is>
          <t>Related Requirement: M05-F07, Rule 6.7</t>
        </is>
      </c>
    </row>
    <row r="21" ht="135" customHeight="1">
      <c r="A21" s="26" t="inlineStr">
        <is>
          <t>TC-M05-020</t>
        </is>
      </c>
      <c r="B21" s="26" t="inlineStr">
        <is>
          <t>Module 05 - Internship Management</t>
        </is>
      </c>
      <c r="C21" s="27" t="inlineStr">
        <is>
          <t>M05-F07</t>
        </is>
      </c>
      <c r="D21" s="28" t="inlineStr">
        <is>
          <t>Feedback Recording by Team</t>
        </is>
      </c>
      <c r="E21" s="28" t="inlineStr">
        <is>
          <t>Ignore Blank Feedback Entries Without Saving</t>
        </is>
      </c>
      <c r="F21" s="28" t="inlineStr">
        <is>
          <t>Verify system ignores and does not save feedback entries when feedback notes field is empty.</t>
        </is>
      </c>
      <c r="G21" s="28" t="inlineStr">
        <is>
          <t>User is logged in as Staff.
Currently on Add Feedback dialog for student.</t>
        </is>
      </c>
      <c r="H21" s="28" t="inlineStr">
        <is>
          <t>FeedbackTeam="ERO"; FeedbackNotes=""</t>
        </is>
      </c>
      <c r="I21" s="28" t="inlineStr">
        <is>
          <t>1. Open Add Feedback dialog;
2. Select Team as "ERO";
3. Leave Feedback Notes empty;
4. Click Save button.</t>
        </is>
      </c>
      <c r="J21" s="28" t="inlineStr">
        <is>
          <t>System ignores blank feedback entry without saving new database record.
No error appears and no empty feedback row is displayed on UI.</t>
        </is>
      </c>
      <c r="K21" s="28" t="inlineStr">
        <is>
          <t>System ignores blank feedback entry without saving new database record.
No error appears and no empty feedback row is displayed on UI.</t>
        </is>
      </c>
      <c r="L21" s="24" t="inlineStr">
        <is>
          <t>Passed</t>
        </is>
      </c>
      <c r="M21" s="26" t="inlineStr"/>
      <c r="N21" s="29" t="inlineStr">
        <is>
          <t>Medium</t>
        </is>
      </c>
      <c r="O21" s="28" t="inlineStr">
        <is>
          <t>Related Requirement: Rule 6.8, Error Handling (Section 8)</t>
        </is>
      </c>
    </row>
    <row r="22" ht="180" customHeight="1">
      <c r="A22" s="21" t="inlineStr">
        <is>
          <t>TC-M05-021</t>
        </is>
      </c>
      <c r="B22" s="21" t="inlineStr">
        <is>
          <t>Module 05 - Internship Management</t>
        </is>
      </c>
      <c r="C22" s="22" t="inlineStr">
        <is>
          <t>M05-F08</t>
        </is>
      </c>
      <c r="D22" s="23" t="inlineStr">
        <is>
          <t>Same for All Feedback</t>
        </is>
      </c>
      <c r="E22" s="23" t="inlineStr">
        <is>
          <t>Record Batch Feedback for Multiple Students Simultaneously (Same for All)</t>
        </is>
      </c>
      <c r="F22" s="23" t="inlineStr">
        <is>
          <t>Verify batch feedback feature applies identical feedback content to multiple selected students.</t>
        </is>
      </c>
      <c r="G22" s="23" t="inlineStr">
        <is>
          <t>User is logged in as Staff.
Currently on Student List in Internship Group.
At least 2 students selected (e.g., Nguyen Van A, Tran Thi B).</t>
        </is>
      </c>
      <c r="H22" s="23" t="inlineStr">
        <is>
          <t>SelectedStudents=["Nguyen Van A", "Tran Thi B"]; FeedbackTeam="Educators"; FeedbackNotes="Excellent communication skills."</t>
        </is>
      </c>
      <c r="I22" s="23" t="inlineStr">
        <is>
          <t>1. Select checkboxes for students "Nguyen Van A" and "Tran Thi B";
2. Click Batch Feedback (Same for All) button;
3. Select Team as "Educators", enter Notes as "Excellent communication skills.";
4. Click Apply and Save button.</t>
        </is>
      </c>
      <c r="J22" s="23" t="inlineStr">
        <is>
          <t>Feedback saved successfully for both students.
Both "Nguyen Van A" and "Tran Thi B" display Educators feedback.</t>
        </is>
      </c>
      <c r="K22" s="23" t="inlineStr">
        <is>
          <t>Feedback saved successfully for both students.
Both "Nguyen Van A" and "Tran Thi B" display Educators feedback.</t>
        </is>
      </c>
      <c r="L22" s="24" t="inlineStr">
        <is>
          <t>Passed</t>
        </is>
      </c>
      <c r="M22" s="21" t="inlineStr"/>
      <c r="N22" s="25" t="inlineStr">
        <is>
          <t>High</t>
        </is>
      </c>
      <c r="O22" s="23" t="inlineStr">
        <is>
          <t>Related Requirement: M05-F08, Rule 6.9</t>
        </is>
      </c>
    </row>
    <row r="23" ht="180" customHeight="1">
      <c r="A23" s="26" t="inlineStr">
        <is>
          <t>TC-M05-022</t>
        </is>
      </c>
      <c r="B23" s="26" t="inlineStr">
        <is>
          <t>Module 05 - Internship Management</t>
        </is>
      </c>
      <c r="C23" s="27" t="inlineStr">
        <is>
          <t>M05-F09</t>
        </is>
      </c>
      <c r="D23" s="28" t="inlineStr">
        <is>
          <t>Feedback Editing</t>
        </is>
      </c>
      <c r="E23" s="28" t="inlineStr">
        <is>
          <t>Edit Saved Internship Feedback Content</t>
        </is>
      </c>
      <c r="F23" s="28" t="inlineStr">
        <is>
          <t>Verify functionality for editing and saving existing feedback content.</t>
        </is>
      </c>
      <c r="G23" s="28" t="inlineStr">
        <is>
          <t>User is logged in as Staff.
Student "Nguyen Van A" has feedback: Team = "Training", content = "Good progress", date = "2026-08-15".</t>
        </is>
      </c>
      <c r="H23" s="28" t="inlineStr">
        <is>
          <t>StudentName="Nguyen Van A"; NewFeedbackNotes="Outstanding progress and excellent teamwork."</t>
        </is>
      </c>
      <c r="I23" s="28" t="inlineStr">
        <is>
          <t>1. Locate student "Nguyen Van A" and expand feedback list;
2. Select feedback entry "Good progress" and click Edit button;
3. Update feedback notes to "Outstanding progress and excellent teamwork.";
4. Click Save button.</t>
        </is>
      </c>
      <c r="J23" s="28" t="inlineStr">
        <is>
          <t>Feedback updated successfully.
New content overwrites previous notes and displays correctly on UI: "Outstanding progress and excellent teamwork.".</t>
        </is>
      </c>
      <c r="K23" s="28" t="inlineStr">
        <is>
          <t>Feedback updated successfully.
New content overwrites previous notes and displays correctly on UI: "Outstanding progress and excellent teamwork.".</t>
        </is>
      </c>
      <c r="L23" s="24" t="inlineStr">
        <is>
          <t>Passed</t>
        </is>
      </c>
      <c r="M23" s="26" t="inlineStr"/>
      <c r="N23" s="25" t="inlineStr">
        <is>
          <t>High</t>
        </is>
      </c>
      <c r="O23" s="28" t="inlineStr">
        <is>
          <t>Related Requirement: M05-F09, Rule 6.10</t>
        </is>
      </c>
    </row>
    <row r="24" ht="105" customHeight="1">
      <c r="A24" s="21" t="inlineStr">
        <is>
          <t>TC-M05-023</t>
        </is>
      </c>
      <c r="B24" s="21" t="inlineStr">
        <is>
          <t>Module 05 - Internship Management</t>
        </is>
      </c>
      <c r="C24" s="22" t="inlineStr">
        <is>
          <t>M05-F09</t>
        </is>
      </c>
      <c r="D24" s="23" t="inlineStr">
        <is>
          <t>Feedback Editing</t>
        </is>
      </c>
      <c r="E24" s="23" t="inlineStr">
        <is>
          <t>Edit Saved Internship Feedback Team and Date</t>
        </is>
      </c>
      <c r="F24" s="23" t="inlineStr">
        <is>
          <t>Verify functionality for editing and saving existing feedback team and date.</t>
        </is>
      </c>
      <c r="G24" s="23" t="inlineStr">
        <is>
          <t>User is logged in as Staff.
Student "Nguyen Van A" has feedback: Team = "Training", content = "Good progress", date = "2026-08-15".</t>
        </is>
      </c>
      <c r="H24" s="23" t="inlineStr">
        <is>
          <t>StudentName="Nguyen Van A"; NewFeedbackTeam="ERO";</t>
        </is>
      </c>
      <c r="I24" s="23" t="inlineStr">
        <is>
          <t>1. Locate student "Nguyen Van A" and expand feedback list;
2. Change Feedback Team to "ERO";
3. Click Save button.</t>
        </is>
      </c>
      <c r="J24" s="23" t="inlineStr">
        <is>
          <t>Feedback updated successfully.
Feedback details update on UI to display new Team "ERO".</t>
        </is>
      </c>
      <c r="K24" s="23" t="inlineStr">
        <is>
          <t>Feedback updated successfully.
Feedback details update on UI to display new Team "ERO".</t>
        </is>
      </c>
      <c r="L24" s="24" t="inlineStr">
        <is>
          <t>Passed</t>
        </is>
      </c>
      <c r="M24" s="21" t="inlineStr"/>
      <c r="N24" s="25" t="inlineStr">
        <is>
          <t>High</t>
        </is>
      </c>
      <c r="O24" s="23" t="inlineStr">
        <is>
          <t>Related Requirement: M05-F09, Rule 6.10</t>
        </is>
      </c>
    </row>
  </sheetData>
  <autoFilter ref="A1:O24"/>
  <dataValidations count="2">
    <dataValidation sqref="L2:L124" showDropDown="0" showInputMessage="0" showErrorMessage="0" allowBlank="1" errorTitle="Invalid Status" error="Please select a valid state: Passed, Failed, or Not Run" type="list">
      <formula1>"Passed,Failed,Not Run"</formula1>
    </dataValidation>
    <dataValidation sqref="N2:N124" showDropDown="0" showInputMessage="0" showErrorMessage="0" allowBlank="1" errorTitle="Invalid Priority" error="Please select a valid priority: High, Medium, or Low" type="list">
      <formula1>"High,Medium,Low"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2"/>
  <sheetViews>
    <sheetView showGridLines="1" workbookViewId="0">
      <selection activeCell="A1" sqref="A1"/>
    </sheetView>
  </sheetViews>
  <sheetFormatPr baseColWidth="8" defaultRowHeight="15"/>
  <cols>
    <col width="15" customWidth="1" min="1" max="1"/>
    <col width="14" customWidth="1" min="2" max="2"/>
    <col width="14" customWidth="1" min="3" max="3"/>
    <col width="28" customWidth="1" min="4" max="4"/>
    <col width="32" customWidth="1" min="5" max="5"/>
    <col width="36" customWidth="1" min="6" max="6"/>
    <col width="30" customWidth="1" min="7" max="7"/>
    <col width="28" customWidth="1" min="8" max="8"/>
    <col width="48" customWidth="1" min="9" max="9"/>
    <col width="48" customWidth="1" min="10" max="10"/>
    <col width="25" customWidth="1" min="11" max="11"/>
    <col width="36" customWidth="1" min="12" max="12"/>
    <col width="16" customWidth="1" min="13" max="13"/>
    <col width="25" customWidth="1" min="14" max="14"/>
    <col width="14" customWidth="1" min="15" max="15"/>
    <col width="32" customWidth="1" min="16" max="16"/>
  </cols>
  <sheetData>
    <row r="1" ht="28" customHeight="1">
      <c r="A1" s="20" t="inlineStr">
        <is>
          <t>ID</t>
        </is>
      </c>
      <c r="B1" s="20" t="inlineStr">
        <is>
          <t>Module</t>
        </is>
      </c>
      <c r="C1" s="20" t="inlineStr">
        <is>
          <t>Feature ID</t>
        </is>
      </c>
      <c r="D1" s="20" t="inlineStr">
        <is>
          <t>Feature Name</t>
        </is>
      </c>
      <c r="E1" s="20" t="inlineStr">
        <is>
          <t>Title</t>
        </is>
      </c>
      <c r="F1" s="20" t="inlineStr">
        <is>
          <t>Objective</t>
        </is>
      </c>
      <c r="G1" s="20" t="inlineStr">
        <is>
          <t>Preconditions</t>
        </is>
      </c>
      <c r="H1" s="20" t="inlineStr">
        <is>
          <t>TestData</t>
        </is>
      </c>
      <c r="I1" s="20" t="inlineStr">
        <is>
          <t>Steps</t>
        </is>
      </c>
      <c r="J1" s="20" t="inlineStr">
        <is>
          <t>ExpectedResult</t>
        </is>
      </c>
      <c r="K1" s="20" t="inlineStr">
        <is>
          <t>Evidence</t>
        </is>
      </c>
      <c r="L1" s="20" t="inlineStr">
        <is>
          <t>Actual Result</t>
        </is>
      </c>
      <c r="M1" s="20" t="inlineStr">
        <is>
          <t>Status</t>
        </is>
      </c>
      <c r="N1" s="20" t="inlineStr">
        <is>
          <t>Evidence</t>
        </is>
      </c>
      <c r="O1" s="20" t="inlineStr">
        <is>
          <t>Priority</t>
        </is>
      </c>
      <c r="P1" s="20" t="inlineStr">
        <is>
          <t>Notes</t>
        </is>
      </c>
    </row>
    <row r="2" ht="90" customHeight="1">
      <c r="A2" s="21" t="inlineStr">
        <is>
          <t>TC-M06-001</t>
        </is>
      </c>
      <c r="B2" s="21" t="inlineStr">
        <is>
          <t>Module 06 - Bi-Weekly Internship Reports</t>
        </is>
      </c>
      <c r="C2" s="22" t="inlineStr">
        <is>
          <t>M06-F01</t>
        </is>
      </c>
      <c r="D2" s="23" t="inlineStr">
        <is>
          <t>Report Creation</t>
        </is>
      </c>
      <c r="E2" s="23" t="inlineStr">
        <is>
          <t>Create New Report by Student in Active Internship Group</t>
        </is>
      </c>
      <c r="F2" s="23" t="inlineStr">
        <is>
          <t>Verify button visibility and interface opening for creating a new report when student belongs to an active (On-going) internship group.</t>
        </is>
      </c>
      <c r="G2" s="23" t="inlineStr">
        <is>
          <t>User is logged in as Student.
Student belongs to an internship group with status "On-going".
Currently on Student Portal interface.</t>
        </is>
      </c>
      <c r="H2" s="23" t="inlineStr">
        <is>
          <t>StudentEmail="student1@student.passerellesnumeriques.org"; GroupStatus="On-going"</t>
        </is>
      </c>
      <c r="I2" s="23" t="inlineStr">
        <is>
          <t>1. Access Student Portal;
2. Click Create Internship Report button;
3. Observe interface.</t>
        </is>
      </c>
      <c r="J2" s="23" t="inlineStr">
        <is>
          <t>Create Internship Report button is displayed and clickable.
System opens report submission interface with auto-filled student profile info.</t>
        </is>
      </c>
      <c r="K2" s="21" t="inlineStr"/>
      <c r="L2" s="23" t="inlineStr">
        <is>
          <t>Create Internship Report button was displayed. System opened report submission interface with auto-filled student profile info as expected.</t>
        </is>
      </c>
      <c r="M2" s="24" t="inlineStr">
        <is>
          <t>Passed</t>
        </is>
      </c>
      <c r="N2" s="21" t="inlineStr"/>
      <c r="O2" s="25" t="inlineStr">
        <is>
          <t>High</t>
        </is>
      </c>
      <c r="P2" s="23" t="inlineStr">
        <is>
          <t>Related Requirement: M06-F01, Business Rules 6.1</t>
        </is>
      </c>
    </row>
    <row r="3" ht="90" customHeight="1">
      <c r="A3" s="26" t="inlineStr">
        <is>
          <t>TC-M06-002</t>
        </is>
      </c>
      <c r="B3" s="26" t="inlineStr">
        <is>
          <t>Module 06 - Bi-Weekly Internship Reports</t>
        </is>
      </c>
      <c r="C3" s="27" t="inlineStr">
        <is>
          <t>M06-F01</t>
        </is>
      </c>
      <c r="D3" s="28" t="inlineStr">
        <is>
          <t>Report Creation</t>
        </is>
      </c>
      <c r="E3" s="28" t="inlineStr">
        <is>
          <t>Prevent Creating New Report for Student in Completed Internship Group</t>
        </is>
      </c>
      <c r="F3" s="28" t="inlineStr">
        <is>
          <t>Verify system hides Create Internship Report button if student belongs to a completed internship group.</t>
        </is>
      </c>
      <c r="G3" s="28" t="inlineStr">
        <is>
          <t>User is logged in as Student.
Student belongs to an internship group with status "Completed".
Currently on Student Portal interface.</t>
        </is>
      </c>
      <c r="H3" s="28" t="inlineStr">
        <is>
          <t>StudentEmail="student2@student.passerellesnumeriques.org"; GroupStatus="Completed"</t>
        </is>
      </c>
      <c r="I3" s="28" t="inlineStr">
        <is>
          <t>1. Access Student Portal;
2. Observe interface.</t>
        </is>
      </c>
      <c r="J3" s="28" t="inlineStr">
        <is>
          <t>Create Internship Report button is hidden or disabled.
Student cannot open report creation interface.</t>
        </is>
      </c>
      <c r="K3" s="26" t="inlineStr"/>
      <c r="L3" s="28" t="inlineStr">
        <is>
          <t>Create Internship Report button was hidden for student in completed group. Student could not open creation interface.</t>
        </is>
      </c>
      <c r="M3" s="24" t="inlineStr">
        <is>
          <t>Passed</t>
        </is>
      </c>
      <c r="N3" s="26" t="inlineStr"/>
      <c r="O3" s="25" t="inlineStr">
        <is>
          <t>High</t>
        </is>
      </c>
      <c r="P3" s="28" t="inlineStr">
        <is>
          <t>Related Requirement: M06-F01, Business Rules 6.1</t>
        </is>
      </c>
    </row>
    <row r="4" ht="90" customHeight="1">
      <c r="A4" s="21" t="inlineStr">
        <is>
          <t>TC-M06-003</t>
        </is>
      </c>
      <c r="B4" s="21" t="inlineStr">
        <is>
          <t>Module 06 - Bi-Weekly Internship Reports</t>
        </is>
      </c>
      <c r="C4" s="22" t="inlineStr">
        <is>
          <t>M06-F01</t>
        </is>
      </c>
      <c r="D4" s="23" t="inlineStr">
        <is>
          <t>Report Creation</t>
        </is>
      </c>
      <c r="E4" s="23" t="inlineStr">
        <is>
          <t>Prevent Creating New Report for Student in Archived Internship Group</t>
        </is>
      </c>
      <c r="F4" s="23" t="inlineStr">
        <is>
          <t>Verify system hides Create Internship Report button if student belongs to an archived internship group.</t>
        </is>
      </c>
      <c r="G4" s="23" t="inlineStr">
        <is>
          <t>User is logged in as Student.
Student belongs to an internship group with status "Archived".
Currently on Student Portal interface.</t>
        </is>
      </c>
      <c r="H4" s="23" t="inlineStr">
        <is>
          <t>StudentEmail="student3@student.passerellesnumeriques.org"; GroupStatus="Archived"</t>
        </is>
      </c>
      <c r="I4" s="23" t="inlineStr">
        <is>
          <t>1. Access Student Portal;
2. Observe interface.</t>
        </is>
      </c>
      <c r="J4" s="23" t="inlineStr">
        <is>
          <t>Create Internship Report button is hidden or disabled.
Student cannot open report creation interface.</t>
        </is>
      </c>
      <c r="K4" s="21" t="inlineStr"/>
      <c r="L4" s="23" t="inlineStr">
        <is>
          <t>Create Internship Report button was hidden for student in archived group. Student could not open creation interface.</t>
        </is>
      </c>
      <c r="M4" s="24" t="inlineStr">
        <is>
          <t>Passed</t>
        </is>
      </c>
      <c r="N4" s="21" t="inlineStr"/>
      <c r="O4" s="25" t="inlineStr">
        <is>
          <t>High</t>
        </is>
      </c>
      <c r="P4" s="23" t="inlineStr">
        <is>
          <t>Related Requirement: M06-F01, Business Rules 6.1</t>
        </is>
      </c>
    </row>
    <row r="5" ht="60" customHeight="1">
      <c r="A5" s="26" t="inlineStr">
        <is>
          <t>TC-M06-004</t>
        </is>
      </c>
      <c r="B5" s="26" t="inlineStr">
        <is>
          <t>Module 06 - Bi-Weekly Internship Reports</t>
        </is>
      </c>
      <c r="C5" s="27" t="inlineStr">
        <is>
          <t>M06-F01</t>
        </is>
      </c>
      <c r="D5" s="28" t="inlineStr">
        <is>
          <t>Report Creation</t>
        </is>
      </c>
      <c r="E5" s="28" t="inlineStr">
        <is>
          <t>Prevent Creating New Report from Staff Account</t>
        </is>
      </c>
      <c r="F5" s="28" t="inlineStr">
        <is>
          <t>Verify system hides report creation feature from Staff role.</t>
        </is>
      </c>
      <c r="G5" s="28" t="inlineStr">
        <is>
          <t>User is logged in as Staff.
Currently on Internship Management interface.</t>
        </is>
      </c>
      <c r="H5" s="28" t="inlineStr">
        <is>
          <t>StaffEmail="staff@passerellesnumeriques.org"</t>
        </is>
      </c>
      <c r="I5" s="28" t="inlineStr">
        <is>
          <t>1. Access Internship Management interface;
2. Check for report submission options.</t>
        </is>
      </c>
      <c r="J5" s="28" t="inlineStr">
        <is>
          <t>Create Internship Report button is not present for Staff account.</t>
        </is>
      </c>
      <c r="K5" s="26" t="inlineStr"/>
      <c r="L5" s="28" t="inlineStr">
        <is>
          <t>Create Internship Report button was not present when logged in with Staff account.</t>
        </is>
      </c>
      <c r="M5" s="24" t="inlineStr">
        <is>
          <t>Passed</t>
        </is>
      </c>
      <c r="N5" s="26" t="inlineStr"/>
      <c r="O5" s="25" t="inlineStr">
        <is>
          <t>High</t>
        </is>
      </c>
      <c r="P5" s="28" t="inlineStr">
        <is>
          <t>Related Requirement: M06-F01, Business Rules 6.1</t>
        </is>
      </c>
    </row>
    <row r="6" ht="90" customHeight="1">
      <c r="A6" s="21" t="inlineStr">
        <is>
          <t>TC-M06-005</t>
        </is>
      </c>
      <c r="B6" s="21" t="inlineStr">
        <is>
          <t>Module 06 - Bi-Weekly Internship Reports</t>
        </is>
      </c>
      <c r="C6" s="22" t="inlineStr">
        <is>
          <t>M06-F02</t>
        </is>
      </c>
      <c r="D6" s="23" t="inlineStr">
        <is>
          <t>Draft Saving &amp; Editing</t>
        </is>
      </c>
      <c r="E6" s="23" t="inlineStr">
        <is>
          <t>Save Temporary Report as Draft</t>
        </is>
      </c>
      <c r="F6" s="23" t="inlineStr">
        <is>
          <t>Verify functionality for saving unfinished report as a draft.</t>
        </is>
      </c>
      <c r="G6" s="23" t="inlineStr">
        <is>
          <t>User is logged in as Student.
Currently on report creation interface.</t>
        </is>
      </c>
      <c r="H6" s="23" t="inlineStr">
        <is>
          <t>StartDate="2026-08-03"; Task1="Research documentation"</t>
        </is>
      </c>
      <c r="I6" s="23" t="inlineStr">
        <is>
          <t>1. Enter Start Date as "2026-08-03";
2. Enter task details;
3. Click Save Draft button.</t>
        </is>
      </c>
      <c r="J6" s="23" t="inlineStr">
        <is>
          <t>Report is saved with status Draft.
Success message "Draft saved successfully" appears.
Data is saved to database without triggering submit validation.</t>
        </is>
      </c>
      <c r="K6" s="21" t="inlineStr"/>
      <c r="L6" s="23" t="inlineStr">
        <is>
          <t>Report was saved with status Draft. Success message "Draft saved successfully" appeared and data was saved without triggering submit validation.</t>
        </is>
      </c>
      <c r="M6" s="24" t="inlineStr">
        <is>
          <t>Passed</t>
        </is>
      </c>
      <c r="N6" s="21" t="inlineStr"/>
      <c r="O6" s="25" t="inlineStr">
        <is>
          <t>High</t>
        </is>
      </c>
      <c r="P6" s="23" t="inlineStr">
        <is>
          <t>Related Requirement: M06-F02, Business Rules 6.2</t>
        </is>
      </c>
    </row>
    <row r="7" ht="90" customHeight="1">
      <c r="A7" s="26" t="inlineStr">
        <is>
          <t>TC-M06-006</t>
        </is>
      </c>
      <c r="B7" s="26" t="inlineStr">
        <is>
          <t>Module 06 - Bi-Weekly Internship Reports</t>
        </is>
      </c>
      <c r="C7" s="27" t="inlineStr">
        <is>
          <t>M06-F02</t>
        </is>
      </c>
      <c r="D7" s="28" t="inlineStr">
        <is>
          <t>Draft Saving &amp; Editing</t>
        </is>
      </c>
      <c r="E7" s="28" t="inlineStr">
        <is>
          <t>Edit Draft Report Unlimited Number of Times</t>
        </is>
      </c>
      <c r="F7" s="28" t="inlineStr">
        <is>
          <t>Verify student can reopen and edit draft report multiple times before submitting.</t>
        </is>
      </c>
      <c r="G7" s="28" t="inlineStr">
        <is>
          <t>User is logged in as Student.
Existing report with status Draft.</t>
        </is>
      </c>
      <c r="H7" s="28" t="inlineStr">
        <is>
          <t>UpdatedTask="Updated task documentation"</t>
        </is>
      </c>
      <c r="I7" s="28" t="inlineStr">
        <is>
          <t>1. Open draft report;
2. Update task details;
3. Click Save Draft button;
4. Repeat process multiple times.</t>
        </is>
      </c>
      <c r="J7" s="28" t="inlineStr">
        <is>
          <t>Draft report updates successfully every time without restriction.
Report status remains Draft.</t>
        </is>
      </c>
      <c r="K7" s="26" t="inlineStr"/>
      <c r="L7" s="28" t="inlineStr">
        <is>
          <t>Draft report updated successfully upon multiple edits without restriction. Report status remained Draft.</t>
        </is>
      </c>
      <c r="M7" s="24" t="inlineStr">
        <is>
          <t>Passed</t>
        </is>
      </c>
      <c r="N7" s="26" t="inlineStr"/>
      <c r="O7" s="25" t="inlineStr">
        <is>
          <t>High</t>
        </is>
      </c>
      <c r="P7" s="28" t="inlineStr">
        <is>
          <t>Related Requirement: M06-F02, Business Rules 6.2</t>
        </is>
      </c>
    </row>
    <row r="8" ht="90" customHeight="1">
      <c r="A8" s="21" t="inlineStr">
        <is>
          <t>TC-M06-007</t>
        </is>
      </c>
      <c r="B8" s="21" t="inlineStr">
        <is>
          <t>Module 06 - Bi-Weekly Internship Reports</t>
        </is>
      </c>
      <c r="C8" s="22" t="inlineStr">
        <is>
          <t>M06-F02</t>
        </is>
      </c>
      <c r="D8" s="23" t="inlineStr">
        <is>
          <t>Draft Saving &amp; Editing</t>
        </is>
      </c>
      <c r="E8" s="23" t="inlineStr">
        <is>
          <t>Draft Report Does Not Send Emails and Is Hidden from Staff</t>
        </is>
      </c>
      <c r="F8" s="23" t="inlineStr">
        <is>
          <t>Verify saving a draft does not send email notifications and draft is not visible to Staff.</t>
        </is>
      </c>
      <c r="G8" s="23" t="inlineStr">
        <is>
          <t>User is logged in as Student.
Draft report saved.</t>
        </is>
      </c>
      <c r="H8" s="23" t="inlineStr">
        <is>
          <t>ReportStatus="Draft"</t>
        </is>
      </c>
      <c r="I8" s="23" t="inlineStr">
        <is>
          <t>1. Save report as Draft;
2. Log in as Staff and check student report list;
3. Check email inbox of PNV and Company supervisors.</t>
        </is>
      </c>
      <c r="J8" s="23" t="inlineStr">
        <is>
          <t>No email notification is sent.
Draft report is hidden from Staff view.</t>
        </is>
      </c>
      <c r="K8" s="21" t="inlineStr"/>
      <c r="L8" s="23" t="inlineStr">
        <is>
          <t>No email notifications were sent upon saving draft, and draft report remained hidden from Staff view.</t>
        </is>
      </c>
      <c r="M8" s="24" t="inlineStr">
        <is>
          <t>Passed</t>
        </is>
      </c>
      <c r="N8" s="21" t="inlineStr"/>
      <c r="O8" s="25" t="inlineStr">
        <is>
          <t>High</t>
        </is>
      </c>
      <c r="P8" s="23" t="inlineStr">
        <is>
          <t>Related Requirement: M06-F02, Business Rules 6.2</t>
        </is>
      </c>
    </row>
    <row r="9" ht="60" customHeight="1">
      <c r="A9" s="26" t="inlineStr">
        <is>
          <t>TC-M06-008</t>
        </is>
      </c>
      <c r="B9" s="26" t="inlineStr">
        <is>
          <t>Module 06 - Bi-Weekly Internship Reports</t>
        </is>
      </c>
      <c r="C9" s="27" t="inlineStr">
        <is>
          <t>M06-F03</t>
        </is>
      </c>
      <c r="D9" s="28" t="inlineStr">
        <is>
          <t>Automatic Date Calculation</t>
        </is>
      </c>
      <c r="E9" s="28" t="inlineStr">
        <is>
          <t>Auto-calculate End Date When Valid Start Date Is Entered</t>
        </is>
      </c>
      <c r="F9" s="28" t="inlineStr">
        <is>
          <t>Verify system automatically calculates End Date as Sunday 13 days after Start Date (Monday).</t>
        </is>
      </c>
      <c r="G9" s="28" t="inlineStr">
        <is>
          <t>User is logged in as Student.
Currently on report creation interface.</t>
        </is>
      </c>
      <c r="H9" s="28" t="inlineStr">
        <is>
          <t>StartDate="2026-08-03" (Monday)</t>
        </is>
      </c>
      <c r="I9" s="28" t="inlineStr">
        <is>
          <t>1. Select Start Date as "2026-08-03";
2. Observe End Date field.</t>
        </is>
      </c>
      <c r="J9" s="28" t="inlineStr">
        <is>
          <t>End Date field automatically fills with "2026-08-16" (Sunday, +13 days).
End Date field is read-only.</t>
        </is>
      </c>
      <c r="K9" s="26" t="inlineStr"/>
      <c r="L9" s="28" t="inlineStr">
        <is>
          <t>End Date field automatically filled with "2026-08-16" (Sunday, +13 days) and remained read-only.</t>
        </is>
      </c>
      <c r="M9" s="24" t="inlineStr">
        <is>
          <t>Passed</t>
        </is>
      </c>
      <c r="N9" s="26" t="inlineStr"/>
      <c r="O9" s="25" t="inlineStr">
        <is>
          <t>High</t>
        </is>
      </c>
      <c r="P9" s="28" t="inlineStr">
        <is>
          <t>Related Requirement: M06-F03, Business Rules 6.3</t>
        </is>
      </c>
    </row>
    <row r="10" ht="45" customHeight="1">
      <c r="A10" s="21" t="inlineStr">
        <is>
          <t>TC-M06-009</t>
        </is>
      </c>
      <c r="B10" s="21" t="inlineStr">
        <is>
          <t>Module 06 - Bi-Weekly Internship Reports</t>
        </is>
      </c>
      <c r="C10" s="22" t="inlineStr">
        <is>
          <t>M06-F03</t>
        </is>
      </c>
      <c r="D10" s="23" t="inlineStr">
        <is>
          <t>Automatic Date Calculation</t>
        </is>
      </c>
      <c r="E10" s="23" t="inlineStr">
        <is>
          <t>Prevent Submitting Report if Start Date Is Not a Monday</t>
        </is>
      </c>
      <c r="F10" s="23" t="inlineStr">
        <is>
          <t>Verify system displays error if selected Start Date is not a Monday.</t>
        </is>
      </c>
      <c r="G10" s="23" t="inlineStr">
        <is>
          <t>User is logged in as Student.
Currently on report creation interface.</t>
        </is>
      </c>
      <c r="H10" s="23" t="inlineStr">
        <is>
          <t>StartDate="2026-08-04" (Tuesday)</t>
        </is>
      </c>
      <c r="I10" s="23" t="inlineStr">
        <is>
          <t>1. Select Start Date as "2026-08-04";
2. Attempt to save or submit report.</t>
        </is>
      </c>
      <c r="J10" s="23" t="inlineStr">
        <is>
          <t>System displays error: "Start Date must be a Monday."
Action is blocked.</t>
        </is>
      </c>
      <c r="K10" s="21" t="inlineStr"/>
      <c r="L10" s="23" t="inlineStr">
        <is>
          <t>System displayed validation error "Start Date must be a Monday." and blocked action.</t>
        </is>
      </c>
      <c r="M10" s="24" t="inlineStr">
        <is>
          <t>Passed</t>
        </is>
      </c>
      <c r="N10" s="21" t="inlineStr"/>
      <c r="O10" s="25" t="inlineStr">
        <is>
          <t>High</t>
        </is>
      </c>
      <c r="P10" s="23" t="inlineStr">
        <is>
          <t>Related Requirement: M06-F03, Business Rules 6.3, Validation Rules (Section 8)</t>
        </is>
      </c>
    </row>
    <row r="11" ht="60" customHeight="1">
      <c r="A11" s="26" t="inlineStr">
        <is>
          <t>TC-M06-010</t>
        </is>
      </c>
      <c r="B11" s="26" t="inlineStr">
        <is>
          <t>Module 06 - Bi-Weekly Internship Reports</t>
        </is>
      </c>
      <c r="C11" s="27" t="inlineStr">
        <is>
          <t>M06-F03</t>
        </is>
      </c>
      <c r="D11" s="28" t="inlineStr">
        <is>
          <t>Automatic Date Calculation</t>
        </is>
      </c>
      <c r="E11" s="28" t="inlineStr">
        <is>
          <t>Prevent Submitting Report if Start Date Is Outside Internship Period</t>
        </is>
      </c>
      <c r="F11" s="28" t="inlineStr">
        <is>
          <t>Verify system displays error if Start Date is outside group start/end dates.</t>
        </is>
      </c>
      <c r="G11" s="28" t="inlineStr">
        <is>
          <t>User is logged in as Student.
Group internship period is 2026-06-01 to 2026-08-31.</t>
        </is>
      </c>
      <c r="H11" s="28" t="inlineStr">
        <is>
          <t>StartDate="2026-05-25" (Monday before group start)</t>
        </is>
      </c>
      <c r="I11" s="28" t="inlineStr">
        <is>
          <t>1. Select Start Date as "2026-05-25";
2. Attempt to save or submit report.</t>
        </is>
      </c>
      <c r="J11" s="28" t="inlineStr">
        <is>
          <t>System displays error: "Start Date must fall within the internship group period."
Action is blocked.</t>
        </is>
      </c>
      <c r="K11" s="26" t="inlineStr"/>
      <c r="L11" s="28" t="inlineStr">
        <is>
          <t>System displayed validation error "Start Date must fall within the internship group period." and blocked action.</t>
        </is>
      </c>
      <c r="M11" s="24" t="inlineStr">
        <is>
          <t>Passed</t>
        </is>
      </c>
      <c r="N11" s="26" t="inlineStr"/>
      <c r="O11" s="25" t="inlineStr">
        <is>
          <t>High</t>
        </is>
      </c>
      <c r="P11" s="28" t="inlineStr">
        <is>
          <t>Related Requirement: M06-F03, Business Rules 6.3, Validation Rules (Section 8)</t>
        </is>
      </c>
    </row>
    <row r="12" ht="75" customHeight="1">
      <c r="A12" s="21" t="inlineStr">
        <is>
          <t>TC-M06-011</t>
        </is>
      </c>
      <c r="B12" s="21" t="inlineStr">
        <is>
          <t>Module 06 - Bi-Weekly Internship Reports</t>
        </is>
      </c>
      <c r="C12" s="22" t="inlineStr">
        <is>
          <t>M06-F04</t>
        </is>
      </c>
      <c r="D12" s="23" t="inlineStr">
        <is>
          <t>Dynamic Task Table Management</t>
        </is>
      </c>
      <c r="E12" s="23" t="inlineStr">
        <is>
          <t>Add and Remove Task Rows in Dynamic Task Table</t>
        </is>
      </c>
      <c r="F12" s="23" t="inlineStr">
        <is>
          <t>Verify functionality for adding new task rows and removing task rows in the report form.</t>
        </is>
      </c>
      <c r="G12" s="23" t="inlineStr">
        <is>
          <t>User is logged in as Student.
Currently on report creation interface.</t>
        </is>
      </c>
      <c r="H12" s="23" t="inlineStr">
        <is>
          <t>Task1="Frontend UI"; Task2="Backend API"</t>
        </is>
      </c>
      <c r="I12" s="23" t="inlineStr">
        <is>
          <t>1. Click Add Task Row button;
2. Enter task details in row 2;
3. Click Remove icon on row 2.</t>
        </is>
      </c>
      <c r="J12" s="23" t="inlineStr">
        <is>
          <t>Clicking Add Task Row appends a new empty task row.
Clicking Remove deletes row 2 cleanly.</t>
        </is>
      </c>
      <c r="K12" s="21" t="inlineStr"/>
      <c r="L12" s="23" t="inlineStr">
        <is>
          <t>Clicking Add Task Row appended a new empty task row. Clicking Remove deleted row cleanly.</t>
        </is>
      </c>
      <c r="M12" s="24" t="inlineStr">
        <is>
          <t>Passed</t>
        </is>
      </c>
      <c r="N12" s="21" t="inlineStr"/>
      <c r="O12" s="25" t="inlineStr">
        <is>
          <t>High</t>
        </is>
      </c>
      <c r="P12" s="23" t="inlineStr">
        <is>
          <t>Related Requirement: M06-F04, UI Standards</t>
        </is>
      </c>
    </row>
    <row r="13" ht="60" customHeight="1">
      <c r="A13" s="26" t="inlineStr">
        <is>
          <t>TC-M06-012</t>
        </is>
      </c>
      <c r="B13" s="26" t="inlineStr">
        <is>
          <t>Module 06 - Bi-Weekly Internship Reports</t>
        </is>
      </c>
      <c r="C13" s="27" t="inlineStr">
        <is>
          <t>M06-F04</t>
        </is>
      </c>
      <c r="D13" s="28" t="inlineStr">
        <is>
          <t>Dynamic Task Table Management</t>
        </is>
      </c>
      <c r="E13" s="28" t="inlineStr">
        <is>
          <t>Prevent Submitting Report when Task List Is Empty</t>
        </is>
      </c>
      <c r="F13" s="28" t="inlineStr">
        <is>
          <t>Verify system blocks submission when report has 0 task rows.</t>
        </is>
      </c>
      <c r="G13" s="28" t="inlineStr">
        <is>
          <t>User is logged in as Student.
Report has all task rows removed.</t>
        </is>
      </c>
      <c r="H13" s="28" t="inlineStr">
        <is>
          <t>Tasks=[]</t>
        </is>
      </c>
      <c r="I13" s="28" t="inlineStr">
        <is>
          <t>1. Remove all task rows;
2. Click Submit Report button.</t>
        </is>
      </c>
      <c r="J13" s="28" t="inlineStr">
        <is>
          <t>System blocks submission.
Validation error message appears: "At least one task is required."</t>
        </is>
      </c>
      <c r="K13" s="26" t="inlineStr"/>
      <c r="L13" s="28" t="inlineStr">
        <is>
          <t>System blocked submission and displayed validation error "At least one task is required."</t>
        </is>
      </c>
      <c r="M13" s="24" t="inlineStr">
        <is>
          <t>Passed</t>
        </is>
      </c>
      <c r="N13" s="26" t="inlineStr"/>
      <c r="O13" s="25" t="inlineStr">
        <is>
          <t>High</t>
        </is>
      </c>
      <c r="P13" s="28" t="inlineStr">
        <is>
          <t>Related Requirement: M06-F04, Validation Rules (Section 8)</t>
        </is>
      </c>
    </row>
    <row r="14" ht="75" customHeight="1">
      <c r="A14" s="21" t="inlineStr">
        <is>
          <t>TC-M06-013</t>
        </is>
      </c>
      <c r="B14" s="21" t="inlineStr">
        <is>
          <t>Module 06 - Bi-Weekly Internship Reports</t>
        </is>
      </c>
      <c r="C14" s="22" t="inlineStr">
        <is>
          <t>M06-F04</t>
        </is>
      </c>
      <c r="D14" s="23" t="inlineStr">
        <is>
          <t>Dynamic Task Table Management</t>
        </is>
      </c>
      <c r="E14" s="23" t="inlineStr">
        <is>
          <t>Prevent Submitting Report when Task Row Has Incomplete Details</t>
        </is>
      </c>
      <c r="F14" s="23" t="inlineStr">
        <is>
          <t>Verify system blocks submission if any task row has empty mandatory fields (Task Description, Hours, etc.).</t>
        </is>
      </c>
      <c r="G14" s="23" t="inlineStr">
        <is>
          <t>User is logged in as Student.
Task row added with blank Task Description.</t>
        </is>
      </c>
      <c r="H14" s="23" t="inlineStr">
        <is>
          <t>TaskDescription=""; Hours=8</t>
        </is>
      </c>
      <c r="I14" s="23" t="inlineStr">
        <is>
          <t>1. Add task row;
2. Enter hours but leave description empty;
3. Click Submit Report button.</t>
        </is>
      </c>
      <c r="J14" s="23" t="inlineStr">
        <is>
          <t>System blocks submission.
Validation error message appears highlighting required fields in task table.</t>
        </is>
      </c>
      <c r="K14" s="21" t="inlineStr"/>
      <c r="L14" s="23" t="inlineStr">
        <is>
          <t>System blocked submission and highlighted incomplete task fields in task table.</t>
        </is>
      </c>
      <c r="M14" s="24" t="inlineStr">
        <is>
          <t>Passed</t>
        </is>
      </c>
      <c r="N14" s="21" t="inlineStr"/>
      <c r="O14" s="25" t="inlineStr">
        <is>
          <t>High</t>
        </is>
      </c>
      <c r="P14" s="23" t="inlineStr">
        <is>
          <t>Related Requirement: M06-F04, Validation Rules (Section 8)</t>
        </is>
      </c>
    </row>
    <row r="15" ht="60" customHeight="1">
      <c r="A15" s="26" t="inlineStr">
        <is>
          <t>TC-M06-014</t>
        </is>
      </c>
      <c r="B15" s="26" t="inlineStr">
        <is>
          <t>Module 06 - Bi-Weekly Internship Reports</t>
        </is>
      </c>
      <c r="C15" s="27" t="inlineStr">
        <is>
          <t>M06-F05</t>
        </is>
      </c>
      <c r="D15" s="28" t="inlineStr">
        <is>
          <t>Working Hours Calculation</t>
        </is>
      </c>
      <c r="E15" s="28" t="inlineStr">
        <is>
          <t>Auto-calculate Daily Working Hours and Total Working Hours</t>
        </is>
      </c>
      <c r="F15" s="28" t="inlineStr">
        <is>
          <t>Verify system automatically calculates daily working hours and total bi-weekly hours.</t>
        </is>
      </c>
      <c r="G15" s="28" t="inlineStr">
        <is>
          <t>User is logged in as Student.
Currently on report task table.</t>
        </is>
      </c>
      <c r="H15" s="28" t="inlineStr">
        <is>
          <t>Week1Hours=[8,8,8,8,8,0,0]; Week2Hours=[8,8,8,8,8,0,0]</t>
        </is>
      </c>
      <c r="I15" s="28" t="inlineStr">
        <is>
          <t>1. Enter 8 hours per day for Monday to Friday in both weeks;
2. Observe Total Hours summary.</t>
        </is>
      </c>
      <c r="J15" s="28" t="inlineStr">
        <is>
          <t>Daily totals sum correctly.
Total Bi-Weekly Hours automatically calculates to 80 hours.</t>
        </is>
      </c>
      <c r="K15" s="26" t="inlineStr"/>
      <c r="L15" s="28" t="inlineStr">
        <is>
          <t>Daily totals summed correctly and Total Bi-Weekly Hours automatically calculated to 80 hours.</t>
        </is>
      </c>
      <c r="M15" s="24" t="inlineStr">
        <is>
          <t>Passed</t>
        </is>
      </c>
      <c r="N15" s="26" t="inlineStr"/>
      <c r="O15" s="25" t="inlineStr">
        <is>
          <t>High</t>
        </is>
      </c>
      <c r="P15" s="28" t="inlineStr">
        <is>
          <t>Related Requirement: M06-F05, Business Rules 6.4</t>
        </is>
      </c>
    </row>
    <row r="16" ht="60" customHeight="1">
      <c r="A16" s="21" t="inlineStr">
        <is>
          <t>TC-M06-015</t>
        </is>
      </c>
      <c r="B16" s="21" t="inlineStr">
        <is>
          <t>Module 06 - Bi-Weekly Internship Reports</t>
        </is>
      </c>
      <c r="C16" s="22" t="inlineStr">
        <is>
          <t>M06-F05</t>
        </is>
      </c>
      <c r="D16" s="23" t="inlineStr">
        <is>
          <t>Working Hours Calculation</t>
        </is>
      </c>
      <c r="E16" s="23" t="inlineStr">
        <is>
          <t>Prevent Entering Negative Working Hours</t>
        </is>
      </c>
      <c r="F16" s="23" t="inlineStr">
        <is>
          <t>Verify system blocks negative numbers in working hours inputs.</t>
        </is>
      </c>
      <c r="G16" s="23" t="inlineStr">
        <is>
          <t>User is logged in as Student.</t>
        </is>
      </c>
      <c r="H16" s="23" t="inlineStr">
        <is>
          <t>Hours=-5</t>
        </is>
      </c>
      <c r="I16" s="23" t="inlineStr">
        <is>
          <t>1. Enter -5 into working hours field;
2. Click Submit or blur field.</t>
        </is>
      </c>
      <c r="J16" s="23" t="inlineStr">
        <is>
          <t>System blocks negative value.
Error appears: "Working hours cannot be negative."</t>
        </is>
      </c>
      <c r="K16" s="21" t="inlineStr"/>
      <c r="L16" s="23" t="inlineStr">
        <is>
          <t>System allowed entering negative working hours (&lt; 0), allowed submitting the report, and sent email notifications without triggering validation errors.</t>
        </is>
      </c>
      <c r="M16" s="25" t="inlineStr">
        <is>
          <t>Failed</t>
        </is>
      </c>
      <c r="N16" s="21" t="inlineStr"/>
      <c r="O16" s="25" t="inlineStr">
        <is>
          <t>High</t>
        </is>
      </c>
      <c r="P16" s="23" t="inlineStr">
        <is>
          <t>Related Requirement: M06-F05, Validation Rules (Section 8)</t>
        </is>
      </c>
    </row>
    <row r="17" ht="75" customHeight="1">
      <c r="A17" s="26" t="inlineStr">
        <is>
          <t>TC-M06-016</t>
        </is>
      </c>
      <c r="B17" s="26" t="inlineStr">
        <is>
          <t>Module 06 - Bi-Weekly Internship Reports</t>
        </is>
      </c>
      <c r="C17" s="27" t="inlineStr">
        <is>
          <t>M06-F05</t>
        </is>
      </c>
      <c r="D17" s="28" t="inlineStr">
        <is>
          <t>Working Hours Calculation</t>
        </is>
      </c>
      <c r="E17" s="28" t="inlineStr">
        <is>
          <t>Prevent Entering Working Hours Exceeding 24 Hours a Day</t>
        </is>
      </c>
      <c r="F17" s="28" t="inlineStr">
        <is>
          <t>Verify system blocks daily working hours greater than 24.</t>
        </is>
      </c>
      <c r="G17" s="28" t="inlineStr">
        <is>
          <t>User is logged in as Student.</t>
        </is>
      </c>
      <c r="H17" s="28" t="inlineStr">
        <is>
          <t>Hours=25</t>
        </is>
      </c>
      <c r="I17" s="28" t="inlineStr">
        <is>
          <t>1. Enter 25 into working hours field for a single day;
2. Click Submit or blur field.</t>
        </is>
      </c>
      <c r="J17" s="28" t="inlineStr">
        <is>
          <t>System blocks input.
Error appears: "Daily working hours cannot exceed 24 hours."</t>
        </is>
      </c>
      <c r="K17" s="26" t="inlineStr"/>
      <c r="L17" s="28" t="inlineStr">
        <is>
          <t>System allowed entering working hours exceeding 24 hours a day (&gt; 24), allowed submitting the report, and sent email notifications without triggering validation errors.</t>
        </is>
      </c>
      <c r="M17" s="25" t="inlineStr">
        <is>
          <t>Failed</t>
        </is>
      </c>
      <c r="N17" s="26" t="inlineStr"/>
      <c r="O17" s="25" t="inlineStr">
        <is>
          <t>High</t>
        </is>
      </c>
      <c r="P17" s="28" t="inlineStr">
        <is>
          <t>Related Requirement: M06-F05, Validation Rules (Section 8)</t>
        </is>
      </c>
    </row>
    <row r="18" ht="45" customHeight="1">
      <c r="A18" s="21" t="inlineStr">
        <is>
          <t>TC-M06-017</t>
        </is>
      </c>
      <c r="B18" s="21" t="inlineStr">
        <is>
          <t>Module 06 - Bi-Weekly Internship Reports</t>
        </is>
      </c>
      <c r="C18" s="22" t="inlineStr">
        <is>
          <t>M06-F05</t>
        </is>
      </c>
      <c r="D18" s="23" t="inlineStr">
        <is>
          <t>Working Hours Calculation</t>
        </is>
      </c>
      <c r="E18" s="23" t="inlineStr">
        <is>
          <t>Prevent Entering Non-numeric Characters into Working Hours Field</t>
        </is>
      </c>
      <c r="F18" s="23" t="inlineStr">
        <is>
          <t>Verify system restricts working hours inputs to valid numeric values.</t>
        </is>
      </c>
      <c r="G18" s="23" t="inlineStr">
        <is>
          <t>User is logged in as Student.</t>
        </is>
      </c>
      <c r="H18" s="23" t="inlineStr">
        <is>
          <t>Hours="abc"</t>
        </is>
      </c>
      <c r="I18" s="23" t="inlineStr">
        <is>
          <t>1. Attempt to type non-numeric text "abc" into working hours field.</t>
        </is>
      </c>
      <c r="J18" s="23" t="inlineStr">
        <is>
          <t>Non-numeric input is prevented or validation error appears: "Please enter a valid number."</t>
        </is>
      </c>
      <c r="K18" s="21" t="inlineStr"/>
      <c r="L18" s="23" t="inlineStr">
        <is>
          <t>Non-numeric characters were blocked from being typed into working hours field.</t>
        </is>
      </c>
      <c r="M18" s="24" t="inlineStr">
        <is>
          <t>Passed</t>
        </is>
      </c>
      <c r="N18" s="21" t="inlineStr"/>
      <c r="O18" s="29" t="inlineStr">
        <is>
          <t>Medium</t>
        </is>
      </c>
      <c r="P18" s="23" t="inlineStr">
        <is>
          <t>Related Requirement: M06-F05, Validation Rules (Section 8)</t>
        </is>
      </c>
    </row>
    <row r="19" ht="180" customHeight="1">
      <c r="A19" s="26" t="inlineStr">
        <is>
          <t>TC-M06-018</t>
        </is>
      </c>
      <c r="B19" s="26" t="inlineStr">
        <is>
          <t>Module 06 - Bi-Weekly Internship Reports</t>
        </is>
      </c>
      <c r="C19" s="27" t="inlineStr">
        <is>
          <t>M06-F06</t>
        </is>
      </c>
      <c r="D19" s="28" t="inlineStr">
        <is>
          <t>Report Submission</t>
        </is>
      </c>
      <c r="E19" s="28" t="inlineStr">
        <is>
          <t>Submit Report Successfully with Complete Valid Data</t>
        </is>
      </c>
      <c r="F19" s="28" t="inlineStr">
        <is>
          <t>Verify functionality for submitting a bi-weekly internship report with complete valid information.</t>
        </is>
      </c>
      <c r="G19" s="28" t="inlineStr">
        <is>
          <t>User is logged in as Student.
Currently on report creation form.</t>
        </is>
      </c>
      <c r="H19" s="28" t="inlineStr">
        <is>
          <t>StartDate="2026-08-03"; CompanySupervisorName="John Doe"; CompanySupervisorEmail="john@company.com"; PnvSupervisorEmail="mentor@passerellesnumeriques.org"; Challenges="None"; SupportNeeded="None"</t>
        </is>
      </c>
      <c r="I19" s="28" t="inlineStr">
        <is>
          <t>1. Enter valid Start Date "2026-08-03";
2. Complete task table details;
3. Enter valid Company Supervisor Name and Email;
4. Enter valid PNV Supervisor Email;
5. Enter Challenges and Support Needed;
6. Click Submit Report button;
7. Confirm submission in popup dialog.</t>
        </is>
      </c>
      <c r="J19" s="28" t="inlineStr">
        <is>
          <t>Report is submitted successfully.
Report status changes to Submitted.
Success notification appears and page transitions to View mode.</t>
        </is>
      </c>
      <c r="K19" s="26" t="inlineStr"/>
      <c r="L19" s="28" t="inlineStr">
        <is>
          <t>Report was submitted successfully, status updated to Submitted, success message appeared, and form switched to View mode.</t>
        </is>
      </c>
      <c r="M19" s="24" t="inlineStr">
        <is>
          <t>Passed</t>
        </is>
      </c>
      <c r="N19" s="26" t="inlineStr"/>
      <c r="O19" s="25" t="inlineStr">
        <is>
          <t>High</t>
        </is>
      </c>
      <c r="P19" s="28" t="inlineStr">
        <is>
          <t>Related Requirement: M06-F06, Business Rules 6.5</t>
        </is>
      </c>
    </row>
    <row r="20" ht="60" customHeight="1">
      <c r="A20" s="21" t="inlineStr">
        <is>
          <t>TC-M06-019</t>
        </is>
      </c>
      <c r="B20" s="21" t="inlineStr">
        <is>
          <t>Module 06 - Bi-Weekly Internship Reports</t>
        </is>
      </c>
      <c r="C20" s="22" t="inlineStr">
        <is>
          <t>M06-F06</t>
        </is>
      </c>
      <c r="D20" s="23" t="inlineStr">
        <is>
          <t>Report Submission</t>
        </is>
      </c>
      <c r="E20" s="23" t="inlineStr">
        <is>
          <t>Submit Report Fails Due to Empty Company Supervisor Name</t>
        </is>
      </c>
      <c r="F20" s="23" t="inlineStr">
        <is>
          <t>Verify system blocks report submission when Company Supervisor Name is empty.</t>
        </is>
      </c>
      <c r="G20" s="23" t="inlineStr">
        <is>
          <t>User is logged in as Student.</t>
        </is>
      </c>
      <c r="H20" s="23" t="inlineStr">
        <is>
          <t>CompanySupervisorName=""</t>
        </is>
      </c>
      <c r="I20" s="23" t="inlineStr">
        <is>
          <t>1. Fill report details but leave Company Supervisor Name blank;
2. Click Submit Report button.</t>
        </is>
      </c>
      <c r="J20" s="23" t="inlineStr">
        <is>
          <t>System blocks submission.
Validation error message appears: "Company Supervisor Name is required."</t>
        </is>
      </c>
      <c r="K20" s="21" t="inlineStr"/>
      <c r="L20" s="23" t="inlineStr">
        <is>
          <t>System blocked submission and displayed validation error "Company Supervisor Name is required."</t>
        </is>
      </c>
      <c r="M20" s="24" t="inlineStr">
        <is>
          <t>Passed</t>
        </is>
      </c>
      <c r="N20" s="21" t="inlineStr"/>
      <c r="O20" s="25" t="inlineStr">
        <is>
          <t>High</t>
        </is>
      </c>
      <c r="P20" s="23" t="inlineStr">
        <is>
          <t>Related Requirement: M06-F06, Validation Rules (Section 8)</t>
        </is>
      </c>
    </row>
    <row r="21" ht="60" customHeight="1">
      <c r="A21" s="26" t="inlineStr">
        <is>
          <t>TC-M06-020</t>
        </is>
      </c>
      <c r="B21" s="26" t="inlineStr">
        <is>
          <t>Module 06 - Bi-Weekly Internship Reports</t>
        </is>
      </c>
      <c r="C21" s="27" t="inlineStr">
        <is>
          <t>M06-F06</t>
        </is>
      </c>
      <c r="D21" s="28" t="inlineStr">
        <is>
          <t>Report Submission</t>
        </is>
      </c>
      <c r="E21" s="28" t="inlineStr">
        <is>
          <t>Submit Report Fails Due to Blank PNV Supervisor Email</t>
        </is>
      </c>
      <c r="F21" s="28" t="inlineStr">
        <is>
          <t>Verify system blocks report submission when PNV Supervisor Email is empty.</t>
        </is>
      </c>
      <c r="G21" s="28" t="inlineStr">
        <is>
          <t>User is logged in as Student.</t>
        </is>
      </c>
      <c r="H21" s="28" t="inlineStr">
        <is>
          <t>PnvSupervisorEmail=""</t>
        </is>
      </c>
      <c r="I21" s="28" t="inlineStr">
        <is>
          <t>1. Fill report details but leave PNV Supervisor Email blank;
2. Click Submit Report button.</t>
        </is>
      </c>
      <c r="J21" s="28" t="inlineStr">
        <is>
          <t>System blocks submission.
Validation error message appears: "PNV Supervisor Email is required."</t>
        </is>
      </c>
      <c r="K21" s="26" t="inlineStr"/>
      <c r="L21" s="28" t="inlineStr">
        <is>
          <t>System blocked submission and displayed validation error "PNV Supervisor Email is required."</t>
        </is>
      </c>
      <c r="M21" s="24" t="inlineStr">
        <is>
          <t>Passed</t>
        </is>
      </c>
      <c r="N21" s="26" t="inlineStr"/>
      <c r="O21" s="25" t="inlineStr">
        <is>
          <t>High</t>
        </is>
      </c>
      <c r="P21" s="28" t="inlineStr">
        <is>
          <t>Related Requirement: M06-F06, Validation Rules (Section 8)</t>
        </is>
      </c>
    </row>
    <row r="22" ht="60" customHeight="1">
      <c r="A22" s="21" t="inlineStr">
        <is>
          <t>TC-M06-021</t>
        </is>
      </c>
      <c r="B22" s="21" t="inlineStr">
        <is>
          <t>Module 06 - Bi-Weekly Internship Reports</t>
        </is>
      </c>
      <c r="C22" s="22" t="inlineStr">
        <is>
          <t>M06-F06</t>
        </is>
      </c>
      <c r="D22" s="23" t="inlineStr">
        <is>
          <t>Report Submission</t>
        </is>
      </c>
      <c r="E22" s="23" t="inlineStr">
        <is>
          <t>Submit Report Fails Due to Invalid PNV Supervisor Email Format</t>
        </is>
      </c>
      <c r="F22" s="23" t="inlineStr">
        <is>
          <t>Verify system blocks submission when PNV Supervisor Email has invalid format.</t>
        </is>
      </c>
      <c r="G22" s="23" t="inlineStr">
        <is>
          <t>User is logged in as Student.</t>
        </is>
      </c>
      <c r="H22" s="23" t="inlineStr">
        <is>
          <t>PnvSupervisorEmail="invalid-email"</t>
        </is>
      </c>
      <c r="I22" s="23" t="inlineStr">
        <is>
          <t>1. Enter invalid email format "invalid-email" for PNV Supervisor Email;
2. Click Submit Report button.</t>
        </is>
      </c>
      <c r="J22" s="23" t="inlineStr">
        <is>
          <t>System blocks submission.
Validation error message appears: "Invalid email address format."</t>
        </is>
      </c>
      <c r="K22" s="21" t="inlineStr"/>
      <c r="L22" s="23" t="inlineStr">
        <is>
          <t>System blocked submission and displayed validation error "Invalid email address format."</t>
        </is>
      </c>
      <c r="M22" s="24" t="inlineStr">
        <is>
          <t>Passed</t>
        </is>
      </c>
      <c r="N22" s="21" t="inlineStr"/>
      <c r="O22" s="25" t="inlineStr">
        <is>
          <t>High</t>
        </is>
      </c>
      <c r="P22" s="23" t="inlineStr">
        <is>
          <t>Related Requirement: M06-F06, Validation Rules (Section 8)</t>
        </is>
      </c>
    </row>
    <row r="23" ht="60" customHeight="1">
      <c r="A23" s="26" t="inlineStr">
        <is>
          <t>TC-M06-022</t>
        </is>
      </c>
      <c r="B23" s="26" t="inlineStr">
        <is>
          <t>Module 06 - Bi-Weekly Internship Reports</t>
        </is>
      </c>
      <c r="C23" s="27" t="inlineStr">
        <is>
          <t>M06-F06</t>
        </is>
      </c>
      <c r="D23" s="28" t="inlineStr">
        <is>
          <t>Report Submission</t>
        </is>
      </c>
      <c r="E23" s="28" t="inlineStr">
        <is>
          <t>Submit Report Fails Due to Blank Company Supervisor Email</t>
        </is>
      </c>
      <c r="F23" s="28" t="inlineStr">
        <is>
          <t>Verify system blocks report submission when Company Supervisor Email is empty.</t>
        </is>
      </c>
      <c r="G23" s="28" t="inlineStr">
        <is>
          <t>User is logged in as Student.</t>
        </is>
      </c>
      <c r="H23" s="28" t="inlineStr">
        <is>
          <t>CompanySupervisorEmail=""</t>
        </is>
      </c>
      <c r="I23" s="28" t="inlineStr">
        <is>
          <t>1. Fill report details but leave Company Supervisor Email blank;
2. Click Submit Report button.</t>
        </is>
      </c>
      <c r="J23" s="28" t="inlineStr">
        <is>
          <t>System blocks submission.
Validation error message appears: "Company Supervisor Email is required."</t>
        </is>
      </c>
      <c r="K23" s="26" t="inlineStr"/>
      <c r="L23" s="28" t="inlineStr">
        <is>
          <t>System blocked submission and displayed validation error "Company Supervisor Email is required."</t>
        </is>
      </c>
      <c r="M23" s="24" t="inlineStr">
        <is>
          <t>Passed</t>
        </is>
      </c>
      <c r="N23" s="26" t="inlineStr"/>
      <c r="O23" s="25" t="inlineStr">
        <is>
          <t>High</t>
        </is>
      </c>
      <c r="P23" s="28" t="inlineStr">
        <is>
          <t>Related Requirement: M06-F06, Validation Rules (Section 8)</t>
        </is>
      </c>
    </row>
    <row r="24" ht="60" customHeight="1">
      <c r="A24" s="21" t="inlineStr">
        <is>
          <t>TC-M06-023</t>
        </is>
      </c>
      <c r="B24" s="21" t="inlineStr">
        <is>
          <t>Module 06 - Bi-Weekly Internship Reports</t>
        </is>
      </c>
      <c r="C24" s="22" t="inlineStr">
        <is>
          <t>M06-F06</t>
        </is>
      </c>
      <c r="D24" s="23" t="inlineStr">
        <is>
          <t>Report Submission</t>
        </is>
      </c>
      <c r="E24" s="23" t="inlineStr">
        <is>
          <t>Submit Report Fails Due to Invalid Company Supervisor Email Format</t>
        </is>
      </c>
      <c r="F24" s="23" t="inlineStr">
        <is>
          <t>Verify system blocks submission when Company Supervisor Email has invalid format.</t>
        </is>
      </c>
      <c r="G24" s="23" t="inlineStr">
        <is>
          <t>User is logged in as Student.</t>
        </is>
      </c>
      <c r="H24" s="23" t="inlineStr">
        <is>
          <t>CompanySupervisorEmail="invalid-email"</t>
        </is>
      </c>
      <c r="I24" s="23" t="inlineStr">
        <is>
          <t>1. Enter invalid email format "invalid-email" for Company Supervisor Email;
2. Click Submit Report button.</t>
        </is>
      </c>
      <c r="J24" s="23" t="inlineStr">
        <is>
          <t>System blocks submission.
Validation error message appears: "Invalid email address format."</t>
        </is>
      </c>
      <c r="K24" s="21" t="inlineStr"/>
      <c r="L24" s="23" t="inlineStr">
        <is>
          <t>System blocked submission and displayed validation error "Invalid email address format."</t>
        </is>
      </c>
      <c r="M24" s="24" t="inlineStr">
        <is>
          <t>Passed</t>
        </is>
      </c>
      <c r="N24" s="21" t="inlineStr"/>
      <c r="O24" s="25" t="inlineStr">
        <is>
          <t>High</t>
        </is>
      </c>
      <c r="P24" s="23" t="inlineStr">
        <is>
          <t>Related Requirement: M06-F06, Validation Rules (Section 8)</t>
        </is>
      </c>
    </row>
    <row r="25" ht="60" customHeight="1">
      <c r="A25" s="26" t="inlineStr">
        <is>
          <t>TC-M06-024</t>
        </is>
      </c>
      <c r="B25" s="26" t="inlineStr">
        <is>
          <t>Module 06 - Bi-Weekly Internship Reports</t>
        </is>
      </c>
      <c r="C25" s="27" t="inlineStr">
        <is>
          <t>M06-F06</t>
        </is>
      </c>
      <c r="D25" s="28" t="inlineStr">
        <is>
          <t>Report Submission</t>
        </is>
      </c>
      <c r="E25" s="28" t="inlineStr">
        <is>
          <t>Submit Report Fails Due to Blank Challenges Section</t>
        </is>
      </c>
      <c r="F25" s="28" t="inlineStr">
        <is>
          <t>Verify system blocks report submission when Challenges field is empty.</t>
        </is>
      </c>
      <c r="G25" s="28" t="inlineStr">
        <is>
          <t>User is logged in as Student.</t>
        </is>
      </c>
      <c r="H25" s="28" t="inlineStr">
        <is>
          <t>Challenges=""</t>
        </is>
      </c>
      <c r="I25" s="28" t="inlineStr">
        <is>
          <t>1. Leave Challenges field blank;
2. Click Submit Report button.</t>
        </is>
      </c>
      <c r="J25" s="28" t="inlineStr">
        <is>
          <t>System blocks submission.
Validation error message appears: "Challenges field is required."</t>
        </is>
      </c>
      <c r="K25" s="26" t="inlineStr"/>
      <c r="L25" s="28" t="inlineStr">
        <is>
          <t>System blocked submission and displayed validation error "Challenges field is required."</t>
        </is>
      </c>
      <c r="M25" s="24" t="inlineStr">
        <is>
          <t>Passed</t>
        </is>
      </c>
      <c r="N25" s="26" t="inlineStr"/>
      <c r="O25" s="25" t="inlineStr">
        <is>
          <t>High</t>
        </is>
      </c>
      <c r="P25" s="28" t="inlineStr">
        <is>
          <t>Related Requirement: M06-F06, Validation Rules (Section 8)</t>
        </is>
      </c>
    </row>
    <row r="26" ht="60" customHeight="1">
      <c r="A26" s="21" t="inlineStr">
        <is>
          <t>TC-M06-025</t>
        </is>
      </c>
      <c r="B26" s="21" t="inlineStr">
        <is>
          <t>Module 06 - Bi-Weekly Internship Reports</t>
        </is>
      </c>
      <c r="C26" s="22" t="inlineStr">
        <is>
          <t>M06-F06</t>
        </is>
      </c>
      <c r="D26" s="23" t="inlineStr">
        <is>
          <t>Report Submission</t>
        </is>
      </c>
      <c r="E26" s="23" t="inlineStr">
        <is>
          <t>Submit Report Fails Due to Blank Support Needed Section</t>
        </is>
      </c>
      <c r="F26" s="23" t="inlineStr">
        <is>
          <t>Verify system blocks report submission when Support Needed field is empty.</t>
        </is>
      </c>
      <c r="G26" s="23" t="inlineStr">
        <is>
          <t>User is logged in as Student.</t>
        </is>
      </c>
      <c r="H26" s="23" t="inlineStr">
        <is>
          <t>SupportNeeded=""</t>
        </is>
      </c>
      <c r="I26" s="23" t="inlineStr">
        <is>
          <t>1. Leave Support Needed field blank;
2. Click Submit Report button.</t>
        </is>
      </c>
      <c r="J26" s="23" t="inlineStr">
        <is>
          <t>System blocks submission.
Validation error message appears: "Support Needed field is required."</t>
        </is>
      </c>
      <c r="K26" s="21" t="inlineStr"/>
      <c r="L26" s="23" t="inlineStr">
        <is>
          <t>System blocked submission and displayed validation error "Support Needed field is required."</t>
        </is>
      </c>
      <c r="M26" s="24" t="inlineStr">
        <is>
          <t>Passed</t>
        </is>
      </c>
      <c r="N26" s="21" t="inlineStr"/>
      <c r="O26" s="25" t="inlineStr">
        <is>
          <t>High</t>
        </is>
      </c>
      <c r="P26" s="23" t="inlineStr">
        <is>
          <t>Related Requirement: M06-F06, Validation Rules (Section 8)</t>
        </is>
      </c>
    </row>
    <row r="27" ht="60" customHeight="1">
      <c r="A27" s="26" t="inlineStr">
        <is>
          <t>TC-M06-026</t>
        </is>
      </c>
      <c r="B27" s="26" t="inlineStr">
        <is>
          <t>Module 06 - Bi-Weekly Internship Reports</t>
        </is>
      </c>
      <c r="C27" s="27" t="inlineStr">
        <is>
          <t>M06-F06</t>
        </is>
      </c>
      <c r="D27" s="28" t="inlineStr">
        <is>
          <t>Report Submission</t>
        </is>
      </c>
      <c r="E27" s="28" t="inlineStr">
        <is>
          <t>Cancel Report Submission Confirmation</t>
        </is>
      </c>
      <c r="F27" s="28" t="inlineStr">
        <is>
          <t>Verify clicking Cancel in submission confirmation popup returns to edit form without submitting.</t>
        </is>
      </c>
      <c r="G27" s="28" t="inlineStr">
        <is>
          <t>User is logged in as Student.
Form filled with complete valid data.</t>
        </is>
      </c>
      <c r="H27" s="28" t="inlineStr">
        <is>
          <t>Action="Cancel Confirmation"</t>
        </is>
      </c>
      <c r="I27" s="28" t="inlineStr">
        <is>
          <t>1. Click Submit Report button;
2. When confirmation popup appears, click Cancel button.</t>
        </is>
      </c>
      <c r="J27" s="28" t="inlineStr">
        <is>
          <t>Confirmation popup closes.
Report is not submitted and remains in edit form.</t>
        </is>
      </c>
      <c r="K27" s="26" t="inlineStr"/>
      <c r="L27" s="28" t="inlineStr">
        <is>
          <t>Confirmation popup closed upon clicking Cancel, report was not submitted, and form remained in edit mode.</t>
        </is>
      </c>
      <c r="M27" s="24" t="inlineStr">
        <is>
          <t>Passed</t>
        </is>
      </c>
      <c r="N27" s="26" t="inlineStr"/>
      <c r="O27" s="29" t="inlineStr">
        <is>
          <t>Medium</t>
        </is>
      </c>
      <c r="P27" s="28" t="inlineStr">
        <is>
          <t>Related Requirement: M06-F06, UI Standards</t>
        </is>
      </c>
    </row>
    <row r="28" ht="75" customHeight="1">
      <c r="A28" s="21" t="inlineStr">
        <is>
          <t>TC-M06-027</t>
        </is>
      </c>
      <c r="B28" s="21" t="inlineStr">
        <is>
          <t>Module 06 - Bi-Weekly Internship Reports</t>
        </is>
      </c>
      <c r="C28" s="22" t="inlineStr">
        <is>
          <t>M06-F07</t>
        </is>
      </c>
      <c r="D28" s="23" t="inlineStr">
        <is>
          <t>Read-only Submitted Reports</t>
        </is>
      </c>
      <c r="E28" s="23" t="inlineStr">
        <is>
          <t>Submitted Report Permanently Switches to Read-Only Status</t>
        </is>
      </c>
      <c r="F28" s="23" t="inlineStr">
        <is>
          <t>Verify student cannot edit or resubmit a report once it has been submitted.</t>
        </is>
      </c>
      <c r="G28" s="23" t="inlineStr">
        <is>
          <t>User is logged in as Student.
Report status is Submitted.</t>
        </is>
      </c>
      <c r="H28" s="23" t="inlineStr">
        <is>
          <t>ReportStatus="Submitted"</t>
        </is>
      </c>
      <c r="I28" s="23" t="inlineStr">
        <is>
          <t>1. Open submitted report;
2. Observe UI for edit/save buttons.</t>
        </is>
      </c>
      <c r="J28" s="23" t="inlineStr">
        <is>
          <t>Report displays in Read-Only mode.
Edit and Save buttons are hidden or disabled.
Student cannot modify content.</t>
        </is>
      </c>
      <c r="K28" s="21" t="inlineStr"/>
      <c r="L28" s="23" t="inlineStr">
        <is>
          <t>Submitted report displayed in Read-Only mode with edit and save controls disabled.</t>
        </is>
      </c>
      <c r="M28" s="24" t="inlineStr">
        <is>
          <t>Passed</t>
        </is>
      </c>
      <c r="N28" s="21" t="inlineStr"/>
      <c r="O28" s="25" t="inlineStr">
        <is>
          <t>High</t>
        </is>
      </c>
      <c r="P28" s="23" t="inlineStr">
        <is>
          <t>Related Requirement: M06-F07, Business Rules 6.6</t>
        </is>
      </c>
    </row>
    <row r="29" ht="60" customHeight="1">
      <c r="A29" s="26" t="inlineStr">
        <is>
          <t>TC-M06-028</t>
        </is>
      </c>
      <c r="B29" s="26" t="inlineStr">
        <is>
          <t>Module 06 - Bi-Weekly Internship Reports</t>
        </is>
      </c>
      <c r="C29" s="27" t="inlineStr">
        <is>
          <t>M06-F08</t>
        </is>
      </c>
      <c r="D29" s="28" t="inlineStr">
        <is>
          <t>Automated Email Notifications</t>
        </is>
      </c>
      <c r="E29" s="28" t="inlineStr">
        <is>
          <t>Send Automatic Email Notification Upon Successful Report Submission</t>
        </is>
      </c>
      <c r="F29" s="28" t="inlineStr">
        <is>
          <t>Verify system triggers email notifications to PNV supervisor and Company supervisor after successful submission.</t>
        </is>
      </c>
      <c r="G29" s="28" t="inlineStr">
        <is>
          <t>User is logged in as Student.
Email notification service enabled.</t>
        </is>
      </c>
      <c r="H29" s="28" t="inlineStr">
        <is>
          <t>PnvSupervisorEmail="mentor@passerellesnumeriques.org"; CompanySupervisorEmail="john@company.com"</t>
        </is>
      </c>
      <c r="I29" s="28" t="inlineStr">
        <is>
          <t>1. Submit bi-weekly internship report successfully;
2. Check email inbox of PNV supervisor and Company supervisor.</t>
        </is>
      </c>
      <c r="J29" s="28" t="inlineStr">
        <is>
          <t>Automated email notification is delivered to both supervisor email addresses containing report summary.</t>
        </is>
      </c>
      <c r="K29" s="26" t="inlineStr"/>
      <c r="L29" s="28" t="inlineStr">
        <is>
          <t>Automated email notifications containing report summary were delivered to both PNV and Company supervisors upon submission.</t>
        </is>
      </c>
      <c r="M29" s="24" t="inlineStr">
        <is>
          <t>Passed</t>
        </is>
      </c>
      <c r="N29" s="26" t="inlineStr"/>
      <c r="O29" s="25" t="inlineStr">
        <is>
          <t>High</t>
        </is>
      </c>
      <c r="P29" s="28" t="inlineStr">
        <is>
          <t>Related Requirement: M06-F08, Business Rules 6.7</t>
        </is>
      </c>
    </row>
    <row r="30" ht="75" customHeight="1">
      <c r="A30" s="21" t="inlineStr">
        <is>
          <t>TC-M06-029</t>
        </is>
      </c>
      <c r="B30" s="21" t="inlineStr">
        <is>
          <t>Module 06 - Bi-Weekly Internship Reports</t>
        </is>
      </c>
      <c r="C30" s="22" t="inlineStr">
        <is>
          <t>M06-F08</t>
        </is>
      </c>
      <c r="D30" s="23" t="inlineStr">
        <is>
          <t>Automated Email Notifications</t>
        </is>
      </c>
      <c r="E30" s="23" t="inlineStr">
        <is>
          <t>Handle Error When Email Notification Sending Fails</t>
        </is>
      </c>
      <c r="F30" s="23" t="inlineStr">
        <is>
          <t>Verify report submission still succeeds and logs error gracefully if email service fails.</t>
        </is>
      </c>
      <c r="G30" s="23" t="inlineStr">
        <is>
          <t>User is logged in as Student.
Email notification service is temporarily unavailable.</t>
        </is>
      </c>
      <c r="H30" s="23" t="inlineStr">
        <is>
          <t>EmailServiceStatus="Offline"</t>
        </is>
      </c>
      <c r="I30" s="23" t="inlineStr">
        <is>
          <t>1. Submit report when email service is offline;
2. Observe system response.</t>
        </is>
      </c>
      <c r="J30" s="23" t="inlineStr">
        <is>
          <t>Report submission succeeds and saves to database.
Warning message appears notifying student that email delivery failed, and error is logged.</t>
        </is>
      </c>
      <c r="K30" s="21" t="inlineStr"/>
      <c r="L30" s="23" t="inlineStr">
        <is>
          <t>Report saved successfully to database, warning notification displayed regarding email failure, and error was logged.</t>
        </is>
      </c>
      <c r="M30" s="24" t="inlineStr">
        <is>
          <t>Passed</t>
        </is>
      </c>
      <c r="N30" s="21" t="inlineStr"/>
      <c r="O30" s="29" t="inlineStr">
        <is>
          <t>Medium</t>
        </is>
      </c>
      <c r="P30" s="23" t="inlineStr">
        <is>
          <t>Related Requirement: M06-F08, Error Handling (Section 8)</t>
        </is>
      </c>
    </row>
    <row r="31" ht="75" customHeight="1">
      <c r="A31" s="26" t="inlineStr">
        <is>
          <t>TC-M06-030</t>
        </is>
      </c>
      <c r="B31" s="26" t="inlineStr">
        <is>
          <t>Module 06 - Bi-Weekly Internship Reports</t>
        </is>
      </c>
      <c r="C31" s="27" t="inlineStr">
        <is>
          <t>M06-F09</t>
        </is>
      </c>
      <c r="D31" s="28" t="inlineStr">
        <is>
          <t>Staff Report Viewing</t>
        </is>
      </c>
      <c r="E31" s="28" t="inlineStr">
        <is>
          <t>Staff View Student Internship Report</t>
        </is>
      </c>
      <c r="F31" s="28" t="inlineStr">
        <is>
          <t>Verify Staff can view submitted bi-weekly internship reports of students.</t>
        </is>
      </c>
      <c r="G31" s="28" t="inlineStr">
        <is>
          <t>User is logged in as Staff.
Student has submitted a bi-weekly report.</t>
        </is>
      </c>
      <c r="H31" s="28" t="inlineStr">
        <is>
          <t>StaffEmail="staff@passerellesnumeriques.org"</t>
        </is>
      </c>
      <c r="I31" s="28" t="inlineStr">
        <is>
          <t>1. Access Internship Management interface;
2. Select student report list;
3. Click View on student's submitted report.</t>
        </is>
      </c>
      <c r="J31" s="28" t="inlineStr">
        <is>
          <t>Staff can view complete report content (tasks, hours, challenges, supervisor info) in Read-Only mode.</t>
        </is>
      </c>
      <c r="K31" s="26" t="inlineStr"/>
      <c r="L31" s="28" t="inlineStr">
        <is>
          <t>Staff accessed student report list and viewed complete report content in Read-Only mode.</t>
        </is>
      </c>
      <c r="M31" s="24" t="inlineStr">
        <is>
          <t>Passed</t>
        </is>
      </c>
      <c r="N31" s="26" t="inlineStr"/>
      <c r="O31" s="25" t="inlineStr">
        <is>
          <t>High</t>
        </is>
      </c>
      <c r="P31" s="28" t="inlineStr">
        <is>
          <t>Related Requirement: M06-F09, Business Rules 6.8</t>
        </is>
      </c>
    </row>
    <row r="32" ht="60" customHeight="1">
      <c r="A32" s="21" t="inlineStr">
        <is>
          <t>TC-M06-031</t>
        </is>
      </c>
      <c r="B32" s="21" t="inlineStr">
        <is>
          <t>Module 06 - Bi-Weekly Internship Reports</t>
        </is>
      </c>
      <c r="C32" s="22" t="inlineStr">
        <is>
          <t>M06-F09</t>
        </is>
      </c>
      <c r="D32" s="23" t="inlineStr">
        <is>
          <t>Staff Report Viewing</t>
        </is>
      </c>
      <c r="E32" s="23" t="inlineStr">
        <is>
          <t>Staff Cannot Edit or Delete Student Report</t>
        </is>
      </c>
      <c r="F32" s="23" t="inlineStr">
        <is>
          <t>Verify Staff users cannot modify or delete submitted student reports.</t>
        </is>
      </c>
      <c r="G32" s="23" t="inlineStr">
        <is>
          <t>User is logged in as Staff.
Viewing submitted student report.</t>
        </is>
      </c>
      <c r="H32" s="23" t="inlineStr">
        <is>
          <t>StaffEmail="staff@passerellesnumeriques.org"</t>
        </is>
      </c>
      <c r="I32" s="23" t="inlineStr">
        <is>
          <t>1. Open student submitted report;
2. Check for edit/delete controls.</t>
        </is>
      </c>
      <c r="J32" s="23" t="inlineStr">
        <is>
          <t>No edit or delete buttons are available for Staff.
Report content is strictly Read-Only.</t>
        </is>
      </c>
      <c r="K32" s="21" t="inlineStr"/>
      <c r="L32" s="23" t="inlineStr">
        <is>
          <t>Edit and delete controls were hidden for Staff role; report content remained strictly Read-Only.</t>
        </is>
      </c>
      <c r="M32" s="24" t="inlineStr">
        <is>
          <t>Passed</t>
        </is>
      </c>
      <c r="N32" s="21" t="inlineStr"/>
      <c r="O32" s="25" t="inlineStr">
        <is>
          <t>High</t>
        </is>
      </c>
      <c r="P32" s="23" t="inlineStr">
        <is>
          <t>Related Requirement: M06-F09, Business Rules 6.8</t>
        </is>
      </c>
    </row>
  </sheetData>
  <autoFilter ref="A1:P32"/>
  <dataValidations count="2">
    <dataValidation sqref="M2:M132" showDropDown="0" showInputMessage="0" showErrorMessage="0" allowBlank="1" errorTitle="Invalid Status" error="Please select a valid state: Passed, Failed, or Not Run" type="list">
      <formula1>"Passed,Failed,Not Run"</formula1>
    </dataValidation>
    <dataValidation sqref="O2:O132" showDropDown="0" showInputMessage="0" showErrorMessage="0" allowBlank="1" errorTitle="Invalid Priority" error="Please select a valid priority: High, Medium, or Low" type="list">
      <formula1>"High,Medium,Low"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42"/>
  <sheetViews>
    <sheetView showGridLines="1" workbookViewId="0">
      <selection activeCell="A1" sqref="A1"/>
    </sheetView>
  </sheetViews>
  <sheetFormatPr baseColWidth="8" defaultRowHeight="15"/>
  <cols>
    <col width="15" customWidth="1" min="1" max="1"/>
    <col width="14" customWidth="1" min="2" max="2"/>
    <col width="14" customWidth="1" min="3" max="3"/>
    <col width="28" customWidth="1" min="4" max="4"/>
    <col width="32" customWidth="1" min="5" max="5"/>
    <col width="36" customWidth="1" min="6" max="6"/>
    <col width="30" customWidth="1" min="7" max="7"/>
    <col width="28" customWidth="1" min="8" max="8"/>
    <col width="48" customWidth="1" min="9" max="9"/>
    <col width="48" customWidth="1" min="10" max="10"/>
    <col width="36" customWidth="1" min="11" max="11"/>
    <col width="16" customWidth="1" min="12" max="12"/>
    <col width="25" customWidth="1" min="13" max="13"/>
    <col width="14" customWidth="1" min="14" max="14"/>
    <col width="32" customWidth="1" min="15" max="15"/>
  </cols>
  <sheetData>
    <row r="1" ht="28" customHeight="1">
      <c r="A1" s="20" t="inlineStr">
        <is>
          <t>ID</t>
        </is>
      </c>
      <c r="B1" s="20" t="inlineStr">
        <is>
          <t>Module</t>
        </is>
      </c>
      <c r="C1" s="20" t="inlineStr">
        <is>
          <t>Feature ID</t>
        </is>
      </c>
      <c r="D1" s="20" t="inlineStr">
        <is>
          <t>Feature Name</t>
        </is>
      </c>
      <c r="E1" s="20" t="inlineStr">
        <is>
          <t>Title</t>
        </is>
      </c>
      <c r="F1" s="20" t="inlineStr">
        <is>
          <t>Objective</t>
        </is>
      </c>
      <c r="G1" s="20" t="inlineStr">
        <is>
          <t>Preconditions</t>
        </is>
      </c>
      <c r="H1" s="20" t="inlineStr">
        <is>
          <t>TestData</t>
        </is>
      </c>
      <c r="I1" s="20" t="inlineStr">
        <is>
          <t>Steps</t>
        </is>
      </c>
      <c r="J1" s="20" t="inlineStr">
        <is>
          <t>ExpectedResult</t>
        </is>
      </c>
      <c r="K1" s="20" t="inlineStr">
        <is>
          <t>Actual Result</t>
        </is>
      </c>
      <c r="L1" s="20" t="inlineStr">
        <is>
          <t>Status</t>
        </is>
      </c>
      <c r="M1" s="20" t="inlineStr">
        <is>
          <t>Evidence</t>
        </is>
      </c>
      <c r="N1" s="20" t="inlineStr">
        <is>
          <t>Priority</t>
        </is>
      </c>
      <c r="O1" s="20" t="inlineStr">
        <is>
          <t>Notes</t>
        </is>
      </c>
    </row>
    <row r="2" ht="105" customHeight="1">
      <c r="A2" s="21" t="inlineStr">
        <is>
          <t>TC-M07-001</t>
        </is>
      </c>
      <c r="B2" s="21" t="inlineStr">
        <is>
          <t>Module 07 - Training Materials</t>
        </is>
      </c>
      <c r="C2" s="22" t="inlineStr">
        <is>
          <t>M07-F02</t>
        </is>
      </c>
      <c r="D2" s="23" t="inlineStr">
        <is>
          <t>Category Management</t>
        </is>
      </c>
      <c r="E2" s="23" t="inlineStr">
        <is>
          <t>Rename Category with a Valid Name</t>
        </is>
      </c>
      <c r="F2" s="23" t="inlineStr">
        <is>
          <t>Verify functionality for renaming a category when entering a valid new name.</t>
        </is>
      </c>
      <c r="G2" s="23" t="inlineStr">
        <is>
          <t>User is logged in as Staff.
Currently on Training Materials Management interface.</t>
        </is>
      </c>
      <c r="H2" s="23" t="inlineStr">
        <is>
          <t>OldCategoryName="General"; NewCategoryName="Foundations"</t>
        </is>
      </c>
      <c r="I2" s="23" t="inlineStr">
        <is>
          <t>1. Select Category "General";
2. Click Rename Category button;
3. Enter new name as "Foundations";
4. Click Save button.</t>
        </is>
      </c>
      <c r="J2" s="23" t="inlineStr">
        <is>
          <t>Category renamed successfully.
New category name "Foundations" is updated and displayed on UI.</t>
        </is>
      </c>
      <c r="K2" s="23" t="inlineStr"/>
      <c r="L2" s="30" t="inlineStr">
        <is>
          <t>Not Run</t>
        </is>
      </c>
      <c r="M2" s="21" t="inlineStr"/>
      <c r="N2" s="25" t="inlineStr">
        <is>
          <t>High</t>
        </is>
      </c>
      <c r="O2" s="23" t="inlineStr">
        <is>
          <t>Related Requirement: M07-F02, Rule 6.2</t>
        </is>
      </c>
    </row>
    <row r="3" ht="60" customHeight="1">
      <c r="A3" s="26" t="inlineStr">
        <is>
          <t>TC-M07-002</t>
        </is>
      </c>
      <c r="B3" s="26" t="inlineStr">
        <is>
          <t>Module 07 - Training Materials</t>
        </is>
      </c>
      <c r="C3" s="27" t="inlineStr">
        <is>
          <t>M07-F02</t>
        </is>
      </c>
      <c r="D3" s="28" t="inlineStr">
        <is>
          <t>Category Management</t>
        </is>
      </c>
      <c r="E3" s="28" t="inlineStr">
        <is>
          <t>Category Rename Fails Due to Empty Name</t>
        </is>
      </c>
      <c r="F3" s="28" t="inlineStr">
        <is>
          <t>Verify system displays error and prevents renaming category when new name is empty.</t>
        </is>
      </c>
      <c r="G3" s="28" t="inlineStr">
        <is>
          <t>User is logged in as Staff.
Currently on Rename Category dialog.</t>
        </is>
      </c>
      <c r="H3" s="28" t="inlineStr">
        <is>
          <t>NewCategoryName=""</t>
        </is>
      </c>
      <c r="I3" s="28" t="inlineStr">
        <is>
          <t>1. Leave new Category Name field empty;
2. Click Save button.</t>
        </is>
      </c>
      <c r="J3" s="28" t="inlineStr">
        <is>
          <t>System blocks action.
Validation error message appears: "Category Name cannot be empty."</t>
        </is>
      </c>
      <c r="K3" s="28" t="inlineStr"/>
      <c r="L3" s="30" t="inlineStr">
        <is>
          <t>Not Run</t>
        </is>
      </c>
      <c r="M3" s="26" t="inlineStr"/>
      <c r="N3" s="25" t="inlineStr">
        <is>
          <t>High</t>
        </is>
      </c>
      <c r="O3" s="28" t="inlineStr">
        <is>
          <t>Related Requirement: M07-F02, Validation Rules (Section 8)</t>
        </is>
      </c>
    </row>
    <row r="4" ht="60" customHeight="1">
      <c r="A4" s="21" t="inlineStr">
        <is>
          <t>TC-M07-003</t>
        </is>
      </c>
      <c r="B4" s="21" t="inlineStr">
        <is>
          <t>Module 07 - Training Materials</t>
        </is>
      </c>
      <c r="C4" s="22" t="inlineStr">
        <is>
          <t>M07-F02</t>
        </is>
      </c>
      <c r="D4" s="23" t="inlineStr">
        <is>
          <t>Category Management</t>
        </is>
      </c>
      <c r="E4" s="23" t="inlineStr">
        <is>
          <t>Verify Archive and Delete Functions Are Not Supported for Category</t>
        </is>
      </c>
      <c r="F4" s="23" t="inlineStr">
        <is>
          <t>Verify system does not support archive or delete operations on categories.</t>
        </is>
      </c>
      <c r="G4" s="23" t="inlineStr">
        <is>
          <t>User is logged in as Staff.
Viewing Category menu.</t>
        </is>
      </c>
      <c r="H4" s="23" t="inlineStr">
        <is>
          <t>CategoryName="Foundations"</t>
        </is>
      </c>
      <c r="I4" s="23" t="inlineStr">
        <is>
          <t>1. Open options menu for Category "Foundations";
2. Check for Archive or Delete options.</t>
        </is>
      </c>
      <c r="J4" s="23" t="inlineStr">
        <is>
          <t>Archive and Delete buttons are not present in Category context menu.</t>
        </is>
      </c>
      <c r="K4" s="23" t="inlineStr"/>
      <c r="L4" s="30" t="inlineStr">
        <is>
          <t>Not Run</t>
        </is>
      </c>
      <c r="M4" s="21" t="inlineStr"/>
      <c r="N4" s="29" t="inlineStr">
        <is>
          <t>Medium</t>
        </is>
      </c>
      <c r="O4" s="23" t="inlineStr">
        <is>
          <t>Related Requirement: M07-F02, Business Rules 6.2</t>
        </is>
      </c>
    </row>
    <row r="5" ht="45" customHeight="1">
      <c r="A5" s="26" t="inlineStr">
        <is>
          <t>TC-M07-004</t>
        </is>
      </c>
      <c r="B5" s="26" t="inlineStr">
        <is>
          <t>Module 07 - Training Materials</t>
        </is>
      </c>
      <c r="C5" s="27" t="inlineStr">
        <is>
          <t>M07-F02</t>
        </is>
      </c>
      <c r="D5" s="28" t="inlineStr">
        <is>
          <t>Category Management</t>
        </is>
      </c>
      <c r="E5" s="28" t="inlineStr">
        <is>
          <t>Verify Default Categories Exist in System</t>
        </is>
      </c>
      <c r="F5" s="28" t="inlineStr">
        <is>
          <t>Verify system contains default fixed categories upon initialization.</t>
        </is>
      </c>
      <c r="G5" s="28" t="inlineStr">
        <is>
          <t>User is logged in as Staff.</t>
        </is>
      </c>
      <c r="H5" s="28" t="inlineStr">
        <is>
          <t>DefaultCategories=["IT", "English", "Professional Skills"]</t>
        </is>
      </c>
      <c r="I5" s="28" t="inlineStr">
        <is>
          <t>1. Access Training Materials page;
2. Check category sidebar/tabs.</t>
        </is>
      </c>
      <c r="J5" s="28" t="inlineStr">
        <is>
          <t>Default categories "IT", "English", and "Professional Skills" are present in system.</t>
        </is>
      </c>
      <c r="K5" s="28" t="inlineStr"/>
      <c r="L5" s="30" t="inlineStr">
        <is>
          <t>Not Run</t>
        </is>
      </c>
      <c r="M5" s="26" t="inlineStr"/>
      <c r="N5" s="25" t="inlineStr">
        <is>
          <t>High</t>
        </is>
      </c>
      <c r="O5" s="28" t="inlineStr">
        <is>
          <t>Related Requirement: M07-F02, Business Rules 6.2</t>
        </is>
      </c>
    </row>
    <row r="6" ht="105" customHeight="1">
      <c r="A6" s="21" t="inlineStr">
        <is>
          <t>TC-M07-005</t>
        </is>
      </c>
      <c r="B6" s="21" t="inlineStr">
        <is>
          <t>Module 07 - Training Materials</t>
        </is>
      </c>
      <c r="C6" s="22" t="inlineStr">
        <is>
          <t>M07-F03</t>
        </is>
      </c>
      <c r="D6" s="23" t="inlineStr">
        <is>
          <t>Course Management</t>
        </is>
      </c>
      <c r="E6" s="23" t="inlineStr">
        <is>
          <t>Create New Course with Valid Information</t>
        </is>
      </c>
      <c r="F6" s="23" t="inlineStr">
        <is>
          <t>Verify functionality for creating a new course within a category.</t>
        </is>
      </c>
      <c r="G6" s="23" t="inlineStr">
        <is>
          <t>User is logged in as Staff.
Category "IT" exists.</t>
        </is>
      </c>
      <c r="H6" s="23" t="inlineStr">
        <is>
          <t>Category="IT"; CourseName="Web Development"</t>
        </is>
      </c>
      <c r="I6" s="23" t="inlineStr">
        <is>
          <t>1. Select Category "IT";
2. Click Create New Course button;
3. Enter Course Name as "Web Development";
4. Click Save button.</t>
        </is>
      </c>
      <c r="J6" s="23" t="inlineStr">
        <is>
          <t>Course created successfully.
New course "Web Development" appears under category "IT".</t>
        </is>
      </c>
      <c r="K6" s="23" t="inlineStr"/>
      <c r="L6" s="30" t="inlineStr">
        <is>
          <t>Not Run</t>
        </is>
      </c>
      <c r="M6" s="21" t="inlineStr"/>
      <c r="N6" s="25" t="inlineStr">
        <is>
          <t>High</t>
        </is>
      </c>
      <c r="O6" s="23" t="inlineStr">
        <is>
          <t>Related Requirement: M07-F03, Business Rules 6.3</t>
        </is>
      </c>
    </row>
    <row r="7" ht="45" customHeight="1">
      <c r="A7" s="26" t="inlineStr">
        <is>
          <t>TC-M07-006</t>
        </is>
      </c>
      <c r="B7" s="26" t="inlineStr">
        <is>
          <t>Module 07 - Training Materials</t>
        </is>
      </c>
      <c r="C7" s="27" t="inlineStr">
        <is>
          <t>M07-F03</t>
        </is>
      </c>
      <c r="D7" s="28" t="inlineStr">
        <is>
          <t>Course Management</t>
        </is>
      </c>
      <c r="E7" s="28" t="inlineStr">
        <is>
          <t>New Course Creation Fails Due to Empty Name</t>
        </is>
      </c>
      <c r="F7" s="28" t="inlineStr">
        <is>
          <t>Verify system displays error when course name is empty.</t>
        </is>
      </c>
      <c r="G7" s="28" t="inlineStr">
        <is>
          <t>User is logged in as Staff.</t>
        </is>
      </c>
      <c r="H7" s="28" t="inlineStr">
        <is>
          <t>CourseName=""</t>
        </is>
      </c>
      <c r="I7" s="28" t="inlineStr">
        <is>
          <t>1. Leave Course Name field empty;
2. Click Save button.</t>
        </is>
      </c>
      <c r="J7" s="28" t="inlineStr">
        <is>
          <t>System blocks action.
Validation error appears: "Course Name is required."</t>
        </is>
      </c>
      <c r="K7" s="28" t="inlineStr"/>
      <c r="L7" s="30" t="inlineStr">
        <is>
          <t>Not Run</t>
        </is>
      </c>
      <c r="M7" s="26" t="inlineStr"/>
      <c r="N7" s="25" t="inlineStr">
        <is>
          <t>High</t>
        </is>
      </c>
      <c r="O7" s="28" t="inlineStr">
        <is>
          <t>Related Requirement: M07-F03, Validation Rules (Section 8)</t>
        </is>
      </c>
    </row>
    <row r="8" ht="105" customHeight="1">
      <c r="A8" s="21" t="inlineStr">
        <is>
          <t>TC-M07-007</t>
        </is>
      </c>
      <c r="B8" s="21" t="inlineStr">
        <is>
          <t>Module 07 - Training Materials</t>
        </is>
      </c>
      <c r="C8" s="22" t="inlineStr">
        <is>
          <t>M07-F03</t>
        </is>
      </c>
      <c r="D8" s="23" t="inlineStr">
        <is>
          <t>Course Management</t>
        </is>
      </c>
      <c r="E8" s="23" t="inlineStr">
        <is>
          <t>Edit Course Name with Valid Information</t>
        </is>
      </c>
      <c r="F8" s="23" t="inlineStr">
        <is>
          <t>Verify functionality for updating course name.</t>
        </is>
      </c>
      <c r="G8" s="23" t="inlineStr">
        <is>
          <t>User is logged in as Staff.
Course "Web Development" exists.</t>
        </is>
      </c>
      <c r="H8" s="23" t="inlineStr">
        <is>
          <t>OldCourseName="Web Development"; NewCourseName="Frontend Development"</t>
        </is>
      </c>
      <c r="I8" s="23" t="inlineStr">
        <is>
          <t>1. Select Course "Web Development";
2. Click Edit Course button;
3. Change name to "Frontend Development";
4. Click Save button.</t>
        </is>
      </c>
      <c r="J8" s="23" t="inlineStr">
        <is>
          <t>Course name updated successfully to "Frontend Development".</t>
        </is>
      </c>
      <c r="K8" s="23" t="inlineStr"/>
      <c r="L8" s="30" t="inlineStr">
        <is>
          <t>Not Run</t>
        </is>
      </c>
      <c r="M8" s="21" t="inlineStr"/>
      <c r="N8" s="25" t="inlineStr">
        <is>
          <t>High</t>
        </is>
      </c>
      <c r="O8" s="23" t="inlineStr">
        <is>
          <t>Related Requirement: M07-F03, Business Rules 6.3</t>
        </is>
      </c>
    </row>
    <row r="9" ht="60" customHeight="1">
      <c r="A9" s="26" t="inlineStr">
        <is>
          <t>TC-M07-008</t>
        </is>
      </c>
      <c r="B9" s="26" t="inlineStr">
        <is>
          <t>Module 07 - Training Materials</t>
        </is>
      </c>
      <c r="C9" s="27" t="inlineStr">
        <is>
          <t>M07-F03</t>
        </is>
      </c>
      <c r="D9" s="28" t="inlineStr">
        <is>
          <t>Course Management</t>
        </is>
      </c>
      <c r="E9" s="28" t="inlineStr">
        <is>
          <t>Archive Active Course</t>
        </is>
      </c>
      <c r="F9" s="28" t="inlineStr">
        <is>
          <t>Verify functionality for archiving an active course.</t>
        </is>
      </c>
      <c r="G9" s="28" t="inlineStr">
        <is>
          <t>User is logged in as Staff.
Course "Frontend Development" is Active.</t>
        </is>
      </c>
      <c r="H9" s="28" t="inlineStr">
        <is>
          <t>CourseName="Frontend Development"</t>
        </is>
      </c>
      <c r="I9" s="28" t="inlineStr">
        <is>
          <t>1. Click Archive button for course "Frontend Development";
2. Confirm archiving in popup dialog.</t>
        </is>
      </c>
      <c r="J9" s="28" t="inlineStr">
        <is>
          <t>Course status changes to Archived.
Course is hidden from Active list and moved to Archived tab.</t>
        </is>
      </c>
      <c r="K9" s="28" t="inlineStr"/>
      <c r="L9" s="30" t="inlineStr">
        <is>
          <t>Not Run</t>
        </is>
      </c>
      <c r="M9" s="26" t="inlineStr"/>
      <c r="N9" s="25" t="inlineStr">
        <is>
          <t>High</t>
        </is>
      </c>
      <c r="O9" s="28" t="inlineStr">
        <is>
          <t>Related Requirement: M07-F03, Business Rules 6.3</t>
        </is>
      </c>
    </row>
    <row r="10" ht="75" customHeight="1">
      <c r="A10" s="21" t="inlineStr">
        <is>
          <t>TC-M07-009</t>
        </is>
      </c>
      <c r="B10" s="21" t="inlineStr">
        <is>
          <t>Module 07 - Training Materials</t>
        </is>
      </c>
      <c r="C10" s="22" t="inlineStr">
        <is>
          <t>M07-F03</t>
        </is>
      </c>
      <c r="D10" s="23" t="inlineStr">
        <is>
          <t>Course Management</t>
        </is>
      </c>
      <c r="E10" s="23" t="inlineStr">
        <is>
          <t>Restore Archived Course</t>
        </is>
      </c>
      <c r="F10" s="23" t="inlineStr">
        <is>
          <t>Verify functionality for restoring a previously archived course.</t>
        </is>
      </c>
      <c r="G10" s="23" t="inlineStr">
        <is>
          <t>User is logged in as Staff.
Course "Frontend Development" is Archived.</t>
        </is>
      </c>
      <c r="H10" s="23" t="inlineStr">
        <is>
          <t>CourseName="Frontend Development"</t>
        </is>
      </c>
      <c r="I10" s="23" t="inlineStr">
        <is>
          <t>1. Navigate to Archived Courses tab;
2. Click Restore button for course "Frontend Development";
3. Confirm restoration.</t>
        </is>
      </c>
      <c r="J10" s="23" t="inlineStr">
        <is>
          <t>Course status changes back to Active.
Course reappears in active course list.</t>
        </is>
      </c>
      <c r="K10" s="23" t="inlineStr"/>
      <c r="L10" s="30" t="inlineStr">
        <is>
          <t>Not Run</t>
        </is>
      </c>
      <c r="M10" s="21" t="inlineStr"/>
      <c r="N10" s="25" t="inlineStr">
        <is>
          <t>High</t>
        </is>
      </c>
      <c r="O10" s="23" t="inlineStr">
        <is>
          <t>Related Requirement: M07-F03, Business Rules 6.3</t>
        </is>
      </c>
    </row>
    <row r="11" ht="45" customHeight="1">
      <c r="A11" s="26" t="inlineStr">
        <is>
          <t>TC-M07-010</t>
        </is>
      </c>
      <c r="B11" s="26" t="inlineStr">
        <is>
          <t>Module 07 - Training Materials</t>
        </is>
      </c>
      <c r="C11" s="27" t="inlineStr">
        <is>
          <t>M07-F03</t>
        </is>
      </c>
      <c r="D11" s="28" t="inlineStr">
        <is>
          <t>Course Management</t>
        </is>
      </c>
      <c r="E11" s="28" t="inlineStr">
        <is>
          <t>Verify Permanent Deletion Is Not Supported for Course</t>
        </is>
      </c>
      <c r="F11" s="28" t="inlineStr">
        <is>
          <t>Verify system does not provide permanent deletion for courses.</t>
        </is>
      </c>
      <c r="G11" s="28" t="inlineStr">
        <is>
          <t>User is logged in as Staff.
Viewing course options menu.</t>
        </is>
      </c>
      <c r="H11" s="28" t="inlineStr">
        <is>
          <t>CourseName="Frontend Development"</t>
        </is>
      </c>
      <c r="I11" s="28" t="inlineStr">
        <is>
          <t>1. Open course action menu;
2. Check available options.</t>
        </is>
      </c>
      <c r="J11" s="28" t="inlineStr">
        <is>
          <t>Permanent Delete button is not present for courses (only Archive is supported).</t>
        </is>
      </c>
      <c r="K11" s="28" t="inlineStr"/>
      <c r="L11" s="30" t="inlineStr">
        <is>
          <t>Not Run</t>
        </is>
      </c>
      <c r="M11" s="26" t="inlineStr"/>
      <c r="N11" s="29" t="inlineStr">
        <is>
          <t>Medium</t>
        </is>
      </c>
      <c r="O11" s="28" t="inlineStr">
        <is>
          <t>Related Requirement: M07-F03, Business Rules 6.3</t>
        </is>
      </c>
    </row>
    <row r="12" ht="105" customHeight="1">
      <c r="A12" s="21" t="inlineStr">
        <is>
          <t>TC-M07-011</t>
        </is>
      </c>
      <c r="B12" s="21" t="inlineStr">
        <is>
          <t>Module 07 - Training Materials</t>
        </is>
      </c>
      <c r="C12" s="22" t="inlineStr">
        <is>
          <t>M07-F04</t>
        </is>
      </c>
      <c r="D12" s="23" t="inlineStr">
        <is>
          <t>Session Management</t>
        </is>
      </c>
      <c r="E12" s="23" t="inlineStr">
        <is>
          <t>Create New Session with Valid Information</t>
        </is>
      </c>
      <c r="F12" s="23" t="inlineStr">
        <is>
          <t>Verify functionality for creating a new learning session inside a course.</t>
        </is>
      </c>
      <c r="G12" s="23" t="inlineStr">
        <is>
          <t>User is logged in as Staff.
Course "Web Development" exists.</t>
        </is>
      </c>
      <c r="H12" s="23" t="inlineStr">
        <is>
          <t>CourseName="Web Development"; SessionName="Session 1: HTML Basics"</t>
        </is>
      </c>
      <c r="I12" s="23" t="inlineStr">
        <is>
          <t>1. Open Course "Web Development";
2. Click Add Session button;
3. Enter Session Name as "Session 1: HTML Basics";
4. Click Save button.</t>
        </is>
      </c>
      <c r="J12" s="23" t="inlineStr">
        <is>
          <t>Session created successfully.
"Session 1: HTML Basics" appears inside course.</t>
        </is>
      </c>
      <c r="K12" s="23" t="inlineStr"/>
      <c r="L12" s="30" t="inlineStr">
        <is>
          <t>Not Run</t>
        </is>
      </c>
      <c r="M12" s="21" t="inlineStr"/>
      <c r="N12" s="25" t="inlineStr">
        <is>
          <t>High</t>
        </is>
      </c>
      <c r="O12" s="23" t="inlineStr">
        <is>
          <t>Related Requirement: M07-F04, Business Rules 6.4</t>
        </is>
      </c>
    </row>
    <row r="13" ht="45" customHeight="1">
      <c r="A13" s="26" t="inlineStr">
        <is>
          <t>TC-M07-012</t>
        </is>
      </c>
      <c r="B13" s="26" t="inlineStr">
        <is>
          <t>Module 07 - Training Materials</t>
        </is>
      </c>
      <c r="C13" s="27" t="inlineStr">
        <is>
          <t>M07-F04</t>
        </is>
      </c>
      <c r="D13" s="28" t="inlineStr">
        <is>
          <t>Session Management</t>
        </is>
      </c>
      <c r="E13" s="28" t="inlineStr">
        <is>
          <t>New Session Creation Fails Due to Empty Session Name</t>
        </is>
      </c>
      <c r="F13" s="28" t="inlineStr">
        <is>
          <t>Verify system displays error when session name is empty.</t>
        </is>
      </c>
      <c r="G13" s="28" t="inlineStr">
        <is>
          <t>User is logged in as Staff.</t>
        </is>
      </c>
      <c r="H13" s="28" t="inlineStr">
        <is>
          <t>SessionName=""</t>
        </is>
      </c>
      <c r="I13" s="28" t="inlineStr">
        <is>
          <t>1. Leave Session Name field empty;
2. Click Save button.</t>
        </is>
      </c>
      <c r="J13" s="28" t="inlineStr">
        <is>
          <t>System blocks action.
Validation error appears: "Session Name is required."</t>
        </is>
      </c>
      <c r="K13" s="28" t="inlineStr"/>
      <c r="L13" s="30" t="inlineStr">
        <is>
          <t>Not Run</t>
        </is>
      </c>
      <c r="M13" s="26" t="inlineStr"/>
      <c r="N13" s="25" t="inlineStr">
        <is>
          <t>High</t>
        </is>
      </c>
      <c r="O13" s="28" t="inlineStr">
        <is>
          <t>Related Requirement: M07-F04, Validation Rules (Section 8)</t>
        </is>
      </c>
    </row>
    <row r="14" ht="75" customHeight="1">
      <c r="A14" s="21" t="inlineStr">
        <is>
          <t>TC-M07-013</t>
        </is>
      </c>
      <c r="B14" s="21" t="inlineStr">
        <is>
          <t>Module 07 - Training Materials</t>
        </is>
      </c>
      <c r="C14" s="22" t="inlineStr">
        <is>
          <t>M07-F04</t>
        </is>
      </c>
      <c r="D14" s="23" t="inlineStr">
        <is>
          <t>Session Management</t>
        </is>
      </c>
      <c r="E14" s="23" t="inlineStr">
        <is>
          <t>Edit Session Details</t>
        </is>
      </c>
      <c r="F14" s="23" t="inlineStr">
        <is>
          <t>Verify functionality for updating session title/details.</t>
        </is>
      </c>
      <c r="G14" s="23" t="inlineStr">
        <is>
          <t>User is logged in as Staff.
Session "Session 1: HTML Basics" exists.</t>
        </is>
      </c>
      <c r="H14" s="23" t="inlineStr">
        <is>
          <t>OldSessionName="Session 1: HTML Basics"; NewSessionName="Session 1: HTML &amp; CSS Fundamentals"</t>
        </is>
      </c>
      <c r="I14" s="23" t="inlineStr">
        <is>
          <t>1. Click Edit icon on session;
2. Update Session Name to "Session 1: HTML &amp; CSS Fundamentals";
3. Click Save button.</t>
        </is>
      </c>
      <c r="J14" s="23" t="inlineStr">
        <is>
          <t>Session details updated successfully.</t>
        </is>
      </c>
      <c r="K14" s="23" t="inlineStr"/>
      <c r="L14" s="30" t="inlineStr">
        <is>
          <t>Not Run</t>
        </is>
      </c>
      <c r="M14" s="21" t="inlineStr"/>
      <c r="N14" s="25" t="inlineStr">
        <is>
          <t>High</t>
        </is>
      </c>
      <c r="O14" s="23" t="inlineStr">
        <is>
          <t>Related Requirement: M07-F04, Business Rules 6.4</t>
        </is>
      </c>
    </row>
    <row r="15" ht="60" customHeight="1">
      <c r="A15" s="26" t="inlineStr">
        <is>
          <t>TC-M07-014</t>
        </is>
      </c>
      <c r="B15" s="26" t="inlineStr">
        <is>
          <t>Module 07 - Training Materials</t>
        </is>
      </c>
      <c r="C15" s="27" t="inlineStr">
        <is>
          <t>M07-F04</t>
        </is>
      </c>
      <c r="D15" s="28" t="inlineStr">
        <is>
          <t>Session Management</t>
        </is>
      </c>
      <c r="E15" s="28" t="inlineStr">
        <is>
          <t>Permanently Delete Session</t>
        </is>
      </c>
      <c r="F15" s="28" t="inlineStr">
        <is>
          <t>Verify functionality for permanently deleting a session.</t>
        </is>
      </c>
      <c r="G15" s="28" t="inlineStr">
        <is>
          <t>User is logged in as Staff.
Session "Session 1" exists.</t>
        </is>
      </c>
      <c r="H15" s="28" t="inlineStr">
        <is>
          <t>SessionName="Session 1"</t>
        </is>
      </c>
      <c r="I15" s="28" t="inlineStr">
        <is>
          <t>1. Click Delete icon on session;
2. Confirm permanent deletion in confirmation dialog.</t>
        </is>
      </c>
      <c r="J15" s="28" t="inlineStr">
        <is>
          <t>Session and all attached materials are permanently deleted from system.</t>
        </is>
      </c>
      <c r="K15" s="28" t="inlineStr"/>
      <c r="L15" s="30" t="inlineStr">
        <is>
          <t>Not Run</t>
        </is>
      </c>
      <c r="M15" s="26" t="inlineStr"/>
      <c r="N15" s="25" t="inlineStr">
        <is>
          <t>High</t>
        </is>
      </c>
      <c r="O15" s="28" t="inlineStr">
        <is>
          <t>Related Requirement: M07-F04, Business Rules 6.4</t>
        </is>
      </c>
    </row>
    <row r="16" ht="60" customHeight="1">
      <c r="A16" s="21" t="inlineStr">
        <is>
          <t>TC-M07-015</t>
        </is>
      </c>
      <c r="B16" s="21" t="inlineStr">
        <is>
          <t>Module 07 - Training Materials</t>
        </is>
      </c>
      <c r="C16" s="22" t="inlineStr">
        <is>
          <t>M07-F04</t>
        </is>
      </c>
      <c r="D16" s="23" t="inlineStr">
        <is>
          <t>Session Management</t>
        </is>
      </c>
      <c r="E16" s="23" t="inlineStr">
        <is>
          <t>Cancel Session Deletion Operation</t>
        </is>
      </c>
      <c r="F16" s="23" t="inlineStr">
        <is>
          <t>Verify clicking Cancel in session deletion dialog preserves session without deleting.</t>
        </is>
      </c>
      <c r="G16" s="23" t="inlineStr">
        <is>
          <t>User is logged in as Staff.
Session deletion modal open.</t>
        </is>
      </c>
      <c r="H16" s="23" t="inlineStr">
        <is>
          <t>Action="Cancel Deletion"</t>
        </is>
      </c>
      <c r="I16" s="23" t="inlineStr">
        <is>
          <t>1. Click Delete icon on session;
2. In confirmation dialog, click Cancel button.</t>
        </is>
      </c>
      <c r="J16" s="23" t="inlineStr">
        <is>
          <t>Dialog closes.
Session remains intact in course.</t>
        </is>
      </c>
      <c r="K16" s="23" t="inlineStr"/>
      <c r="L16" s="30" t="inlineStr">
        <is>
          <t>Not Run</t>
        </is>
      </c>
      <c r="M16" s="21" t="inlineStr"/>
      <c r="N16" s="29" t="inlineStr">
        <is>
          <t>Medium</t>
        </is>
      </c>
      <c r="O16" s="23" t="inlineStr">
        <is>
          <t>Related Requirement: M07-F04, UI Standards</t>
        </is>
      </c>
    </row>
    <row r="17" ht="30" customHeight="1">
      <c r="A17" s="26" t="inlineStr">
        <is>
          <t>TC-M07-016</t>
        </is>
      </c>
      <c r="B17" s="26" t="inlineStr">
        <is>
          <t>Module 07 - Training Materials</t>
        </is>
      </c>
      <c r="C17" s="27" t="inlineStr">
        <is>
          <t>M07-F04</t>
        </is>
      </c>
      <c r="D17" s="28" t="inlineStr">
        <is>
          <t>Session Management</t>
        </is>
      </c>
      <c r="E17" s="28" t="inlineStr">
        <is>
          <t>Verify Archive Operation Is Not Supported for Session</t>
        </is>
      </c>
      <c r="F17" s="28" t="inlineStr">
        <is>
          <t>Verify system does not support archiving individual sessions.</t>
        </is>
      </c>
      <c r="G17" s="28" t="inlineStr">
        <is>
          <t>User is logged in as Staff.</t>
        </is>
      </c>
      <c r="H17" s="28" t="inlineStr">
        <is>
          <t>SessionName="Session 1"</t>
        </is>
      </c>
      <c r="I17" s="28" t="inlineStr">
        <is>
          <t>1. Check available actions on session.</t>
        </is>
      </c>
      <c r="J17" s="28" t="inlineStr">
        <is>
          <t>Archive button is not available for sessions (only Delete is supported).</t>
        </is>
      </c>
      <c r="K17" s="28" t="inlineStr"/>
      <c r="L17" s="30" t="inlineStr">
        <is>
          <t>Not Run</t>
        </is>
      </c>
      <c r="M17" s="26" t="inlineStr"/>
      <c r="N17" s="29" t="inlineStr">
        <is>
          <t>Medium</t>
        </is>
      </c>
      <c r="O17" s="28" t="inlineStr">
        <is>
          <t>Related Requirement: M07-F04, Business Rules 6.4</t>
        </is>
      </c>
    </row>
    <row r="18" ht="90" customHeight="1">
      <c r="A18" s="21" t="inlineStr">
        <is>
          <t>TC-M07-017</t>
        </is>
      </c>
      <c r="B18" s="21" t="inlineStr">
        <is>
          <t>Module 07 - Training Materials</t>
        </is>
      </c>
      <c r="C18" s="22" t="inlineStr">
        <is>
          <t>M07-F05</t>
        </is>
      </c>
      <c r="D18" s="23" t="inlineStr">
        <is>
          <t>Exam Management</t>
        </is>
      </c>
      <c r="E18" s="23" t="inlineStr">
        <is>
          <t>Create New Exam with Valid Information</t>
        </is>
      </c>
      <c r="F18" s="23" t="inlineStr">
        <is>
          <t>Verify functionality for creating a new exam item inside a course.</t>
        </is>
      </c>
      <c r="G18" s="23" t="inlineStr">
        <is>
          <t>User is logged in as Staff.
Course "Web Development" exists.</t>
        </is>
      </c>
      <c r="H18" s="23" t="inlineStr">
        <is>
          <t>CourseName="Web Development"; ExamName="Midterm Exam"</t>
        </is>
      </c>
      <c r="I18" s="23" t="inlineStr">
        <is>
          <t>1. Open Course "Web Development";
2. Click Add Exam button;
3. Enter Exam Name as "Midterm Exam";
4. Click Save button.</t>
        </is>
      </c>
      <c r="J18" s="23" t="inlineStr">
        <is>
          <t>Exam created successfully.
"Midterm Exam" displays in exam section of course.</t>
        </is>
      </c>
      <c r="K18" s="23" t="inlineStr"/>
      <c r="L18" s="30" t="inlineStr">
        <is>
          <t>Not Run</t>
        </is>
      </c>
      <c r="M18" s="21" t="inlineStr"/>
      <c r="N18" s="25" t="inlineStr">
        <is>
          <t>High</t>
        </is>
      </c>
      <c r="O18" s="23" t="inlineStr">
        <is>
          <t>Related Requirement: M07-F05, Business Rules 6.5</t>
        </is>
      </c>
    </row>
    <row r="19" ht="45" customHeight="1">
      <c r="A19" s="26" t="inlineStr">
        <is>
          <t>TC-M07-018</t>
        </is>
      </c>
      <c r="B19" s="26" t="inlineStr">
        <is>
          <t>Module 07 - Training Materials</t>
        </is>
      </c>
      <c r="C19" s="27" t="inlineStr">
        <is>
          <t>M07-F05</t>
        </is>
      </c>
      <c r="D19" s="28" t="inlineStr">
        <is>
          <t>Exam Management</t>
        </is>
      </c>
      <c r="E19" s="28" t="inlineStr">
        <is>
          <t>New Exam Creation Fails Due to Empty Name</t>
        </is>
      </c>
      <c r="F19" s="28" t="inlineStr">
        <is>
          <t>Verify system displays error when exam name is empty.</t>
        </is>
      </c>
      <c r="G19" s="28" t="inlineStr">
        <is>
          <t>User is logged in as Staff.</t>
        </is>
      </c>
      <c r="H19" s="28" t="inlineStr">
        <is>
          <t>ExamName=""</t>
        </is>
      </c>
      <c r="I19" s="28" t="inlineStr">
        <is>
          <t>1. Leave Exam Name field empty;
2. Click Save button.</t>
        </is>
      </c>
      <c r="J19" s="28" t="inlineStr">
        <is>
          <t>System blocks action.
Validation error appears: "Exam Name is required."</t>
        </is>
      </c>
      <c r="K19" s="28" t="inlineStr"/>
      <c r="L19" s="30" t="inlineStr">
        <is>
          <t>Not Run</t>
        </is>
      </c>
      <c r="M19" s="26" t="inlineStr"/>
      <c r="N19" s="25" t="inlineStr">
        <is>
          <t>High</t>
        </is>
      </c>
      <c r="O19" s="28" t="inlineStr">
        <is>
          <t>Related Requirement: M07-F05, Validation Rules (Section 8)</t>
        </is>
      </c>
    </row>
    <row r="20" ht="75" customHeight="1">
      <c r="A20" s="21" t="inlineStr">
        <is>
          <t>TC-M07-019</t>
        </is>
      </c>
      <c r="B20" s="21" t="inlineStr">
        <is>
          <t>Module 07 - Training Materials</t>
        </is>
      </c>
      <c r="C20" s="22" t="inlineStr">
        <is>
          <t>M07-F05</t>
        </is>
      </c>
      <c r="D20" s="23" t="inlineStr">
        <is>
          <t>Exam Management</t>
        </is>
      </c>
      <c r="E20" s="23" t="inlineStr">
        <is>
          <t>Edit Exam Details</t>
        </is>
      </c>
      <c r="F20" s="23" t="inlineStr">
        <is>
          <t>Verify functionality for updating exam title/details.</t>
        </is>
      </c>
      <c r="G20" s="23" t="inlineStr">
        <is>
          <t>User is logged in as Staff.
Exam "Midterm Exam" exists.</t>
        </is>
      </c>
      <c r="H20" s="23" t="inlineStr">
        <is>
          <t>OldExamName="Midterm Exam"; NewExamName="Midterm Practical Exam"</t>
        </is>
      </c>
      <c r="I20" s="23" t="inlineStr">
        <is>
          <t>1. Click Edit icon on exam;
2. Update Exam Name to "Midterm Practical Exam";
3. Click Save button.</t>
        </is>
      </c>
      <c r="J20" s="23" t="inlineStr">
        <is>
          <t>Exam details updated successfully.</t>
        </is>
      </c>
      <c r="K20" s="23" t="inlineStr"/>
      <c r="L20" s="30" t="inlineStr">
        <is>
          <t>Not Run</t>
        </is>
      </c>
      <c r="M20" s="21" t="inlineStr"/>
      <c r="N20" s="25" t="inlineStr">
        <is>
          <t>High</t>
        </is>
      </c>
      <c r="O20" s="23" t="inlineStr">
        <is>
          <t>Related Requirement: M07-F05, Business Rules 6.5</t>
        </is>
      </c>
    </row>
    <row r="21" ht="60" customHeight="1">
      <c r="A21" s="26" t="inlineStr">
        <is>
          <t>TC-M07-020</t>
        </is>
      </c>
      <c r="B21" s="26" t="inlineStr">
        <is>
          <t>Module 07 - Training Materials</t>
        </is>
      </c>
      <c r="C21" s="27" t="inlineStr">
        <is>
          <t>M07-F05</t>
        </is>
      </c>
      <c r="D21" s="28" t="inlineStr">
        <is>
          <t>Exam Management</t>
        </is>
      </c>
      <c r="E21" s="28" t="inlineStr">
        <is>
          <t>Permanently Delete Exam</t>
        </is>
      </c>
      <c r="F21" s="28" t="inlineStr">
        <is>
          <t>Verify functionality for permanently deleting an exam.</t>
        </is>
      </c>
      <c r="G21" s="28" t="inlineStr">
        <is>
          <t>User is logged in as Staff.
Exam "Midterm Exam" exists.</t>
        </is>
      </c>
      <c r="H21" s="28" t="inlineStr">
        <is>
          <t>ExamName="Midterm Exam"</t>
        </is>
      </c>
      <c r="I21" s="28" t="inlineStr">
        <is>
          <t>1. Click Delete icon on exam;
2. Confirm permanent deletion in confirmation dialog.</t>
        </is>
      </c>
      <c r="J21" s="28" t="inlineStr">
        <is>
          <t>Exam and all attached exam materials are permanently deleted from system.</t>
        </is>
      </c>
      <c r="K21" s="28" t="inlineStr"/>
      <c r="L21" s="30" t="inlineStr">
        <is>
          <t>Not Run</t>
        </is>
      </c>
      <c r="M21" s="26" t="inlineStr"/>
      <c r="N21" s="25" t="inlineStr">
        <is>
          <t>High</t>
        </is>
      </c>
      <c r="O21" s="28" t="inlineStr">
        <is>
          <t>Related Requirement: M07-F05, Business Rules 6.5</t>
        </is>
      </c>
    </row>
    <row r="22" ht="45" customHeight="1">
      <c r="A22" s="21" t="inlineStr">
        <is>
          <t>TC-M07-021</t>
        </is>
      </c>
      <c r="B22" s="21" t="inlineStr">
        <is>
          <t>Module 07 - Training Materials</t>
        </is>
      </c>
      <c r="C22" s="22" t="inlineStr">
        <is>
          <t>M07-F05</t>
        </is>
      </c>
      <c r="D22" s="23" t="inlineStr">
        <is>
          <t>Exam Management</t>
        </is>
      </c>
      <c r="E22" s="23" t="inlineStr">
        <is>
          <t>Cancel Exam Deletion Operation</t>
        </is>
      </c>
      <c r="F22" s="23" t="inlineStr">
        <is>
          <t>Verify clicking Cancel in exam deletion dialog preserves exam without deleting.</t>
        </is>
      </c>
      <c r="G22" s="23" t="inlineStr">
        <is>
          <t>User is logged in as Staff.
Exam deletion modal open.</t>
        </is>
      </c>
      <c r="H22" s="23" t="inlineStr">
        <is>
          <t>Action="Cancel Deletion"</t>
        </is>
      </c>
      <c r="I22" s="23" t="inlineStr">
        <is>
          <t>1. Click Delete icon on exam;
2. In confirmation dialog, click Cancel button.</t>
        </is>
      </c>
      <c r="J22" s="23" t="inlineStr">
        <is>
          <t>Dialog closes.
Exam remains intact in course.</t>
        </is>
      </c>
      <c r="K22" s="23" t="inlineStr"/>
      <c r="L22" s="30" t="inlineStr">
        <is>
          <t>Not Run</t>
        </is>
      </c>
      <c r="M22" s="21" t="inlineStr"/>
      <c r="N22" s="29" t="inlineStr">
        <is>
          <t>Medium</t>
        </is>
      </c>
      <c r="O22" s="23" t="inlineStr">
        <is>
          <t>Related Requirement: M07-F05, UI Standards</t>
        </is>
      </c>
    </row>
    <row r="23" ht="30" customHeight="1">
      <c r="A23" s="26" t="inlineStr">
        <is>
          <t>TC-M07-022</t>
        </is>
      </c>
      <c r="B23" s="26" t="inlineStr">
        <is>
          <t>Module 07 - Training Materials</t>
        </is>
      </c>
      <c r="C23" s="27" t="inlineStr">
        <is>
          <t>M07-F05</t>
        </is>
      </c>
      <c r="D23" s="28" t="inlineStr">
        <is>
          <t>Exam Management</t>
        </is>
      </c>
      <c r="E23" s="28" t="inlineStr">
        <is>
          <t>Verify Archive Operation Is Not Supported for Exam</t>
        </is>
      </c>
      <c r="F23" s="28" t="inlineStr">
        <is>
          <t>Verify system does not support archiving individual exams.</t>
        </is>
      </c>
      <c r="G23" s="28" t="inlineStr">
        <is>
          <t>User is logged in as Staff.</t>
        </is>
      </c>
      <c r="H23" s="28" t="inlineStr">
        <is>
          <t>ExamName="Midterm Exam"</t>
        </is>
      </c>
      <c r="I23" s="28" t="inlineStr">
        <is>
          <t>1. Check available actions on exam.</t>
        </is>
      </c>
      <c r="J23" s="28" t="inlineStr">
        <is>
          <t>Archive button is not available for exams (only Delete is supported).</t>
        </is>
      </c>
      <c r="K23" s="28" t="inlineStr"/>
      <c r="L23" s="30" t="inlineStr">
        <is>
          <t>Not Run</t>
        </is>
      </c>
      <c r="M23" s="26" t="inlineStr"/>
      <c r="N23" s="29" t="inlineStr">
        <is>
          <t>Medium</t>
        </is>
      </c>
      <c r="O23" s="28" t="inlineStr">
        <is>
          <t>Related Requirement: M07-F05, Business Rules 6.5</t>
        </is>
      </c>
    </row>
    <row r="24" ht="120" customHeight="1">
      <c r="A24" s="21" t="inlineStr">
        <is>
          <t>TC-M07-023</t>
        </is>
      </c>
      <c r="B24" s="21" t="inlineStr">
        <is>
          <t>Module 07 - Training Materials</t>
        </is>
      </c>
      <c r="C24" s="22" t="inlineStr">
        <is>
          <t>M07-F06</t>
        </is>
      </c>
      <c r="D24" s="23" t="inlineStr">
        <is>
          <t>Material Link Attachment</t>
        </is>
      </c>
      <c r="E24" s="23" t="inlineStr">
        <is>
          <t>Attach a Valid Document Link to Session/Exam</t>
        </is>
      </c>
      <c r="F24" s="23" t="inlineStr">
        <is>
          <t>Verify functionality for attaching a valid Google Drive material link with a label.</t>
        </is>
      </c>
      <c r="G24" s="23" t="inlineStr">
        <is>
          <t>User is logged in as Staff.
Session or Exam exists.</t>
        </is>
      </c>
      <c r="H24" s="23" t="inlineStr">
        <is>
          <t>Label="Lecture Slides"; Url="https://drive.google.com/file/d/123/view"</t>
        </is>
      </c>
      <c r="I24" s="23" t="inlineStr">
        <is>
          <t>1. Open Attach Material dialog for Session/Exam;
2. Enter Label as "Lecture Slides";
3. Enter URL as "https://drive.google.com/file/d/123/view";
4. Click Save button.</t>
        </is>
      </c>
      <c r="J24" s="23" t="inlineStr">
        <is>
          <t>Material link is attached successfully and clickable on UI.</t>
        </is>
      </c>
      <c r="K24" s="23" t="inlineStr"/>
      <c r="L24" s="30" t="inlineStr">
        <is>
          <t>Not Run</t>
        </is>
      </c>
      <c r="M24" s="21" t="inlineStr"/>
      <c r="N24" s="25" t="inlineStr">
        <is>
          <t>High</t>
        </is>
      </c>
      <c r="O24" s="23" t="inlineStr">
        <is>
          <t>Related Requirement: M07-F06, Business Rules 6.6</t>
        </is>
      </c>
    </row>
    <row r="25" ht="75" customHeight="1">
      <c r="A25" s="26" t="inlineStr">
        <is>
          <t>TC-M07-024</t>
        </is>
      </c>
      <c r="B25" s="26" t="inlineStr">
        <is>
          <t>Module 07 - Training Materials</t>
        </is>
      </c>
      <c r="C25" s="27" t="inlineStr">
        <is>
          <t>M07-F06</t>
        </is>
      </c>
      <c r="D25" s="28" t="inlineStr">
        <is>
          <t>Material Link Attachment</t>
        </is>
      </c>
      <c r="E25" s="28" t="inlineStr">
        <is>
          <t>Attach Multiple Valid Document Links to Session/Exam</t>
        </is>
      </c>
      <c r="F25" s="28" t="inlineStr">
        <is>
          <t>Verify functionality for attaching multiple document links simultaneously.</t>
        </is>
      </c>
      <c r="G25" s="28" t="inlineStr">
        <is>
          <t>User is logged in as Staff.</t>
        </is>
      </c>
      <c r="H25" s="28" t="inlineStr">
        <is>
          <t>Materials=[{Label: "Slides", Url: "https://drive.google.com/file/1"}, {Label: "Exercise", Url: "https://drive.google.com/file/2"}]</t>
        </is>
      </c>
      <c r="I25" s="28" t="inlineStr">
        <is>
          <t>1. Add multiple material rows;
2. Enter valid Labels and Google Drive URLs;
3. Click Save button.</t>
        </is>
      </c>
      <c r="J25" s="28" t="inlineStr">
        <is>
          <t>All material links are attached and displayed under session/exam.</t>
        </is>
      </c>
      <c r="K25" s="28" t="inlineStr"/>
      <c r="L25" s="30" t="inlineStr">
        <is>
          <t>Not Run</t>
        </is>
      </c>
      <c r="M25" s="26" t="inlineStr"/>
      <c r="N25" s="25" t="inlineStr">
        <is>
          <t>High</t>
        </is>
      </c>
      <c r="O25" s="28" t="inlineStr">
        <is>
          <t>Related Requirement: M07-F06, Business Rules 6.6</t>
        </is>
      </c>
    </row>
    <row r="26" ht="75" customHeight="1">
      <c r="A26" s="21" t="inlineStr">
        <is>
          <t>TC-M07-025</t>
        </is>
      </c>
      <c r="B26" s="21" t="inlineStr">
        <is>
          <t>Module 07 - Training Materials</t>
        </is>
      </c>
      <c r="C26" s="22" t="inlineStr">
        <is>
          <t>M07-F06</t>
        </is>
      </c>
      <c r="D26" s="23" t="inlineStr">
        <is>
          <t>Material Link Attachment</t>
        </is>
      </c>
      <c r="E26" s="23" t="inlineStr">
        <is>
          <t>Attach Material with Completely Empty Row (Ignore Blank Rows)</t>
        </is>
      </c>
      <c r="F26" s="23" t="inlineStr">
        <is>
          <t>Verify system ignores completely blank material rows without raising error.</t>
        </is>
      </c>
      <c r="G26" s="23" t="inlineStr">
        <is>
          <t>User is logged in as Staff.</t>
        </is>
      </c>
      <c r="H26" s="23" t="inlineStr">
        <is>
          <t>Row1={Label: "Slides", Url: "https://drive.google.com/..."}; Row2={Label: "", Url: ""}</t>
        </is>
      </c>
      <c r="I26" s="23" t="inlineStr">
        <is>
          <t>1. Fill Row 1 with valid label and URL;
2. Leave Row 2 completely empty;
3. Click Save button.</t>
        </is>
      </c>
      <c r="J26" s="23" t="inlineStr">
        <is>
          <t>System saves Row 1 successfully and ignores blank Row 2 without error.</t>
        </is>
      </c>
      <c r="K26" s="23" t="inlineStr"/>
      <c r="L26" s="30" t="inlineStr">
        <is>
          <t>Not Run</t>
        </is>
      </c>
      <c r="M26" s="21" t="inlineStr"/>
      <c r="N26" s="29" t="inlineStr">
        <is>
          <t>Medium</t>
        </is>
      </c>
      <c r="O26" s="23" t="inlineStr">
        <is>
          <t>Related Requirement: M07-F06, Business Rules 6.6</t>
        </is>
      </c>
    </row>
    <row r="27" ht="75" customHeight="1">
      <c r="A27" s="26" t="inlineStr">
        <is>
          <t>TC-M07-026</t>
        </is>
      </c>
      <c r="B27" s="26" t="inlineStr">
        <is>
          <t>Module 07 - Training Materials</t>
        </is>
      </c>
      <c r="C27" s="27" t="inlineStr">
        <is>
          <t>M07-F06</t>
        </is>
      </c>
      <c r="D27" s="28" t="inlineStr">
        <is>
          <t>Material Link Attachment</t>
        </is>
      </c>
      <c r="E27" s="28" t="inlineStr">
        <is>
          <t>Attach Material Fails Due to Label Provided with Empty URL</t>
        </is>
      </c>
      <c r="F27" s="28" t="inlineStr">
        <is>
          <t>Verify system displays error when Label is filled but URL is empty.</t>
        </is>
      </c>
      <c r="G27" s="28" t="inlineStr">
        <is>
          <t>User is logged in as Staff.</t>
        </is>
      </c>
      <c r="H27" s="28" t="inlineStr">
        <is>
          <t>Label="Lecture Slides"; Url=""</t>
        </is>
      </c>
      <c r="I27" s="28" t="inlineStr">
        <is>
          <t>1. Enter Label as "Lecture Slides";
2. Leave URL field empty;
3. Click Save button.</t>
        </is>
      </c>
      <c r="J27" s="28" t="inlineStr">
        <is>
          <t>System blocks action.
Validation error appears: "URL is required when Label is specified."</t>
        </is>
      </c>
      <c r="K27" s="28" t="inlineStr"/>
      <c r="L27" s="30" t="inlineStr">
        <is>
          <t>Not Run</t>
        </is>
      </c>
      <c r="M27" s="26" t="inlineStr"/>
      <c r="N27" s="25" t="inlineStr">
        <is>
          <t>High</t>
        </is>
      </c>
      <c r="O27" s="28" t="inlineStr">
        <is>
          <t>Related Requirement: M07-F06, Validation Rules (Section 8)</t>
        </is>
      </c>
    </row>
    <row r="28" ht="75" customHeight="1">
      <c r="A28" s="21" t="inlineStr">
        <is>
          <t>TC-M07-027</t>
        </is>
      </c>
      <c r="B28" s="21" t="inlineStr">
        <is>
          <t>Module 07 - Training Materials</t>
        </is>
      </c>
      <c r="C28" s="22" t="inlineStr">
        <is>
          <t>M07-F06</t>
        </is>
      </c>
      <c r="D28" s="23" t="inlineStr">
        <is>
          <t>Material Link Attachment</t>
        </is>
      </c>
      <c r="E28" s="23" t="inlineStr">
        <is>
          <t>Attach Material Fails Due to URL Provided with Empty Label</t>
        </is>
      </c>
      <c r="F28" s="23" t="inlineStr">
        <is>
          <t>Verify system displays error when URL is filled but Label is empty.</t>
        </is>
      </c>
      <c r="G28" s="23" t="inlineStr">
        <is>
          <t>User is logged in as Staff.</t>
        </is>
      </c>
      <c r="H28" s="23" t="inlineStr">
        <is>
          <t>Label=""; Url="https://drive.google.com/file/d/123/view"</t>
        </is>
      </c>
      <c r="I28" s="23" t="inlineStr">
        <is>
          <t>1. Leave Label field empty;
2. Enter valid Google Drive URL;
3. Click Save button.</t>
        </is>
      </c>
      <c r="J28" s="23" t="inlineStr">
        <is>
          <t>System blocks action.
Validation error appears: "Label is required when URL is specified."</t>
        </is>
      </c>
      <c r="K28" s="23" t="inlineStr"/>
      <c r="L28" s="30" t="inlineStr">
        <is>
          <t>Not Run</t>
        </is>
      </c>
      <c r="M28" s="21" t="inlineStr"/>
      <c r="N28" s="25" t="inlineStr">
        <is>
          <t>High</t>
        </is>
      </c>
      <c r="O28" s="23" t="inlineStr">
        <is>
          <t>Related Requirement: M07-F06, Validation Rules (Section 8)</t>
        </is>
      </c>
    </row>
    <row r="29" ht="75" customHeight="1">
      <c r="A29" s="26" t="inlineStr">
        <is>
          <t>TC-M07-028</t>
        </is>
      </c>
      <c r="B29" s="26" t="inlineStr">
        <is>
          <t>Module 07 - Training Materials</t>
        </is>
      </c>
      <c r="C29" s="27" t="inlineStr">
        <is>
          <t>M07-F06</t>
        </is>
      </c>
      <c r="D29" s="28" t="inlineStr">
        <is>
          <t>Material Link Attachment</t>
        </is>
      </c>
      <c r="E29" s="28" t="inlineStr">
        <is>
          <t>Attach Material Fails Due to Non-Google Drive Link Domain</t>
        </is>
      </c>
      <c r="F29" s="28" t="inlineStr">
        <is>
          <t>Verify system restricts material links to Google Drive domain.</t>
        </is>
      </c>
      <c r="G29" s="28" t="inlineStr">
        <is>
          <t>User is logged in as Staff.</t>
        </is>
      </c>
      <c r="H29" s="28" t="inlineStr">
        <is>
          <t>Label="External Site"; Url="https://example.com/file.pdf"</t>
        </is>
      </c>
      <c r="I29" s="28" t="inlineStr">
        <is>
          <t>1. Enter Label as "External Site";
2. Enter non-Google Drive URL "https://example.com/file.pdf";
3. Click Save button.</t>
        </is>
      </c>
      <c r="J29" s="28" t="inlineStr">
        <is>
          <t>System blocks action.
Validation error appears: "Material link must be a valid Google Drive URL."</t>
        </is>
      </c>
      <c r="K29" s="28" t="inlineStr"/>
      <c r="L29" s="30" t="inlineStr">
        <is>
          <t>Not Run</t>
        </is>
      </c>
      <c r="M29" s="26" t="inlineStr"/>
      <c r="N29" s="25" t="inlineStr">
        <is>
          <t>High</t>
        </is>
      </c>
      <c r="O29" s="28" t="inlineStr">
        <is>
          <t>Related Requirement: M07-F06, Validation Rules (Section 8)</t>
        </is>
      </c>
    </row>
    <row r="30" ht="45" customHeight="1">
      <c r="A30" s="21" t="inlineStr">
        <is>
          <t>TC-M07-029</t>
        </is>
      </c>
      <c r="B30" s="21" t="inlineStr">
        <is>
          <t>Module 07 - Training Materials</t>
        </is>
      </c>
      <c r="C30" s="22" t="inlineStr">
        <is>
          <t>M07-F07</t>
        </is>
      </c>
      <c r="D30" s="23" t="inlineStr">
        <is>
          <t>CSV Export &amp; Import</t>
        </is>
      </c>
      <c r="E30" s="23" t="inlineStr">
        <is>
          <t>Export Session List to CSV File (Export CSV)</t>
        </is>
      </c>
      <c r="F30" s="23" t="inlineStr">
        <is>
          <t>Verify functionality for exporting course session list to a downloadable CSV file.</t>
        </is>
      </c>
      <c r="G30" s="23" t="inlineStr">
        <is>
          <t>User is logged in as Staff.
Course contains sessions.</t>
        </is>
      </c>
      <c r="H30" s="23" t="inlineStr">
        <is>
          <t>CourseName="Web Development"</t>
        </is>
      </c>
      <c r="I30" s="23" t="inlineStr">
        <is>
          <t>1. Open Course "Web Development";
2. Click Export CSV button.</t>
        </is>
      </c>
      <c r="J30" s="23" t="inlineStr">
        <is>
          <t>CSV file downloads successfully containing Session ID, Session Name, and Material details.</t>
        </is>
      </c>
      <c r="K30" s="23" t="inlineStr"/>
      <c r="L30" s="30" t="inlineStr">
        <is>
          <t>Not Run</t>
        </is>
      </c>
      <c r="M30" s="21" t="inlineStr"/>
      <c r="N30" s="25" t="inlineStr">
        <is>
          <t>High</t>
        </is>
      </c>
      <c r="O30" s="23" t="inlineStr">
        <is>
          <t>Related Requirement: M07-F07, Business Rules 6.7</t>
        </is>
      </c>
    </row>
    <row r="31" ht="45" customHeight="1">
      <c r="A31" s="26" t="inlineStr">
        <is>
          <t>TC-M07-030</t>
        </is>
      </c>
      <c r="B31" s="26" t="inlineStr">
        <is>
          <t>Module 07 - Training Materials</t>
        </is>
      </c>
      <c r="C31" s="27" t="inlineStr">
        <is>
          <t>M07-F07</t>
        </is>
      </c>
      <c r="D31" s="28" t="inlineStr">
        <is>
          <t>CSV Export &amp; Import</t>
        </is>
      </c>
      <c r="E31" s="28" t="inlineStr">
        <is>
          <t>Import CSV - Update Information of Existing Session</t>
        </is>
      </c>
      <c r="F31" s="28" t="inlineStr">
        <is>
          <t>Verify importing CSV with matching Session ID updates existing session details.</t>
        </is>
      </c>
      <c r="G31" s="28" t="inlineStr">
        <is>
          <t>User is logged in as Staff.
Session ID "SES-001" exists in system.</t>
        </is>
      </c>
      <c r="H31" s="28" t="inlineStr">
        <is>
          <t>CsvFile="SessionID=SES-001, SessionName=Updated HTML Basics"</t>
        </is>
      </c>
      <c r="I31" s="28" t="inlineStr">
        <is>
          <t>1. Upload CSV containing updated name for SES-001;
2. Click Import CSV button.</t>
        </is>
      </c>
      <c r="J31" s="28" t="inlineStr">
        <is>
          <t>Session SES-001 is updated with new name "Updated HTML Basics".</t>
        </is>
      </c>
      <c r="K31" s="28" t="inlineStr"/>
      <c r="L31" s="30" t="inlineStr">
        <is>
          <t>Not Run</t>
        </is>
      </c>
      <c r="M31" s="26" t="inlineStr"/>
      <c r="N31" s="25" t="inlineStr">
        <is>
          <t>High</t>
        </is>
      </c>
      <c r="O31" s="28" t="inlineStr">
        <is>
          <t>Related Requirement: M07-F07, Business Rules 6.7</t>
        </is>
      </c>
    </row>
    <row r="32" ht="45" customHeight="1">
      <c r="A32" s="21" t="inlineStr">
        <is>
          <t>TC-M07-031</t>
        </is>
      </c>
      <c r="B32" s="21" t="inlineStr">
        <is>
          <t>Module 07 - Training Materials</t>
        </is>
      </c>
      <c r="C32" s="22" t="inlineStr">
        <is>
          <t>M07-F07</t>
        </is>
      </c>
      <c r="D32" s="23" t="inlineStr">
        <is>
          <t>CSV Export &amp; Import</t>
        </is>
      </c>
      <c r="E32" s="23" t="inlineStr">
        <is>
          <t>Import CSV - Create New Session when Session ID Is Blank</t>
        </is>
      </c>
      <c r="F32" s="23" t="inlineStr">
        <is>
          <t>Verify importing CSV row with empty Session ID creates a brand new session.</t>
        </is>
      </c>
      <c r="G32" s="23" t="inlineStr">
        <is>
          <t>User is logged in as Staff.</t>
        </is>
      </c>
      <c r="H32" s="23" t="inlineStr">
        <is>
          <t>CsvFile="SessionID=, SessionName=New CSS Grid Session"</t>
        </is>
      </c>
      <c r="I32" s="23" t="inlineStr">
        <is>
          <t>1. Upload CSV containing blank Session ID row;
2. Click Import CSV button.</t>
        </is>
      </c>
      <c r="J32" s="23" t="inlineStr">
        <is>
          <t>New session "New CSS Grid Session" is created with auto-generated Session ID.</t>
        </is>
      </c>
      <c r="K32" s="23" t="inlineStr"/>
      <c r="L32" s="30" t="inlineStr">
        <is>
          <t>Not Run</t>
        </is>
      </c>
      <c r="M32" s="21" t="inlineStr"/>
      <c r="N32" s="25" t="inlineStr">
        <is>
          <t>High</t>
        </is>
      </c>
      <c r="O32" s="23" t="inlineStr">
        <is>
          <t>Related Requirement: M07-F07, Business Rules 6.7</t>
        </is>
      </c>
    </row>
    <row r="33" ht="45" customHeight="1">
      <c r="A33" s="26" t="inlineStr">
        <is>
          <t>TC-M07-032</t>
        </is>
      </c>
      <c r="B33" s="26" t="inlineStr">
        <is>
          <t>Module 07 - Training Materials</t>
        </is>
      </c>
      <c r="C33" s="27" t="inlineStr">
        <is>
          <t>M07-F07</t>
        </is>
      </c>
      <c r="D33" s="28" t="inlineStr">
        <is>
          <t>CSV Export &amp; Import</t>
        </is>
      </c>
      <c r="E33" s="28" t="inlineStr">
        <is>
          <t>Import CSV - Create New Session when Session ID Does Not Exist in System</t>
        </is>
      </c>
      <c r="F33" s="28" t="inlineStr">
        <is>
          <t>Verify importing CSV row with non-existent Session ID creates a new session.</t>
        </is>
      </c>
      <c r="G33" s="28" t="inlineStr">
        <is>
          <t>User is logged in as Staff.
Session ID "SES-999" does not exist.</t>
        </is>
      </c>
      <c r="H33" s="28" t="inlineStr">
        <is>
          <t>CsvFile="SessionID=SES-999, SessionName=Flexbox Guide"</t>
        </is>
      </c>
      <c r="I33" s="28" t="inlineStr">
        <is>
          <t>1. Upload CSV containing non-existent Session ID;
2. Click Import CSV button.</t>
        </is>
      </c>
      <c r="J33" s="28" t="inlineStr">
        <is>
          <t>New session "Flexbox Guide" is created in system.</t>
        </is>
      </c>
      <c r="K33" s="28" t="inlineStr"/>
      <c r="L33" s="30" t="inlineStr">
        <is>
          <t>Not Run</t>
        </is>
      </c>
      <c r="M33" s="26" t="inlineStr"/>
      <c r="N33" s="29" t="inlineStr">
        <is>
          <t>Medium</t>
        </is>
      </c>
      <c r="O33" s="28" t="inlineStr">
        <is>
          <t>Related Requirement: M07-F07, Business Rules 6.7</t>
        </is>
      </c>
    </row>
    <row r="34" ht="45" customHeight="1">
      <c r="A34" s="21" t="inlineStr">
        <is>
          <t>TC-M07-033</t>
        </is>
      </c>
      <c r="B34" s="21" t="inlineStr">
        <is>
          <t>Module 07 - Training Materials</t>
        </is>
      </c>
      <c r="C34" s="22" t="inlineStr">
        <is>
          <t>M07-F07</t>
        </is>
      </c>
      <c r="D34" s="23" t="inlineStr">
        <is>
          <t>CSV Export &amp; Import</t>
        </is>
      </c>
      <c r="E34" s="23" t="inlineStr">
        <is>
          <t>Import CSV - Existing Sessions Omitted from CSV Are Retained</t>
        </is>
      </c>
      <c r="F34" s="23" t="inlineStr">
        <is>
          <t>Verify importing CSV does not delete existing sessions that are absent from the CSV file.</t>
        </is>
      </c>
      <c r="G34" s="23" t="inlineStr">
        <is>
          <t>User is logged in as Staff.
Sessions SES-001 and SES-002 exist.</t>
        </is>
      </c>
      <c r="H34" s="23" t="inlineStr">
        <is>
          <t>CsvFile="SessionID=SES-001, SessionName=HTML Basics"</t>
        </is>
      </c>
      <c r="I34" s="23" t="inlineStr">
        <is>
          <t>1. Upload CSV containing only SES-001;
2. Perform CSV import.</t>
        </is>
      </c>
      <c r="J34" s="23" t="inlineStr">
        <is>
          <t>SES-001 is processed, and omitted session SES-002 remains unchanged in system without being deleted.</t>
        </is>
      </c>
      <c r="K34" s="23" t="inlineStr"/>
      <c r="L34" s="30" t="inlineStr">
        <is>
          <t>Not Run</t>
        </is>
      </c>
      <c r="M34" s="21" t="inlineStr"/>
      <c r="N34" s="25" t="inlineStr">
        <is>
          <t>High</t>
        </is>
      </c>
      <c r="O34" s="23" t="inlineStr">
        <is>
          <t>Related Requirement: M07-F07, Business Rules 6.7</t>
        </is>
      </c>
    </row>
    <row r="35" ht="45" customHeight="1">
      <c r="A35" s="26" t="inlineStr">
        <is>
          <t>TC-M07-034</t>
        </is>
      </c>
      <c r="B35" s="26" t="inlineStr">
        <is>
          <t>Module 07 - Training Materials</t>
        </is>
      </c>
      <c r="C35" s="27" t="inlineStr">
        <is>
          <t>M07-F07</t>
        </is>
      </c>
      <c r="D35" s="28" t="inlineStr">
        <is>
          <t>CSV Export &amp; Import</t>
        </is>
      </c>
      <c r="E35" s="28" t="inlineStr">
        <is>
          <t>Import CSV - Skip Materials Column in Uploaded CSV File</t>
        </is>
      </c>
      <c r="F35" s="28" t="inlineStr">
        <is>
          <t>Verify system ignores Materials column when importing session CSV file.</t>
        </is>
      </c>
      <c r="G35" s="28" t="inlineStr">
        <is>
          <t>User is logged in as Staff.</t>
        </is>
      </c>
      <c r="H35" s="28" t="inlineStr">
        <is>
          <t>CsvFile="SessionID=SES-001, SessionName=HTML, Materials=http://..."</t>
        </is>
      </c>
      <c r="I35" s="28" t="inlineStr">
        <is>
          <t>1. Upload CSV containing Materials column;
2. Click Import CSV button.</t>
        </is>
      </c>
      <c r="J35" s="28" t="inlineStr">
        <is>
          <t>Sessions are updated/created, and Materials column is safely ignored per business rule.</t>
        </is>
      </c>
      <c r="K35" s="28" t="inlineStr"/>
      <c r="L35" s="30" t="inlineStr">
        <is>
          <t>Not Run</t>
        </is>
      </c>
      <c r="M35" s="26" t="inlineStr"/>
      <c r="N35" s="29" t="inlineStr">
        <is>
          <t>Medium</t>
        </is>
      </c>
      <c r="O35" s="28" t="inlineStr">
        <is>
          <t>Related Requirement: M07-F07, Business Rules 6.7</t>
        </is>
      </c>
    </row>
    <row r="36" ht="60" customHeight="1">
      <c r="A36" s="21" t="inlineStr">
        <is>
          <t>TC-M07-035</t>
        </is>
      </c>
      <c r="B36" s="21" t="inlineStr">
        <is>
          <t>Module 07 - Training Materials</t>
        </is>
      </c>
      <c r="C36" s="22" t="inlineStr">
        <is>
          <t>M07-F07</t>
        </is>
      </c>
      <c r="D36" s="23" t="inlineStr">
        <is>
          <t>CSV Export &amp; Import</t>
        </is>
      </c>
      <c r="E36" s="23" t="inlineStr">
        <is>
          <t>Import CSV Fails Due to Incorrect File Format (Non-CSV File)</t>
        </is>
      </c>
      <c r="F36" s="23" t="inlineStr">
        <is>
          <t>Verify system rejects non-CSV file formats during import.</t>
        </is>
      </c>
      <c r="G36" s="23" t="inlineStr">
        <is>
          <t>User is logged in as Staff.</t>
        </is>
      </c>
      <c r="H36" s="23" t="inlineStr">
        <is>
          <t>FileName="materials.pdf"</t>
        </is>
      </c>
      <c r="I36" s="23" t="inlineStr">
        <is>
          <t>1. Select non-CSV file "materials.pdf" in import dialog;
2. Click Import CSV button.</t>
        </is>
      </c>
      <c r="J36" s="23" t="inlineStr">
        <is>
          <t>System blocks import.
Error message appears: "Invalid file format. Please upload a CSV file."</t>
        </is>
      </c>
      <c r="K36" s="23" t="inlineStr"/>
      <c r="L36" s="30" t="inlineStr">
        <is>
          <t>Not Run</t>
        </is>
      </c>
      <c r="M36" s="21" t="inlineStr"/>
      <c r="N36" s="25" t="inlineStr">
        <is>
          <t>High</t>
        </is>
      </c>
      <c r="O36" s="23" t="inlineStr">
        <is>
          <t>Related Requirement: M07-F07, Validation Rules (Section 8)</t>
        </is>
      </c>
    </row>
    <row r="37" ht="60" customHeight="1">
      <c r="A37" s="26" t="inlineStr">
        <is>
          <t>TC-M07-036</t>
        </is>
      </c>
      <c r="B37" s="26" t="inlineStr">
        <is>
          <t>Module 07 - Training Materials</t>
        </is>
      </c>
      <c r="C37" s="27" t="inlineStr">
        <is>
          <t>M07-F07</t>
        </is>
      </c>
      <c r="D37" s="28" t="inlineStr">
        <is>
          <t>CSV Export &amp; Import</t>
        </is>
      </c>
      <c r="E37" s="28" t="inlineStr">
        <is>
          <t>Import CSV Fails for Rows Missing Session Name</t>
        </is>
      </c>
      <c r="F37" s="28" t="inlineStr">
        <is>
          <t>Verify system skips or flags error for CSV rows missing mandatory Session Name.</t>
        </is>
      </c>
      <c r="G37" s="28" t="inlineStr">
        <is>
          <t>User is logged in as Staff.</t>
        </is>
      </c>
      <c r="H37" s="28" t="inlineStr">
        <is>
          <t>CsvFile="SessionID=SES-003, SessionName="</t>
        </is>
      </c>
      <c r="I37" s="28" t="inlineStr">
        <is>
          <t>1. Upload CSV containing row with empty Session Name;
2. Click Import CSV button.</t>
        </is>
      </c>
      <c r="J37" s="28" t="inlineStr">
        <is>
          <t>System flags error for row or skips invalid row with warning message: "Session Name is required."</t>
        </is>
      </c>
      <c r="K37" s="28" t="inlineStr"/>
      <c r="L37" s="30" t="inlineStr">
        <is>
          <t>Not Run</t>
        </is>
      </c>
      <c r="M37" s="26" t="inlineStr"/>
      <c r="N37" s="25" t="inlineStr">
        <is>
          <t>High</t>
        </is>
      </c>
      <c r="O37" s="28" t="inlineStr">
        <is>
          <t>Related Requirement: M07-F07, Validation Rules (Section 8)</t>
        </is>
      </c>
    </row>
    <row r="38" ht="60" customHeight="1">
      <c r="A38" s="21" t="inlineStr">
        <is>
          <t>TC-M07-037</t>
        </is>
      </c>
      <c r="B38" s="21" t="inlineStr">
        <is>
          <t>Module 07 - Training Materials</t>
        </is>
      </c>
      <c r="C38" s="22" t="inlineStr">
        <is>
          <t>M07-F08</t>
        </is>
      </c>
      <c r="D38" s="23" t="inlineStr">
        <is>
          <t>Role Permissions &amp; Access Control</t>
        </is>
      </c>
      <c r="E38" s="23" t="inlineStr">
        <is>
          <t>Access Control - Staff Role Has Full Management Access</t>
        </is>
      </c>
      <c r="F38" s="23" t="inlineStr">
        <is>
          <t>Verify Staff users have full CRUD permissions for categories, courses, sessions, exams, and materials.</t>
        </is>
      </c>
      <c r="G38" s="23" t="inlineStr">
        <is>
          <t>User is logged in as Staff.</t>
        </is>
      </c>
      <c r="H38" s="23" t="inlineStr">
        <is>
          <t>StaffEmail="staff@passerellesnumeriques.org"</t>
        </is>
      </c>
      <c r="I38" s="23" t="inlineStr">
        <is>
          <t>1. Access Training Materials module;
2. Verify presence of Create, Edit, Archive, and Delete buttons.</t>
        </is>
      </c>
      <c r="J38" s="23" t="inlineStr">
        <is>
          <t>Staff user can perform all management operations cleanly.</t>
        </is>
      </c>
      <c r="K38" s="23" t="inlineStr"/>
      <c r="L38" s="30" t="inlineStr">
        <is>
          <t>Not Run</t>
        </is>
      </c>
      <c r="M38" s="21" t="inlineStr"/>
      <c r="N38" s="25" t="inlineStr">
        <is>
          <t>High</t>
        </is>
      </c>
      <c r="O38" s="23" t="inlineStr">
        <is>
          <t>Related Requirement: M07-F08, User Roles</t>
        </is>
      </c>
    </row>
    <row r="39" ht="75" customHeight="1">
      <c r="A39" s="26" t="inlineStr">
        <is>
          <t>TC-M07-038</t>
        </is>
      </c>
      <c r="B39" s="26" t="inlineStr">
        <is>
          <t>Module 07 - Training Materials</t>
        </is>
      </c>
      <c r="C39" s="27" t="inlineStr">
        <is>
          <t>M07-F08</t>
        </is>
      </c>
      <c r="D39" s="28" t="inlineStr">
        <is>
          <t>Role Permissions &amp; Access Control</t>
        </is>
      </c>
      <c r="E39" s="28" t="inlineStr">
        <is>
          <t>Access Control - Student Role Has Read-Only Access</t>
        </is>
      </c>
      <c r="F39" s="28" t="inlineStr">
        <is>
          <t>Verify Student users can view training materials but cannot create, edit, or delete items.</t>
        </is>
      </c>
      <c r="G39" s="28" t="inlineStr">
        <is>
          <t>User is logged in as Student.</t>
        </is>
      </c>
      <c r="H39" s="28" t="inlineStr">
        <is>
          <t>StudentEmail="student@student.passerellesnumeriques.org"</t>
        </is>
      </c>
      <c r="I39" s="28" t="inlineStr">
        <is>
          <t>1. Access Training Materials module as Student;
2. Check for management buttons.</t>
        </is>
      </c>
      <c r="J39" s="28" t="inlineStr">
        <is>
          <t>Create, Edit, Archive, Delete, and CSV Import buttons are completely hidden.
Student can view and open material links in Read-Only mode.</t>
        </is>
      </c>
      <c r="K39" s="28" t="inlineStr"/>
      <c r="L39" s="30" t="inlineStr">
        <is>
          <t>Not Run</t>
        </is>
      </c>
      <c r="M39" s="26" t="inlineStr"/>
      <c r="N39" s="25" t="inlineStr">
        <is>
          <t>High</t>
        </is>
      </c>
      <c r="O39" s="28" t="inlineStr">
        <is>
          <t>Related Requirement: M07-F08, User Roles</t>
        </is>
      </c>
    </row>
    <row r="40" ht="30" customHeight="1">
      <c r="A40" s="21" t="inlineStr">
        <is>
          <t>TC-M07-039</t>
        </is>
      </c>
      <c r="B40" s="21" t="inlineStr">
        <is>
          <t>Module 07 - Training Materials</t>
        </is>
      </c>
      <c r="C40" s="22" t="inlineStr">
        <is>
          <t>M07-F08</t>
        </is>
      </c>
      <c r="D40" s="23" t="inlineStr">
        <is>
          <t>Role Permissions &amp; Access Control</t>
        </is>
      </c>
      <c r="E40" s="23" t="inlineStr">
        <is>
          <t>Access Control - External Domain Accounts Are Denied Access</t>
        </is>
      </c>
      <c r="F40" s="23" t="inlineStr">
        <is>
          <t>Verify accounts outside organizational domains are denied access.</t>
        </is>
      </c>
      <c r="G40" s="23" t="inlineStr">
        <is>
          <t>User attempts access with external personal account.</t>
        </is>
      </c>
      <c r="H40" s="23" t="inlineStr">
        <is>
          <t>UserEmail="user@gmail.com"</t>
        </is>
      </c>
      <c r="I40" s="23" t="inlineStr">
        <is>
          <t>1. Attempt to access Training Materials URL with external email.</t>
        </is>
      </c>
      <c r="J40" s="23" t="inlineStr">
        <is>
          <t>Access denied page or login redirect is displayed.</t>
        </is>
      </c>
      <c r="K40" s="23" t="inlineStr"/>
      <c r="L40" s="30" t="inlineStr">
        <is>
          <t>Not Run</t>
        </is>
      </c>
      <c r="M40" s="21" t="inlineStr"/>
      <c r="N40" s="25" t="inlineStr">
        <is>
          <t>High</t>
        </is>
      </c>
      <c r="O40" s="23" t="inlineStr">
        <is>
          <t>Related Requirement: M07-F08, User Roles</t>
        </is>
      </c>
    </row>
    <row r="41" ht="60" customHeight="1">
      <c r="A41" s="26" t="inlineStr">
        <is>
          <t>TC-M07-040</t>
        </is>
      </c>
      <c r="B41" s="26" t="inlineStr">
        <is>
          <t>Module 07 - Training Materials</t>
        </is>
      </c>
      <c r="C41" s="27" t="inlineStr">
        <is>
          <t>M07-F03</t>
        </is>
      </c>
      <c r="D41" s="28" t="inlineStr">
        <is>
          <t>Course Management</t>
        </is>
      </c>
      <c r="E41" s="28" t="inlineStr">
        <is>
          <t>Verify Auto-hiding All Child Sessions/Exams When Course Is Archived</t>
        </is>
      </c>
      <c r="F41" s="28" t="inlineStr">
        <is>
          <t>Verify archiving a course automatically hides all nested sessions and exams.</t>
        </is>
      </c>
      <c r="G41" s="28" t="inlineStr">
        <is>
          <t>User is logged in as Staff.
Course "Web Development" contains 3 sessions and 1 exam.</t>
        </is>
      </c>
      <c r="H41" s="28" t="inlineStr">
        <is>
          <t>CourseName="Web Development"</t>
        </is>
      </c>
      <c r="I41" s="28" t="inlineStr">
        <is>
          <t>1. Archive course "Web Development";
2. View course list as Student.</t>
        </is>
      </c>
      <c r="J41" s="28" t="inlineStr">
        <is>
          <t>Course and all its child sessions and exams are hidden from active view.</t>
        </is>
      </c>
      <c r="K41" s="28" t="inlineStr"/>
      <c r="L41" s="30" t="inlineStr">
        <is>
          <t>Not Run</t>
        </is>
      </c>
      <c r="M41" s="26" t="inlineStr"/>
      <c r="N41" s="25" t="inlineStr">
        <is>
          <t>High</t>
        </is>
      </c>
      <c r="O41" s="28" t="inlineStr">
        <is>
          <t>Related Requirement: M07-F03, Business Rules 6.3</t>
        </is>
      </c>
    </row>
    <row r="42" ht="45" customHeight="1">
      <c r="A42" s="21" t="inlineStr">
        <is>
          <t>TC-M07-041</t>
        </is>
      </c>
      <c r="B42" s="21" t="inlineStr">
        <is>
          <t>Module 07 - Training Materials</t>
        </is>
      </c>
      <c r="C42" s="22" t="inlineStr">
        <is>
          <t>M07-F03</t>
        </is>
      </c>
      <c r="D42" s="23" t="inlineStr">
        <is>
          <t>Course Management</t>
        </is>
      </c>
      <c r="E42" s="23" t="inlineStr">
        <is>
          <t>Verify Restoring All Child Sessions/Exams When Course Is Restored</t>
        </is>
      </c>
      <c r="F42" s="23" t="inlineStr">
        <is>
          <t>Verify restoring an archived course restores visibility of all nested sessions and exams.</t>
        </is>
      </c>
      <c r="G42" s="23" t="inlineStr">
        <is>
          <t>User is logged in as Staff.
Course "Web Development" is Archived.</t>
        </is>
      </c>
      <c r="H42" s="23" t="inlineStr">
        <is>
          <t>CourseName="Web Development"</t>
        </is>
      </c>
      <c r="I42" s="23" t="inlineStr">
        <is>
          <t>1. Restore course "Web Development";
2. View active course list.</t>
        </is>
      </c>
      <c r="J42" s="23" t="inlineStr">
        <is>
          <t>Course and all child sessions and exams reappear in active view.</t>
        </is>
      </c>
      <c r="K42" s="23" t="inlineStr"/>
      <c r="L42" s="30" t="inlineStr">
        <is>
          <t>Not Run</t>
        </is>
      </c>
      <c r="M42" s="21" t="inlineStr"/>
      <c r="N42" s="25" t="inlineStr">
        <is>
          <t>High</t>
        </is>
      </c>
      <c r="O42" s="23" t="inlineStr">
        <is>
          <t>Related Requirement: M07-F03, Business Rules 6.3</t>
        </is>
      </c>
    </row>
  </sheetData>
  <autoFilter ref="A1:O42"/>
  <dataValidations count="2">
    <dataValidation sqref="L2:L142" showDropDown="0" showInputMessage="0" showErrorMessage="0" allowBlank="1" errorTitle="Invalid Status" error="Please select a valid state: Passed, Failed, or Not Run" type="list">
      <formula1>"Passed,Failed,Not Run"</formula1>
    </dataValidation>
    <dataValidation sqref="N2:N142" showDropDown="0" showInputMessage="0" showErrorMessage="0" allowBlank="1" errorTitle="Invalid Priority" error="Please select a valid priority: High, Medium, or Low" type="list">
      <formula1>"High,Medium,Low"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1"/>
  <sheetViews>
    <sheetView showGridLines="1" workbookViewId="0">
      <selection activeCell="A1" sqref="A1"/>
    </sheetView>
  </sheetViews>
  <sheetFormatPr baseColWidth="8" defaultRowHeight="15"/>
  <cols>
    <col width="15" customWidth="1" min="1" max="1"/>
    <col width="14" customWidth="1" min="2" max="2"/>
    <col width="14" customWidth="1" min="3" max="3"/>
    <col width="28" customWidth="1" min="4" max="4"/>
    <col width="32" customWidth="1" min="5" max="5"/>
    <col width="36" customWidth="1" min="6" max="6"/>
    <col width="30" customWidth="1" min="7" max="7"/>
    <col width="28" customWidth="1" min="8" max="8"/>
    <col width="48" customWidth="1" min="9" max="9"/>
    <col width="48" customWidth="1" min="10" max="10"/>
    <col width="36" customWidth="1" min="11" max="11"/>
    <col width="16" customWidth="1" min="12" max="12"/>
    <col width="25" customWidth="1" min="13" max="13"/>
    <col width="14" customWidth="1" min="14" max="14"/>
    <col width="32" customWidth="1" min="15" max="15"/>
  </cols>
  <sheetData>
    <row r="1" ht="28" customHeight="1">
      <c r="A1" s="20" t="inlineStr">
        <is>
          <t>ID</t>
        </is>
      </c>
      <c r="B1" s="20" t="inlineStr">
        <is>
          <t>Module</t>
        </is>
      </c>
      <c r="C1" s="20" t="inlineStr">
        <is>
          <t>Feature ID</t>
        </is>
      </c>
      <c r="D1" s="20" t="inlineStr">
        <is>
          <t>Feature Name</t>
        </is>
      </c>
      <c r="E1" s="20" t="inlineStr">
        <is>
          <t>Title</t>
        </is>
      </c>
      <c r="F1" s="20" t="inlineStr">
        <is>
          <t>Objective</t>
        </is>
      </c>
      <c r="G1" s="20" t="inlineStr">
        <is>
          <t>Preconditions</t>
        </is>
      </c>
      <c r="H1" s="20" t="inlineStr">
        <is>
          <t>TestData</t>
        </is>
      </c>
      <c r="I1" s="20" t="inlineStr">
        <is>
          <t>Steps</t>
        </is>
      </c>
      <c r="J1" s="20" t="inlineStr">
        <is>
          <t>ExpectedResult</t>
        </is>
      </c>
      <c r="K1" s="20" t="inlineStr">
        <is>
          <t>Actual Result</t>
        </is>
      </c>
      <c r="L1" s="20" t="inlineStr">
        <is>
          <t>Status</t>
        </is>
      </c>
      <c r="M1" s="20" t="inlineStr">
        <is>
          <t>Evidence</t>
        </is>
      </c>
      <c r="N1" s="20" t="inlineStr">
        <is>
          <t>Priority</t>
        </is>
      </c>
      <c r="O1" s="20" t="inlineStr">
        <is>
          <t>Notes</t>
        </is>
      </c>
    </row>
    <row r="2" ht="75" customHeight="1">
      <c r="A2" s="21" t="inlineStr">
        <is>
          <t>TC-M08-001</t>
        </is>
      </c>
      <c r="B2" s="21" t="inlineStr">
        <is>
          <t>Module 08 - Profile Photo Management</t>
        </is>
      </c>
      <c r="C2" s="22" t="inlineStr">
        <is>
          <t>M08-F01</t>
        </is>
      </c>
      <c r="D2" s="23" t="inlineStr">
        <is>
          <t>Photo Upload</t>
        </is>
      </c>
      <c r="E2" s="23" t="inlineStr">
        <is>
          <t>Upload Valid Profile Photo in JPG Format</t>
        </is>
      </c>
      <c r="F2" s="23" t="inlineStr">
        <is>
          <t>Verify functionality for uploading a profile photo in JPG format successfully and updating student details.</t>
        </is>
      </c>
      <c r="G2" s="23" t="inlineStr">
        <is>
          <t>User is logged in as Staff.
Currently on Student Detail page of a student without profile photo (displaying default avatar).</t>
        </is>
      </c>
      <c r="H2" s="23" t="inlineStr">
        <is>
          <t>FileName="photo.jpg"; FileType="image/jpeg"; FileSize="1.5MB"</t>
        </is>
      </c>
      <c r="I2" s="23" t="inlineStr">
        <is>
          <t>1. Click Upload Photo button;
2. Select file "photo.jpg";
3. Click Save Photo button.</t>
        </is>
      </c>
      <c r="J2" s="23" t="inlineStr">
        <is>
          <t>Photo uploaded successfully.
Success notification appears and default avatar is replaced by uploaded JPG photo.</t>
        </is>
      </c>
      <c r="K2" s="23" t="inlineStr"/>
      <c r="L2" s="30" t="inlineStr">
        <is>
          <t>Not Run</t>
        </is>
      </c>
      <c r="M2" s="21" t="inlineStr"/>
      <c r="N2" s="25" t="inlineStr">
        <is>
          <t>High</t>
        </is>
      </c>
      <c r="O2" s="23" t="inlineStr">
        <is>
          <t>Related Requirement: M08-F01, Business Rules 6.1</t>
        </is>
      </c>
    </row>
    <row r="3" ht="75" customHeight="1">
      <c r="A3" s="26" t="inlineStr">
        <is>
          <t>TC-M08-002</t>
        </is>
      </c>
      <c r="B3" s="26" t="inlineStr">
        <is>
          <t>Module 08 - Profile Photo Management</t>
        </is>
      </c>
      <c r="C3" s="27" t="inlineStr">
        <is>
          <t>M08-F01</t>
        </is>
      </c>
      <c r="D3" s="28" t="inlineStr">
        <is>
          <t>Photo Upload</t>
        </is>
      </c>
      <c r="E3" s="28" t="inlineStr">
        <is>
          <t>Upload Valid Profile Photo in PNG Format</t>
        </is>
      </c>
      <c r="F3" s="28" t="inlineStr">
        <is>
          <t>Verify functionality for uploading a profile photo in PNG format successfully and updating student details.</t>
        </is>
      </c>
      <c r="G3" s="28" t="inlineStr">
        <is>
          <t>User is logged in as Staff.
Currently on Student Detail page of a student without profile photo.</t>
        </is>
      </c>
      <c r="H3" s="28" t="inlineStr">
        <is>
          <t>FileName="avatar.png"; FileType="image/png"; FileSize="2.0MB"</t>
        </is>
      </c>
      <c r="I3" s="28" t="inlineStr">
        <is>
          <t>1. Click Upload Photo button;
2. Select file "avatar.png";
3. Click Save Photo button.</t>
        </is>
      </c>
      <c r="J3" s="28" t="inlineStr">
        <is>
          <t>Photo uploaded successfully.
Default avatar is replaced by uploaded PNG photo.</t>
        </is>
      </c>
      <c r="K3" s="28" t="inlineStr"/>
      <c r="L3" s="30" t="inlineStr">
        <is>
          <t>Not Run</t>
        </is>
      </c>
      <c r="M3" s="26" t="inlineStr"/>
      <c r="N3" s="25" t="inlineStr">
        <is>
          <t>High</t>
        </is>
      </c>
      <c r="O3" s="28" t="inlineStr">
        <is>
          <t>Related Requirement: M08-F01, Business Rules 6.1</t>
        </is>
      </c>
    </row>
    <row r="4" ht="75" customHeight="1">
      <c r="A4" s="21" t="inlineStr">
        <is>
          <t>TC-M08-003</t>
        </is>
      </c>
      <c r="B4" s="21" t="inlineStr">
        <is>
          <t>Module 08 - Profile Photo Management</t>
        </is>
      </c>
      <c r="C4" s="22" t="inlineStr">
        <is>
          <t>M08-F01</t>
        </is>
      </c>
      <c r="D4" s="23" t="inlineStr">
        <is>
          <t>Photo Upload</t>
        </is>
      </c>
      <c r="E4" s="23" t="inlineStr">
        <is>
          <t>Replace Current Profile Photo</t>
        </is>
      </c>
      <c r="F4" s="23" t="inlineStr">
        <is>
          <t>Verify system overwrites existing photo when uploading a new photo for a student.</t>
        </is>
      </c>
      <c r="G4" s="23" t="inlineStr">
        <is>
          <t>User is logged in as Staff.
Student currently has an existing profile photo.</t>
        </is>
      </c>
      <c r="H4" s="23" t="inlineStr">
        <is>
          <t>NewFileName="new_photo.jpg"</t>
        </is>
      </c>
      <c r="I4" s="23" t="inlineStr">
        <is>
          <t>1. Click Change Photo button;
2. Select file "new_photo.jpg";
3. Click Save Photo button.</t>
        </is>
      </c>
      <c r="J4" s="23" t="inlineStr">
        <is>
          <t>New photo overwrites old photo successfully on UI and in storage.</t>
        </is>
      </c>
      <c r="K4" s="23" t="inlineStr"/>
      <c r="L4" s="30" t="inlineStr">
        <is>
          <t>Not Run</t>
        </is>
      </c>
      <c r="M4" s="21" t="inlineStr"/>
      <c r="N4" s="25" t="inlineStr">
        <is>
          <t>High</t>
        </is>
      </c>
      <c r="O4" s="23" t="inlineStr">
        <is>
          <t>Related Requirement: M08-F01, Business Rules 6.1</t>
        </is>
      </c>
    </row>
    <row r="5" ht="45" customHeight="1">
      <c r="A5" s="26" t="inlineStr">
        <is>
          <t>TC-M08-004</t>
        </is>
      </c>
      <c r="B5" s="26" t="inlineStr">
        <is>
          <t>Module 08 - Profile Photo Management</t>
        </is>
      </c>
      <c r="C5" s="27" t="inlineStr">
        <is>
          <t>M08-F02</t>
        </is>
      </c>
      <c r="D5" s="28" t="inlineStr">
        <is>
          <t>Photo Deletion</t>
        </is>
      </c>
      <c r="E5" s="28" t="inlineStr">
        <is>
          <t>Delete Current Profile Photo (Soft Delete)</t>
        </is>
      </c>
      <c r="F5" s="28" t="inlineStr">
        <is>
          <t>Verify functionality for deleting current photo and reverting student profile to default avatar.</t>
        </is>
      </c>
      <c r="G5" s="28" t="inlineStr">
        <is>
          <t>User is logged in as Staff.
Student has an existing profile photo.</t>
        </is>
      </c>
      <c r="H5" s="28" t="inlineStr">
        <is>
          <t>StudentID="ST001"</t>
        </is>
      </c>
      <c r="I5" s="28" t="inlineStr">
        <is>
          <t>1. Click Delete Photo button;
2. Confirm deletion in dialog modal.</t>
        </is>
      </c>
      <c r="J5" s="28" t="inlineStr">
        <is>
          <t>Photo reference is cleared and student avatar reverts to default placeholder avatar.</t>
        </is>
      </c>
      <c r="K5" s="28" t="inlineStr"/>
      <c r="L5" s="30" t="inlineStr">
        <is>
          <t>Not Run</t>
        </is>
      </c>
      <c r="M5" s="26" t="inlineStr"/>
      <c r="N5" s="25" t="inlineStr">
        <is>
          <t>High</t>
        </is>
      </c>
      <c r="O5" s="28" t="inlineStr">
        <is>
          <t>Related Requirement: M08-F02, Business Rules 6.2</t>
        </is>
      </c>
    </row>
    <row r="6" ht="45" customHeight="1">
      <c r="A6" s="21" t="inlineStr">
        <is>
          <t>TC-M08-005</t>
        </is>
      </c>
      <c r="B6" s="21" t="inlineStr">
        <is>
          <t>Module 08 - Profile Photo Management</t>
        </is>
      </c>
      <c r="C6" s="22" t="inlineStr">
        <is>
          <t>M08-F03</t>
        </is>
      </c>
      <c r="D6" s="23" t="inlineStr">
        <is>
          <t>Default Avatar Display</t>
        </is>
      </c>
      <c r="E6" s="23" t="inlineStr">
        <is>
          <t>Display Default Avatar When Student Has No Profile Photo</t>
        </is>
      </c>
      <c r="F6" s="23" t="inlineStr">
        <is>
          <t>Verify system renders default fallback avatar for students without profile photos.</t>
        </is>
      </c>
      <c r="G6" s="23" t="inlineStr">
        <is>
          <t>User is logged in as Staff or Student.
Student profile has no photo URL.</t>
        </is>
      </c>
      <c r="H6" s="23" t="inlineStr">
        <is>
          <t>PhotoUrl=None</t>
        </is>
      </c>
      <c r="I6" s="23" t="inlineStr">
        <is>
          <t>1. Open Student Detail page;
2. Observe avatar image element.</t>
        </is>
      </c>
      <c r="J6" s="23" t="inlineStr">
        <is>
          <t>Default SVG/PNG placeholder avatar is rendered cleanly without broken image icon.</t>
        </is>
      </c>
      <c r="K6" s="23" t="inlineStr"/>
      <c r="L6" s="30" t="inlineStr">
        <is>
          <t>Not Run</t>
        </is>
      </c>
      <c r="M6" s="21" t="inlineStr"/>
      <c r="N6" s="25" t="inlineStr">
        <is>
          <t>High</t>
        </is>
      </c>
      <c r="O6" s="23" t="inlineStr">
        <is>
          <t>Related Requirement: M08-F03, Business Rules 6.3</t>
        </is>
      </c>
    </row>
    <row r="7" ht="90" customHeight="1">
      <c r="A7" s="26" t="inlineStr">
        <is>
          <t>TC-M08-006</t>
        </is>
      </c>
      <c r="B7" s="26" t="inlineStr">
        <is>
          <t>Module 08 - Profile Photo Management</t>
        </is>
      </c>
      <c r="C7" s="27" t="inlineStr">
        <is>
          <t>M08-F04</t>
        </is>
      </c>
      <c r="D7" s="28" t="inlineStr">
        <is>
          <t>Avatar Display Sizing</t>
        </is>
      </c>
      <c r="E7" s="28" t="inlineStr">
        <is>
          <t>Verify Profile Photo Rendering Sizes Across Different UI Components</t>
        </is>
      </c>
      <c r="F7" s="28" t="inlineStr">
        <is>
          <t>Verify profile photos render with correct circular crop and appropriate dimensions across student list, detail view, and header.</t>
        </is>
      </c>
      <c r="G7" s="28" t="inlineStr">
        <is>
          <t>User is logged in as Staff.
Student has uploaded profile photo.</t>
        </is>
      </c>
      <c r="H7" s="28" t="inlineStr">
        <is>
          <t>StudentID="ST001"</t>
        </is>
      </c>
      <c r="I7" s="28" t="inlineStr">
        <is>
          <t>1. View student photo in Student List table;
2. View student photo on Student Detail page;
3. View student avatar in Student Portal header.</t>
        </is>
      </c>
      <c r="J7" s="28" t="inlineStr">
        <is>
          <t>Photo scales properly with object-fit: cover, maintains aspect ratio, and clips cleanly to circle without distorting.</t>
        </is>
      </c>
      <c r="K7" s="28" t="inlineStr"/>
      <c r="L7" s="30" t="inlineStr">
        <is>
          <t>Not Run</t>
        </is>
      </c>
      <c r="M7" s="26" t="inlineStr"/>
      <c r="N7" s="29" t="inlineStr">
        <is>
          <t>Medium</t>
        </is>
      </c>
      <c r="O7" s="28" t="inlineStr">
        <is>
          <t>Related Requirement: M08-F04, UI Standards</t>
        </is>
      </c>
    </row>
    <row r="8" ht="60" customHeight="1">
      <c r="A8" s="21" t="inlineStr">
        <is>
          <t>TC-M08-007</t>
        </is>
      </c>
      <c r="B8" s="21" t="inlineStr">
        <is>
          <t>Module 08 - Profile Photo Management</t>
        </is>
      </c>
      <c r="C8" s="22" t="inlineStr">
        <is>
          <t>M08-F01</t>
        </is>
      </c>
      <c r="D8" s="23" t="inlineStr">
        <is>
          <t>Photo Upload</t>
        </is>
      </c>
      <c r="E8" s="23" t="inlineStr">
        <is>
          <t>Click Save Photo Without Selecting Image File</t>
        </is>
      </c>
      <c r="F8" s="23" t="inlineStr">
        <is>
          <t>Verify system blocks submission when Save is clicked without picking an image file.</t>
        </is>
      </c>
      <c r="G8" s="23" t="inlineStr">
        <is>
          <t>User is logged in as Staff.
Upload modal open.</t>
        </is>
      </c>
      <c r="H8" s="23" t="inlineStr">
        <is>
          <t>SelectedFile=None</t>
        </is>
      </c>
      <c r="I8" s="23" t="inlineStr">
        <is>
          <t>1. Open Upload Photo modal;
2. Click Save Photo button without selecting any file.</t>
        </is>
      </c>
      <c r="J8" s="23" t="inlineStr">
        <is>
          <t>System blocks action.
Validation error appears: "Please select an image file to upload."</t>
        </is>
      </c>
      <c r="K8" s="23" t="inlineStr"/>
      <c r="L8" s="30" t="inlineStr">
        <is>
          <t>Not Run</t>
        </is>
      </c>
      <c r="M8" s="21" t="inlineStr"/>
      <c r="N8" s="25" t="inlineStr">
        <is>
          <t>High</t>
        </is>
      </c>
      <c r="O8" s="23" t="inlineStr">
        <is>
          <t>Related Requirement: M08-F01, Validation Rules (Section 8)</t>
        </is>
      </c>
    </row>
    <row r="9" ht="75" customHeight="1">
      <c r="A9" s="26" t="inlineStr">
        <is>
          <t>TC-M08-008</t>
        </is>
      </c>
      <c r="B9" s="26" t="inlineStr">
        <is>
          <t>Module 08 - Profile Photo Management</t>
        </is>
      </c>
      <c r="C9" s="27" t="inlineStr">
        <is>
          <t>M08-F01</t>
        </is>
      </c>
      <c r="D9" s="28" t="inlineStr">
        <is>
          <t>Photo Upload</t>
        </is>
      </c>
      <c r="E9" s="28" t="inlineStr">
        <is>
          <t>Upload Non-image Format File</t>
        </is>
      </c>
      <c r="F9" s="28" t="inlineStr">
        <is>
          <t>Verify system rejects non-image files (PDF, DOCX, TXT, EXE).</t>
        </is>
      </c>
      <c r="G9" s="28" t="inlineStr">
        <is>
          <t>User is logged in as Staff.</t>
        </is>
      </c>
      <c r="H9" s="28" t="inlineStr">
        <is>
          <t>FileName="document.pdf"</t>
        </is>
      </c>
      <c r="I9" s="28" t="inlineStr">
        <is>
          <t>1. Click Upload Photo button;
2. Select file "document.pdf";
3. Click Save Photo button.</t>
        </is>
      </c>
      <c r="J9" s="28" t="inlineStr">
        <is>
          <t>System blocks upload.
Validation error appears: "Invalid file format. Only JPG and PNG image files are allowed."</t>
        </is>
      </c>
      <c r="K9" s="28" t="inlineStr"/>
      <c r="L9" s="30" t="inlineStr">
        <is>
          <t>Not Run</t>
        </is>
      </c>
      <c r="M9" s="26" t="inlineStr"/>
      <c r="N9" s="25" t="inlineStr">
        <is>
          <t>High</t>
        </is>
      </c>
      <c r="O9" s="28" t="inlineStr">
        <is>
          <t>Related Requirement: M08-F01, Validation Rules (Section 8)</t>
        </is>
      </c>
    </row>
    <row r="10" ht="60" customHeight="1">
      <c r="A10" s="21" t="inlineStr">
        <is>
          <t>TC-M08-009</t>
        </is>
      </c>
      <c r="B10" s="21" t="inlineStr">
        <is>
          <t>Module 08 - Profile Photo Management</t>
        </is>
      </c>
      <c r="C10" s="22" t="inlineStr">
        <is>
          <t>M08-F05</t>
        </is>
      </c>
      <c r="D10" s="23" t="inlineStr">
        <is>
          <t>Google Drive Storage Naming</t>
        </is>
      </c>
      <c r="E10" s="23" t="inlineStr">
        <is>
          <t>Verify File Naming Structure on Google Drive Storage</t>
        </is>
      </c>
      <c r="F10" s="23" t="inlineStr">
        <is>
          <t>Verify system renames uploaded photo files matching student ID format on Google Drive.</t>
        </is>
      </c>
      <c r="G10" s="23" t="inlineStr">
        <is>
          <t>User is logged in as Staff.
Student ID is "ST001".</t>
        </is>
      </c>
      <c r="H10" s="23" t="inlineStr">
        <is>
          <t>OriginalFile="my_avatar_2026.jpg"; ExpectedStoredFile="ST001.jpg"</t>
        </is>
      </c>
      <c r="I10" s="23" t="inlineStr">
        <is>
          <t>1. Upload photo "my_avatar_2026.jpg" for student ST001;
2. Inspect saved file name in Google Drive directory.</t>
        </is>
      </c>
      <c r="J10" s="23" t="inlineStr">
        <is>
          <t>File is saved to Google Drive with standardized filename format "ST001.jpg".</t>
        </is>
      </c>
      <c r="K10" s="23" t="inlineStr"/>
      <c r="L10" s="30" t="inlineStr">
        <is>
          <t>Not Run</t>
        </is>
      </c>
      <c r="M10" s="21" t="inlineStr"/>
      <c r="N10" s="29" t="inlineStr">
        <is>
          <t>Medium</t>
        </is>
      </c>
      <c r="O10" s="23" t="inlineStr">
        <is>
          <t>Related Requirement: M08-F05, Business Rules 6.5</t>
        </is>
      </c>
    </row>
    <row r="11" ht="60" customHeight="1">
      <c r="A11" s="26" t="inlineStr">
        <is>
          <t>TC-M08-010</t>
        </is>
      </c>
      <c r="B11" s="26" t="inlineStr">
        <is>
          <t>Module 08 - Profile Photo Management</t>
        </is>
      </c>
      <c r="C11" s="27" t="inlineStr">
        <is>
          <t>M08-F05</t>
        </is>
      </c>
      <c r="D11" s="28" t="inlineStr">
        <is>
          <t>Google Drive Storage Naming</t>
        </is>
      </c>
      <c r="E11" s="28" t="inlineStr">
        <is>
          <t>Upload Photo for Student with Special Characters in Original Filename</t>
        </is>
      </c>
      <c r="F11" s="28" t="inlineStr">
        <is>
          <t>Verify uploading files with non-ASCII or special characters in filename renames safely during storage.</t>
        </is>
      </c>
      <c r="G11" s="28" t="inlineStr">
        <is>
          <t>User is logged in as Staff.
Student ID is "ST002".</t>
        </is>
      </c>
      <c r="H11" s="28" t="inlineStr">
        <is>
          <t>OriginalFile="avatar_special_char_2026.png"; ExpectedStoredFile="ST002.png"</t>
        </is>
      </c>
      <c r="I11" s="28" t="inlineStr">
        <is>
          <t>1. Select file with Unicode filename "avatar_special_char_2026.png";
2. Click Save Photo button.</t>
        </is>
      </c>
      <c r="J11" s="28" t="inlineStr">
        <is>
          <t>File uploads cleanly and renames to "ST002.png" without encoding errors.</t>
        </is>
      </c>
      <c r="K11" s="28" t="inlineStr"/>
      <c r="L11" s="30" t="inlineStr">
        <is>
          <t>Not Run</t>
        </is>
      </c>
      <c r="M11" s="26" t="inlineStr"/>
      <c r="N11" s="29" t="inlineStr">
        <is>
          <t>Medium</t>
        </is>
      </c>
      <c r="O11" s="28" t="inlineStr">
        <is>
          <t>Related Requirement: M08-F05, Business Rules 6.5</t>
        </is>
      </c>
    </row>
    <row r="12" ht="45" customHeight="1">
      <c r="A12" s="21" t="inlineStr">
        <is>
          <t>TC-M08-011</t>
        </is>
      </c>
      <c r="B12" s="21" t="inlineStr">
        <is>
          <t>Module 08 - Profile Photo Management</t>
        </is>
      </c>
      <c r="C12" s="22" t="inlineStr">
        <is>
          <t>M08-F05</t>
        </is>
      </c>
      <c r="D12" s="23" t="inlineStr">
        <is>
          <t>Google Drive Storage Naming</t>
        </is>
      </c>
      <c r="E12" s="23" t="inlineStr">
        <is>
          <t>Verify File Permissions on Google Drive Storage</t>
        </is>
      </c>
      <c r="F12" s="23" t="inlineStr">
        <is>
          <t>Verify uploaded photo files on Google Drive are configured with public read permission for rendering.</t>
        </is>
      </c>
      <c r="G12" s="23" t="inlineStr">
        <is>
          <t>Photo uploaded to Google Drive.</t>
        </is>
      </c>
      <c r="H12" s="23" t="inlineStr">
        <is>
          <t>FileId="1A2B3C"</t>
        </is>
      </c>
      <c r="I12" s="23" t="inlineStr">
        <is>
          <t>1. Upload photo for student;
2. Verify direct view URL accessibility.</t>
        </is>
      </c>
      <c r="J12" s="23" t="inlineStr">
        <is>
          <t>Image URL resolves and renders image in web browser without authentication wall.</t>
        </is>
      </c>
      <c r="K12" s="23" t="inlineStr"/>
      <c r="L12" s="30" t="inlineStr">
        <is>
          <t>Not Run</t>
        </is>
      </c>
      <c r="M12" s="21" t="inlineStr"/>
      <c r="N12" s="25" t="inlineStr">
        <is>
          <t>High</t>
        </is>
      </c>
      <c r="O12" s="23" t="inlineStr">
        <is>
          <t>Related Requirement: M08-F05, Business Rules 6.5</t>
        </is>
      </c>
    </row>
    <row r="13" ht="60" customHeight="1">
      <c r="A13" s="26" t="inlineStr">
        <is>
          <t>TC-M08-012</t>
        </is>
      </c>
      <c r="B13" s="26" t="inlineStr">
        <is>
          <t>Module 08 - Profile Photo Management</t>
        </is>
      </c>
      <c r="C13" s="27" t="inlineStr">
        <is>
          <t>M08-F01</t>
        </is>
      </c>
      <c r="D13" s="28" t="inlineStr">
        <is>
          <t>Photo Upload</t>
        </is>
      </c>
      <c r="E13" s="28" t="inlineStr">
        <is>
          <t>Upload Oversized Image File Exceeding Maximum Limit</t>
        </is>
      </c>
      <c r="F13" s="28" t="inlineStr">
        <is>
          <t>Verify system blocks uploading files exceeding file size limit (e.g., &gt; 5MB).</t>
        </is>
      </c>
      <c r="G13" s="28" t="inlineStr">
        <is>
          <t>User is logged in as Staff.</t>
        </is>
      </c>
      <c r="H13" s="28" t="inlineStr">
        <is>
          <t>FileName="large_photo.jpg"; FileSize="12MB"</t>
        </is>
      </c>
      <c r="I13" s="28" t="inlineStr">
        <is>
          <t>1. Select oversized file "large_photo.jpg" (12MB);
2. Click Save Photo button.</t>
        </is>
      </c>
      <c r="J13" s="28" t="inlineStr">
        <is>
          <t>System blocks upload.
Validation error appears: "File size exceeds maximum limit of 5MB."</t>
        </is>
      </c>
      <c r="K13" s="28" t="inlineStr"/>
      <c r="L13" s="30" t="inlineStr">
        <is>
          <t>Not Run</t>
        </is>
      </c>
      <c r="M13" s="26" t="inlineStr"/>
      <c r="N13" s="25" t="inlineStr">
        <is>
          <t>High</t>
        </is>
      </c>
      <c r="O13" s="28" t="inlineStr">
        <is>
          <t>Related Requirement: M08-F01, Validation Rules (Section 8)</t>
        </is>
      </c>
    </row>
    <row r="14" ht="45" customHeight="1">
      <c r="A14" s="21" t="inlineStr">
        <is>
          <t>TC-M08-013</t>
        </is>
      </c>
      <c r="B14" s="21" t="inlineStr">
        <is>
          <t>Module 08 - Profile Photo Management</t>
        </is>
      </c>
      <c r="C14" s="22" t="inlineStr">
        <is>
          <t>M08-F01</t>
        </is>
      </c>
      <c r="D14" s="23" t="inlineStr">
        <is>
          <t>Photo Upload</t>
        </is>
      </c>
      <c r="E14" s="23" t="inlineStr">
        <is>
          <t>Upload Image File with Uppercase Extension (.JPG / .PNG)</t>
        </is>
      </c>
      <c r="F14" s="23" t="inlineStr">
        <is>
          <t>Verify system handles uppercase file extensions (.JPG, .PNG) correctly.</t>
        </is>
      </c>
      <c r="G14" s="23" t="inlineStr">
        <is>
          <t>User is logged in as Staff.</t>
        </is>
      </c>
      <c r="H14" s="23" t="inlineStr">
        <is>
          <t>FileName="PHOTO.JPG"</t>
        </is>
      </c>
      <c r="I14" s="23" t="inlineStr">
        <is>
          <t>1. Select file "PHOTO.JPG";
2. Click Save Photo button.</t>
        </is>
      </c>
      <c r="J14" s="23" t="inlineStr">
        <is>
          <t>System accepts upload successfully regardless of extension case.</t>
        </is>
      </c>
      <c r="K14" s="23" t="inlineStr"/>
      <c r="L14" s="30" t="inlineStr">
        <is>
          <t>Not Run</t>
        </is>
      </c>
      <c r="M14" s="21" t="inlineStr"/>
      <c r="N14" s="29" t="inlineStr">
        <is>
          <t>Medium</t>
        </is>
      </c>
      <c r="O14" s="23" t="inlineStr">
        <is>
          <t>Related Requirement: M08-F01, Business Rules 6.1</t>
        </is>
      </c>
    </row>
    <row r="15" ht="60" customHeight="1">
      <c r="A15" s="26" t="inlineStr">
        <is>
          <t>TC-M08-014</t>
        </is>
      </c>
      <c r="B15" s="26" t="inlineStr">
        <is>
          <t>Module 08 - Profile Photo Management</t>
        </is>
      </c>
      <c r="C15" s="27" t="inlineStr">
        <is>
          <t>M08-F06</t>
        </is>
      </c>
      <c r="D15" s="28" t="inlineStr">
        <is>
          <t>Drive Integration Error Handling</t>
        </is>
      </c>
      <c r="E15" s="28" t="inlineStr">
        <is>
          <t>Upload Fails Due to Google Drive Connection Error</t>
        </is>
      </c>
      <c r="F15" s="28" t="inlineStr">
        <is>
          <t>Verify graceful error handling when Google Drive API connection fails.</t>
        </is>
      </c>
      <c r="G15" s="28" t="inlineStr">
        <is>
          <t>User is logged in as Staff.
Google Drive service is disconnected or unreachable.</t>
        </is>
      </c>
      <c r="H15" s="28" t="inlineStr">
        <is>
          <t>DriveApiStatus="Disconnected"</t>
        </is>
      </c>
      <c r="I15" s="28" t="inlineStr">
        <is>
          <t>1. Attempt to upload profile photo when Drive API is offline.</t>
        </is>
      </c>
      <c r="J15" s="28" t="inlineStr">
        <is>
          <t>System catches exception.
Error message displays: "Unable to connect to storage service. Please try again later."</t>
        </is>
      </c>
      <c r="K15" s="28" t="inlineStr"/>
      <c r="L15" s="30" t="inlineStr">
        <is>
          <t>Not Run</t>
        </is>
      </c>
      <c r="M15" s="26" t="inlineStr"/>
      <c r="N15" s="29" t="inlineStr">
        <is>
          <t>Medium</t>
        </is>
      </c>
      <c r="O15" s="28" t="inlineStr">
        <is>
          <t>Related Requirement: M08-F06, Error Handling (Section 8)</t>
        </is>
      </c>
    </row>
    <row r="16" ht="45" customHeight="1">
      <c r="A16" s="21" t="inlineStr">
        <is>
          <t>TC-M08-015</t>
        </is>
      </c>
      <c r="B16" s="21" t="inlineStr">
        <is>
          <t>Module 08 - Profile Photo Management</t>
        </is>
      </c>
      <c r="C16" s="22" t="inlineStr">
        <is>
          <t>M08-F06</t>
        </is>
      </c>
      <c r="D16" s="23" t="inlineStr">
        <is>
          <t>Drive Integration Error Handling</t>
        </is>
      </c>
      <c r="E16" s="23" t="inlineStr">
        <is>
          <t>Upload Fails Due to Unconfigured Google Drive Target Folder</t>
        </is>
      </c>
      <c r="F16" s="23" t="inlineStr">
        <is>
          <t>Verify error notification when Drive folder ID is missing or invalid in system settings.</t>
        </is>
      </c>
      <c r="G16" s="23" t="inlineStr">
        <is>
          <t>User is logged in as Staff.
Target folder ID in config is invalid.</t>
        </is>
      </c>
      <c r="H16" s="23" t="inlineStr">
        <is>
          <t>DriveFolderId="INVALID_ID"</t>
        </is>
      </c>
      <c r="I16" s="23" t="inlineStr">
        <is>
          <t>1. Attempt to upload profile photo.</t>
        </is>
      </c>
      <c r="J16" s="23" t="inlineStr">
        <is>
          <t>System blocks upload and logs configuration error message for administrator.</t>
        </is>
      </c>
      <c r="K16" s="23" t="inlineStr"/>
      <c r="L16" s="30" t="inlineStr">
        <is>
          <t>Not Run</t>
        </is>
      </c>
      <c r="M16" s="21" t="inlineStr"/>
      <c r="N16" s="29" t="inlineStr">
        <is>
          <t>Medium</t>
        </is>
      </c>
      <c r="O16" s="23" t="inlineStr">
        <is>
          <t>Related Requirement: M08-F06, Error Handling (Section 8)</t>
        </is>
      </c>
    </row>
    <row r="17" ht="60" customHeight="1">
      <c r="A17" s="26" t="inlineStr">
        <is>
          <t>TC-M08-016</t>
        </is>
      </c>
      <c r="B17" s="26" t="inlineStr">
        <is>
          <t>Module 08 - Profile Photo Management</t>
        </is>
      </c>
      <c r="C17" s="27" t="inlineStr">
        <is>
          <t>M08-F03</t>
        </is>
      </c>
      <c r="D17" s="28" t="inlineStr">
        <is>
          <t>Default Avatar Display</t>
        </is>
      </c>
      <c r="E17" s="28" t="inlineStr">
        <is>
          <t>Display Default Avatar When Photo URL Returns HTTP 404 Error</t>
        </is>
      </c>
      <c r="F17" s="28" t="inlineStr">
        <is>
          <t>Verify system gracefully falls back to default avatar if image URL fails to load (404 error).</t>
        </is>
      </c>
      <c r="G17" s="28" t="inlineStr">
        <is>
          <t>User is logged in.
Student photo URL in database points to non-existent image resource.</t>
        </is>
      </c>
      <c r="H17" s="28" t="inlineStr">
        <is>
          <t>PhotoUrl="https://drive.google.com/non_existent.jpg"</t>
        </is>
      </c>
      <c r="I17" s="28" t="inlineStr">
        <is>
          <t>1. Open Student Detail page;
2. Observe image element on error event.</t>
        </is>
      </c>
      <c r="J17" s="28" t="inlineStr">
        <is>
          <t>Image onError handler triggers and smoothly replaces broken image link with default placeholder avatar.</t>
        </is>
      </c>
      <c r="K17" s="28" t="inlineStr"/>
      <c r="L17" s="30" t="inlineStr">
        <is>
          <t>Not Run</t>
        </is>
      </c>
      <c r="M17" s="26" t="inlineStr"/>
      <c r="N17" s="29" t="inlineStr">
        <is>
          <t>Medium</t>
        </is>
      </c>
      <c r="O17" s="28" t="inlineStr">
        <is>
          <t>Related Requirement: M08-F03, Error Handling (Section 8)</t>
        </is>
      </c>
    </row>
    <row r="18" ht="60" customHeight="1">
      <c r="A18" s="21" t="inlineStr">
        <is>
          <t>TC-M08-017</t>
        </is>
      </c>
      <c r="B18" s="21" t="inlineStr">
        <is>
          <t>Module 08 - Profile Photo Management</t>
        </is>
      </c>
      <c r="C18" s="22" t="inlineStr">
        <is>
          <t>M08-F07</t>
        </is>
      </c>
      <c r="D18" s="23" t="inlineStr">
        <is>
          <t>Role Permissions &amp; Access Control</t>
        </is>
      </c>
      <c r="E18" s="23" t="inlineStr">
        <is>
          <t>Verify Student Role Cannot Upload or Delete Profile Photo</t>
        </is>
      </c>
      <c r="F18" s="23" t="inlineStr">
        <is>
          <t>Verify Student role has read-only photo permissions and cannot upload or delete photos.</t>
        </is>
      </c>
      <c r="G18" s="23" t="inlineStr">
        <is>
          <t>User is logged in as Student.</t>
        </is>
      </c>
      <c r="H18" s="23" t="inlineStr">
        <is>
          <t>StudentEmail="student@student.passerellesnumeriques.org"</t>
        </is>
      </c>
      <c r="I18" s="23" t="inlineStr">
        <is>
          <t>1. Navigate to Student Detail / Profile page as Student;
2. Inspect photo options.</t>
        </is>
      </c>
      <c r="J18" s="23" t="inlineStr">
        <is>
          <t>Upload Photo and Delete Photo buttons are absent from UI.</t>
        </is>
      </c>
      <c r="K18" s="23" t="inlineStr"/>
      <c r="L18" s="30" t="inlineStr">
        <is>
          <t>Not Run</t>
        </is>
      </c>
      <c r="M18" s="21" t="inlineStr"/>
      <c r="N18" s="25" t="inlineStr">
        <is>
          <t>High</t>
        </is>
      </c>
      <c r="O18" s="23" t="inlineStr">
        <is>
          <t>Related Requirement: M08-F07, User Roles</t>
        </is>
      </c>
    </row>
    <row r="19" ht="45" customHeight="1">
      <c r="A19" s="26" t="inlineStr">
        <is>
          <t>TC-M08-018</t>
        </is>
      </c>
      <c r="B19" s="26" t="inlineStr">
        <is>
          <t>Module 08 - Profile Photo Management</t>
        </is>
      </c>
      <c r="C19" s="27" t="inlineStr">
        <is>
          <t>M08-F07</t>
        </is>
      </c>
      <c r="D19" s="28" t="inlineStr">
        <is>
          <t>Role Permissions &amp; Access Control</t>
        </is>
      </c>
      <c r="E19" s="28" t="inlineStr">
        <is>
          <t>Block Direct API Calls for Photo Upload from Student Account</t>
        </is>
      </c>
      <c r="F19" s="28" t="inlineStr">
        <is>
          <t>Verify backend API blocks photo upload requests submitted with Student JWT authorization token.</t>
        </is>
      </c>
      <c r="G19" s="28" t="inlineStr">
        <is>
          <t>Student authorization token.</t>
        </is>
      </c>
      <c r="H19" s="28" t="inlineStr">
        <is>
          <t>ApiEndpoint="POST /api/students/st001/photo"</t>
        </is>
      </c>
      <c r="I19" s="28" t="inlineStr">
        <is>
          <t>1. Submit direct HTTP POST upload request using Student auth token.</t>
        </is>
      </c>
      <c r="J19" s="28" t="inlineStr">
        <is>
          <t>Backend rejects request with HTTP 403 Forbidden status.</t>
        </is>
      </c>
      <c r="K19" s="28" t="inlineStr"/>
      <c r="L19" s="30" t="inlineStr">
        <is>
          <t>Not Run</t>
        </is>
      </c>
      <c r="M19" s="26" t="inlineStr"/>
      <c r="N19" s="25" t="inlineStr">
        <is>
          <t>High</t>
        </is>
      </c>
      <c r="O19" s="28" t="inlineStr">
        <is>
          <t>Related Requirement: M08-F07, User Roles</t>
        </is>
      </c>
    </row>
    <row r="20" ht="45" customHeight="1">
      <c r="A20" s="21" t="inlineStr">
        <is>
          <t>TC-M08-019</t>
        </is>
      </c>
      <c r="B20" s="21" t="inlineStr">
        <is>
          <t>Module 08 - Profile Photo Management</t>
        </is>
      </c>
      <c r="C20" s="22" t="inlineStr">
        <is>
          <t>M08-F07</t>
        </is>
      </c>
      <c r="D20" s="23" t="inlineStr">
        <is>
          <t>Role Permissions &amp; Access Control</t>
        </is>
      </c>
      <c r="E20" s="23" t="inlineStr">
        <is>
          <t>Deny Access to External Organization Accounts</t>
        </is>
      </c>
      <c r="F20" s="23" t="inlineStr">
        <is>
          <t>Verify users from external email domains cannot access profile photo API or management UI.</t>
        </is>
      </c>
      <c r="G20" s="23" t="inlineStr">
        <is>
          <t>External domain account.</t>
        </is>
      </c>
      <c r="H20" s="23" t="inlineStr">
        <is>
          <t>UserEmail="external@gmail.com"</t>
        </is>
      </c>
      <c r="I20" s="23" t="inlineStr">
        <is>
          <t>1. Attempt access with external account.</t>
        </is>
      </c>
      <c r="J20" s="23" t="inlineStr">
        <is>
          <t>System denies access with HTTP 403 Forbidden.</t>
        </is>
      </c>
      <c r="K20" s="23" t="inlineStr"/>
      <c r="L20" s="30" t="inlineStr">
        <is>
          <t>Not Run</t>
        </is>
      </c>
      <c r="M20" s="21" t="inlineStr"/>
      <c r="N20" s="25" t="inlineStr">
        <is>
          <t>High</t>
        </is>
      </c>
      <c r="O20" s="23" t="inlineStr">
        <is>
          <t>Related Requirement: M08-F07, User Roles</t>
        </is>
      </c>
    </row>
    <row r="21" ht="45" customHeight="1">
      <c r="A21" s="26" t="inlineStr">
        <is>
          <t>TC-M08-020</t>
        </is>
      </c>
      <c r="B21" s="26" t="inlineStr">
        <is>
          <t>Module 08 - Profile Photo Management</t>
        </is>
      </c>
      <c r="C21" s="27" t="inlineStr">
        <is>
          <t>M08-F08</t>
        </is>
      </c>
      <c r="D21" s="28" t="inlineStr">
        <is>
          <t>Feature Scope Verification</t>
        </is>
      </c>
      <c r="E21" s="28" t="inlineStr">
        <is>
          <t>Verify Image Editing and Cropping Features Are Not Present</t>
        </is>
      </c>
      <c r="F21" s="28" t="inlineStr">
        <is>
          <t>Verify profile photo management upload directly stores selected file without client-side image cropping tools.</t>
        </is>
      </c>
      <c r="G21" s="28" t="inlineStr">
        <is>
          <t>User is logged in as Staff.
Uploading photo.</t>
        </is>
      </c>
      <c r="H21" s="28" t="inlineStr">
        <is>
          <t>FileName="photo.jpg"</t>
        </is>
      </c>
      <c r="I21" s="28" t="inlineStr">
        <is>
          <t>1. Select image file in upload modal;
2. Observe upload workflow.</t>
        </is>
      </c>
      <c r="J21" s="28" t="inlineStr">
        <is>
          <t>File uploads directly without displaying cropping modal, maintaining simple out-of-scope workflow.</t>
        </is>
      </c>
      <c r="K21" s="28" t="inlineStr"/>
      <c r="L21" s="30" t="inlineStr">
        <is>
          <t>Not Run</t>
        </is>
      </c>
      <c r="M21" s="26" t="inlineStr"/>
      <c r="N21" s="24" t="inlineStr">
        <is>
          <t>Low</t>
        </is>
      </c>
      <c r="O21" s="28" t="inlineStr">
        <is>
          <t>Related Requirement: M08-F08, Out of Scope (Section 12)</t>
        </is>
      </c>
    </row>
  </sheetData>
  <autoFilter ref="A1:O21"/>
  <dataValidations count="2">
    <dataValidation sqref="L2:L121" showDropDown="0" showInputMessage="0" showErrorMessage="0" allowBlank="1" errorTitle="Invalid Status" error="Please select a valid state: Passed, Failed, or Not Run" type="list">
      <formula1>"Passed,Failed,Not Run"</formula1>
    </dataValidation>
    <dataValidation sqref="N2:N121" showDropDown="0" showInputMessage="0" showErrorMessage="0" allowBlank="1" errorTitle="Invalid Priority" error="Please select a valid priority: High, Medium, or Low" type="list">
      <formula1>"High,Medium,Low"</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4"/>
  <sheetViews>
    <sheetView showGridLines="1" workbookViewId="0">
      <selection activeCell="A1" sqref="A1"/>
    </sheetView>
  </sheetViews>
  <sheetFormatPr baseColWidth="8" defaultRowHeight="15"/>
  <cols>
    <col width="15" customWidth="1" min="1" max="1"/>
    <col width="14" customWidth="1" min="2" max="2"/>
    <col width="14" customWidth="1" min="3" max="3"/>
    <col width="28" customWidth="1" min="4" max="4"/>
    <col width="32" customWidth="1" min="5" max="5"/>
    <col width="36" customWidth="1" min="6" max="6"/>
    <col width="30" customWidth="1" min="7" max="7"/>
    <col width="28" customWidth="1" min="8" max="8"/>
    <col width="48" customWidth="1" min="9" max="9"/>
    <col width="48" customWidth="1" min="10" max="10"/>
    <col width="36" customWidth="1" min="11" max="11"/>
    <col width="16" customWidth="1" min="12" max="12"/>
    <col width="25" customWidth="1" min="13" max="13"/>
    <col width="14" customWidth="1" min="14" max="14"/>
    <col width="32" customWidth="1" min="15" max="15"/>
  </cols>
  <sheetData>
    <row r="1" ht="28" customHeight="1">
      <c r="A1" s="20" t="inlineStr">
        <is>
          <t>ID</t>
        </is>
      </c>
      <c r="B1" s="20" t="inlineStr">
        <is>
          <t>Module</t>
        </is>
      </c>
      <c r="C1" s="20" t="inlineStr">
        <is>
          <t>Feature ID</t>
        </is>
      </c>
      <c r="D1" s="20" t="inlineStr">
        <is>
          <t>Feature Name</t>
        </is>
      </c>
      <c r="E1" s="20" t="inlineStr">
        <is>
          <t>Title</t>
        </is>
      </c>
      <c r="F1" s="20" t="inlineStr">
        <is>
          <t>Objective</t>
        </is>
      </c>
      <c r="G1" s="20" t="inlineStr">
        <is>
          <t>Preconditions</t>
        </is>
      </c>
      <c r="H1" s="20" t="inlineStr">
        <is>
          <t>TestData</t>
        </is>
      </c>
      <c r="I1" s="20" t="inlineStr">
        <is>
          <t>Steps</t>
        </is>
      </c>
      <c r="J1" s="20" t="inlineStr">
        <is>
          <t>ExpectedResult</t>
        </is>
      </c>
      <c r="K1" s="20" t="inlineStr">
        <is>
          <t>Actual Result</t>
        </is>
      </c>
      <c r="L1" s="20" t="inlineStr">
        <is>
          <t>Status</t>
        </is>
      </c>
      <c r="M1" s="20" t="inlineStr">
        <is>
          <t>Evidence</t>
        </is>
      </c>
      <c r="N1" s="20" t="inlineStr">
        <is>
          <t>Priority</t>
        </is>
      </c>
      <c r="O1" s="20" t="inlineStr">
        <is>
          <t>Notes</t>
        </is>
      </c>
    </row>
    <row r="2" ht="90" customHeight="1">
      <c r="A2" s="21" t="inlineStr">
        <is>
          <t>TC-M09-001</t>
        </is>
      </c>
      <c r="B2" s="21" t="inlineStr">
        <is>
          <t>Module 09 - Student Portal</t>
        </is>
      </c>
      <c r="C2" s="22" t="inlineStr">
        <is>
          <t>M09-F01</t>
        </is>
      </c>
      <c r="D2" s="23" t="inlineStr">
        <is>
          <t>Role-based Auto-login</t>
        </is>
      </c>
      <c r="E2" s="23" t="inlineStr">
        <is>
          <t>Log In with a Valid Student Account</t>
        </is>
      </c>
      <c r="F2" s="23" t="inlineStr">
        <is>
          <t>Verify student with email belonging to @student.passerellesnumeriques.org domain logs in successfully to Student Portal via Google OAuth.</t>
        </is>
      </c>
      <c r="G2" s="23" t="inlineStr">
        <is>
          <t>User is not logged into system. Browser is connected to internet and supports Google OAuth.</t>
        </is>
      </c>
      <c r="H2" s="23" t="inlineStr">
        <is>
          <t>Email="nam.nguyen26@student.passerellesnumeriques.org"</t>
        </is>
      </c>
      <c r="I2" s="23" t="inlineStr">
        <is>
          <t>1. Access Academic Portal login page;
2. Click "Sign in with Google" button;
3. Select account nam.nguyen26@student.passerellesnumeriques.org and authorize.</t>
        </is>
      </c>
      <c r="J2" s="23" t="inlineStr">
        <is>
          <t>Login successful. System recognizes student role and redirects directly to Student Portal interface showing student's academic records.</t>
        </is>
      </c>
      <c r="K2" s="23" t="inlineStr"/>
      <c r="L2" s="30" t="inlineStr">
        <is>
          <t>Not Run</t>
        </is>
      </c>
      <c r="M2" s="21" t="inlineStr"/>
      <c r="N2" s="25" t="inlineStr">
        <is>
          <t>High</t>
        </is>
      </c>
      <c r="O2" s="23" t="inlineStr">
        <is>
          <t>Related Requirement: M09-F01, Business Rules 6.1</t>
        </is>
      </c>
    </row>
    <row r="3" ht="90" customHeight="1">
      <c r="A3" s="26" t="inlineStr">
        <is>
          <t>TC-M09-002</t>
        </is>
      </c>
      <c r="B3" s="26" t="inlineStr">
        <is>
          <t>Module 09 - Student Portal</t>
        </is>
      </c>
      <c r="C3" s="27" t="inlineStr">
        <is>
          <t>M09-F01</t>
        </is>
      </c>
      <c r="D3" s="28" t="inlineStr">
        <is>
          <t>Role-based Auto-login</t>
        </is>
      </c>
      <c r="E3" s="28" t="inlineStr">
        <is>
          <t>Log In with an Organization Staff Account</t>
        </is>
      </c>
      <c r="F3" s="28" t="inlineStr">
        <is>
          <t>Verify Staff account logging in via Google OAuth is automatically recognized and redirected to Staff Portal instead of Student Portal.</t>
        </is>
      </c>
      <c r="G3" s="28" t="inlineStr">
        <is>
          <t>User is not logged into system.</t>
        </is>
      </c>
      <c r="H3" s="28" t="inlineStr">
        <is>
          <t>Email="staff.manager@passerellesnumeriques.org"</t>
        </is>
      </c>
      <c r="I3" s="28" t="inlineStr">
        <is>
          <t>1. Access Academic Portal login page;
2. Click "Sign in with Google" button;
3. Select Staff account staff.manager@passerellesnumeriques.org and authorize.</t>
        </is>
      </c>
      <c r="J3" s="28" t="inlineStr">
        <is>
          <t>Login successful. System recognizes Staff role and redirects user to Staff Portal interface instead of Student Portal.</t>
        </is>
      </c>
      <c r="K3" s="28" t="inlineStr"/>
      <c r="L3" s="30" t="inlineStr">
        <is>
          <t>Not Run</t>
        </is>
      </c>
      <c r="M3" s="26" t="inlineStr"/>
      <c r="N3" s="25" t="inlineStr">
        <is>
          <t>High</t>
        </is>
      </c>
      <c r="O3" s="28" t="inlineStr">
        <is>
          <t>Related Requirement: M09-F01, Business Rules 6.1</t>
        </is>
      </c>
    </row>
    <row r="4" ht="90" customHeight="1">
      <c r="A4" s="21" t="inlineStr">
        <is>
          <t>TC-M09-003</t>
        </is>
      </c>
      <c r="B4" s="21" t="inlineStr">
        <is>
          <t>Module 09 - Student Portal</t>
        </is>
      </c>
      <c r="C4" s="22" t="inlineStr">
        <is>
          <t>M09-F01</t>
        </is>
      </c>
      <c r="D4" s="23" t="inlineStr">
        <is>
          <t>Role-based Auto-login</t>
        </is>
      </c>
      <c r="E4" s="23" t="inlineStr">
        <is>
          <t>Log In with an External Personal Account</t>
        </is>
      </c>
      <c r="F4" s="23" t="inlineStr">
        <is>
          <t>Verify system blocks access when user attempts to log in with an external personal email domain.</t>
        </is>
      </c>
      <c r="G4" s="23" t="inlineStr">
        <is>
          <t>User is not logged into system.</t>
        </is>
      </c>
      <c r="H4" s="23" t="inlineStr">
        <is>
          <t>Email="user.test@gmail.com"</t>
        </is>
      </c>
      <c r="I4" s="23" t="inlineStr">
        <is>
          <t>1. Access Academic Portal login page;
2. Click "Sign in with Google" button;
3. Select personal email user.test@gmail.com.</t>
        </is>
      </c>
      <c r="J4" s="23" t="inlineStr">
        <is>
          <t>System blocks login. Error message appears: "Access denied. Please use your organizational email (@passerellesnumeriques.org or @student.passerellesnumeriques.org)."</t>
        </is>
      </c>
      <c r="K4" s="23" t="inlineStr"/>
      <c r="L4" s="30" t="inlineStr">
        <is>
          <t>Not Run</t>
        </is>
      </c>
      <c r="M4" s="21" t="inlineStr"/>
      <c r="N4" s="25" t="inlineStr">
        <is>
          <t>High</t>
        </is>
      </c>
      <c r="O4" s="23" t="inlineStr">
        <is>
          <t>Related Requirement: M09-F01, Error Handling 8.1</t>
        </is>
      </c>
    </row>
    <row r="5" ht="45" customHeight="1">
      <c r="A5" s="26" t="inlineStr">
        <is>
          <t>TC-M09-004</t>
        </is>
      </c>
      <c r="B5" s="26" t="inlineStr">
        <is>
          <t>Module 09 - Student Portal</t>
        </is>
      </c>
      <c r="C5" s="27" t="inlineStr">
        <is>
          <t>M09-F01</t>
        </is>
      </c>
      <c r="D5" s="28" t="inlineStr">
        <is>
          <t>Role-based Auto-login</t>
        </is>
      </c>
      <c r="E5" s="28" t="inlineStr">
        <is>
          <t>Log In with Valid Student Email but Without Academic Records in System</t>
        </is>
      </c>
      <c r="F5" s="28" t="inlineStr">
        <is>
          <t>Verify system handles student authentication when email domain is valid but student profile is missing from database.</t>
        </is>
      </c>
      <c r="G5" s="28" t="inlineStr">
        <is>
          <t>User has valid student email domain, but student profile record does not exist in database.</t>
        </is>
      </c>
      <c r="H5" s="28" t="inlineStr">
        <is>
          <t>Email="newstudent@student.passerellesnumeriques.org"</t>
        </is>
      </c>
      <c r="I5" s="28" t="inlineStr">
        <is>
          <t>1. Log in via Google OAuth with newstudent@student.passerellesnumeriques.org.</t>
        </is>
      </c>
      <c r="J5" s="28" t="inlineStr">
        <is>
          <t>System authenticates but displays notice: "No academic records found for your account. Please contact Academic Staff."</t>
        </is>
      </c>
      <c r="K5" s="28" t="inlineStr"/>
      <c r="L5" s="30" t="inlineStr">
        <is>
          <t>Not Run</t>
        </is>
      </c>
      <c r="M5" s="26" t="inlineStr"/>
      <c r="N5" s="29" t="inlineStr">
        <is>
          <t>Medium</t>
        </is>
      </c>
      <c r="O5" s="28" t="inlineStr">
        <is>
          <t>Related Requirement: M09-F01, Error Handling 8.2</t>
        </is>
      </c>
    </row>
    <row r="6" ht="90" customHeight="1">
      <c r="A6" s="21" t="inlineStr">
        <is>
          <t>TC-M09-005</t>
        </is>
      </c>
      <c r="B6" s="21" t="inlineStr">
        <is>
          <t>Module 09 - Student Portal</t>
        </is>
      </c>
      <c r="C6" s="22" t="inlineStr">
        <is>
          <t>M09-F02</t>
        </is>
      </c>
      <c r="D6" s="23" t="inlineStr">
        <is>
          <t>Semester Navigation</t>
        </is>
      </c>
      <c r="E6" s="23" t="inlineStr">
        <is>
          <t>Switch Between Semesters (Semester Selector)</t>
        </is>
      </c>
      <c r="F6" s="23" t="inlineStr">
        <is>
          <t>Verify student can switch between semesters using dropdown menu and view corresponding subject grades and GPA.</t>
        </is>
      </c>
      <c r="G6" s="23" t="inlineStr">
        <is>
          <t>Student is logged into Student Portal. Academic record contains data for Semester 1 and Semester 2.</t>
        </is>
      </c>
      <c r="H6" s="23" t="inlineStr">
        <is>
          <t>Student Email="nam.nguyen26@student.passerellesnumeriques.org"; Selected Semester="Semester 2"</t>
        </is>
      </c>
      <c r="I6" s="23" t="inlineStr">
        <is>
          <t>1. Observe default selected semester (latest semester);
2. Click Semester Selector dropdown menu;
3. Select "Semester 2".</t>
        </is>
      </c>
      <c r="J6" s="23" t="inlineStr">
        <is>
          <t>Interface re-renders smoothly. Grade table and GPA stats update instantly to display Semester 2 academic data.</t>
        </is>
      </c>
      <c r="K6" s="23" t="inlineStr"/>
      <c r="L6" s="30" t="inlineStr">
        <is>
          <t>Not Run</t>
        </is>
      </c>
      <c r="M6" s="21" t="inlineStr"/>
      <c r="N6" s="25" t="inlineStr">
        <is>
          <t>High</t>
        </is>
      </c>
      <c r="O6" s="23" t="inlineStr">
        <is>
          <t>Related Requirement: M09-F02, Business Rules 6.2</t>
        </is>
      </c>
    </row>
    <row r="7" ht="60" customHeight="1">
      <c r="A7" s="26" t="inlineStr">
        <is>
          <t>TC-M09-006</t>
        </is>
      </c>
      <c r="B7" s="26" t="inlineStr">
        <is>
          <t>Module 09 - Student Portal</t>
        </is>
      </c>
      <c r="C7" s="27" t="inlineStr">
        <is>
          <t>M09-F03</t>
        </is>
      </c>
      <c r="D7" s="28" t="inlineStr">
        <is>
          <t>Subject Categorization</t>
        </is>
      </c>
      <c r="E7" s="28" t="inlineStr">
        <is>
          <t>Verify Subject Categorization by Category (Subject Categories)</t>
        </is>
      </c>
      <c r="F7" s="28" t="inlineStr">
        <is>
          <t>Verify subjects on Student Portal are grouped into correct categories (IT, English, Professional Skills).</t>
        </is>
      </c>
      <c r="G7" s="28" t="inlineStr">
        <is>
          <t>Student is logged into Student Portal. Student has enrolled subjects across multiple categories.</t>
        </is>
      </c>
      <c r="H7" s="28" t="inlineStr">
        <is>
          <t>Categories=["IT", "English", "Professional Skills"]</t>
        </is>
      </c>
      <c r="I7" s="28" t="inlineStr">
        <is>
          <t>1. Navigate to Grade Report tab on Student Portal;
2. Observe layout of subject table.</t>
        </is>
      </c>
      <c r="J7" s="28" t="inlineStr">
        <is>
          <t>Subjects are grouped clearly under Category header sections (IT, English, Professional Skills).</t>
        </is>
      </c>
      <c r="K7" s="28" t="inlineStr"/>
      <c r="L7" s="30" t="inlineStr">
        <is>
          <t>Not Run</t>
        </is>
      </c>
      <c r="M7" s="26" t="inlineStr"/>
      <c r="N7" s="25" t="inlineStr">
        <is>
          <t>High</t>
        </is>
      </c>
      <c r="O7" s="28" t="inlineStr">
        <is>
          <t>Related Requirement: M09-F03, Business Rules 6.3</t>
        </is>
      </c>
    </row>
    <row r="8" ht="75" customHeight="1">
      <c r="A8" s="21" t="inlineStr">
        <is>
          <t>TC-M09-007</t>
        </is>
      </c>
      <c r="B8" s="21" t="inlineStr">
        <is>
          <t>Module 09 - Student Portal</t>
        </is>
      </c>
      <c r="C8" s="22" t="inlineStr">
        <is>
          <t>M09-F04</t>
        </is>
      </c>
      <c r="D8" s="23" t="inlineStr">
        <is>
          <t>Read-only View Enforcement</t>
        </is>
      </c>
      <c r="E8" s="23" t="inlineStr">
        <is>
          <t>Verify Read-Only Nature of Student Portal</t>
        </is>
      </c>
      <c r="F8" s="23" t="inlineStr">
        <is>
          <t>Verify Student Portal is strictly Read-Only and provides no edit controls for grades or attendance.</t>
        </is>
      </c>
      <c r="G8" s="23" t="inlineStr">
        <is>
          <t>Student is logged into Student Portal.</t>
        </is>
      </c>
      <c r="H8" s="23" t="inlineStr">
        <is>
          <t>Role="Student"</t>
        </is>
      </c>
      <c r="I8" s="23" t="inlineStr">
        <is>
          <t>1. Browse all sections of Student Portal (Grades, Attendance, Profile, Materials);
2. Check for any edit, save, or input fields.</t>
        </is>
      </c>
      <c r="J8" s="23" t="inlineStr">
        <is>
          <t>All academic data displays in Read-Only mode. No input fields or save buttons are present.</t>
        </is>
      </c>
      <c r="K8" s="23" t="inlineStr"/>
      <c r="L8" s="30" t="inlineStr">
        <is>
          <t>Not Run</t>
        </is>
      </c>
      <c r="M8" s="21" t="inlineStr"/>
      <c r="N8" s="25" t="inlineStr">
        <is>
          <t>High</t>
        </is>
      </c>
      <c r="O8" s="23" t="inlineStr">
        <is>
          <t>Related Requirement: M09-F04, Business Rules 6.4</t>
        </is>
      </c>
    </row>
    <row r="9" ht="60" customHeight="1">
      <c r="A9" s="26" t="inlineStr">
        <is>
          <t>TC-M09-008</t>
        </is>
      </c>
      <c r="B9" s="26" t="inlineStr">
        <is>
          <t>Module 09 - Student Portal</t>
        </is>
      </c>
      <c r="C9" s="27" t="inlineStr">
        <is>
          <t>M09-F05</t>
        </is>
      </c>
      <c r="D9" s="28" t="inlineStr">
        <is>
          <t>Grade Representation &amp; Placeholders</t>
        </is>
      </c>
      <c r="E9" s="28" t="inlineStr">
        <is>
          <t>Display Unentered Grades (Empty Grades)</t>
        </is>
      </c>
      <c r="F9" s="28" t="inlineStr">
        <is>
          <t>Verify system displays hyphen placeholder "-" when a grade component has not been entered yet.</t>
        </is>
      </c>
      <c r="G9" s="28" t="inlineStr">
        <is>
          <t>Student is logged into Student Portal. Final Exam grade for subject "Web Dev" has not been entered by Staff.</t>
        </is>
      </c>
      <c r="H9" s="28" t="inlineStr">
        <is>
          <t>Subject="Web Dev"; GradeComponent="Final Exam"</t>
        </is>
      </c>
      <c r="I9" s="28" t="inlineStr">
        <is>
          <t>1. View grade details for subject "Web Dev";
2. Check cell display for Final Exam grade.</t>
        </is>
      </c>
      <c r="J9" s="28" t="inlineStr">
        <is>
          <t>Cell displays "-" placeholder instead of 0 or blank, indicating grade is pending.</t>
        </is>
      </c>
      <c r="K9" s="28" t="inlineStr"/>
      <c r="L9" s="30" t="inlineStr">
        <is>
          <t>Not Run</t>
        </is>
      </c>
      <c r="M9" s="26" t="inlineStr"/>
      <c r="N9" s="29" t="inlineStr">
        <is>
          <t>Medium</t>
        </is>
      </c>
      <c r="O9" s="28" t="inlineStr">
        <is>
          <t>Related Requirement: M09-F05, Business Rules 6.5</t>
        </is>
      </c>
    </row>
    <row r="10" ht="45" customHeight="1">
      <c r="A10" s="21" t="inlineStr">
        <is>
          <t>TC-M09-009</t>
        </is>
      </c>
      <c r="B10" s="21" t="inlineStr">
        <is>
          <t>Module 09 - Student Portal</t>
        </is>
      </c>
      <c r="C10" s="22" t="inlineStr">
        <is>
          <t>M09-F06</t>
        </is>
      </c>
      <c r="D10" s="23" t="inlineStr">
        <is>
          <t>Grade Color Coding</t>
        </is>
      </c>
      <c r="E10" s="23" t="inlineStr">
        <is>
          <t>Color Code Final Grade (/10) for Excellent Grade (&gt;= 8.0)</t>
        </is>
      </c>
      <c r="F10" s="23" t="inlineStr">
        <is>
          <t>Verify final subject grade &gt;= 8.0 displays in Green badge styling.</t>
        </is>
      </c>
      <c r="G10" s="23" t="inlineStr">
        <is>
          <t>Student is logged into Student Portal.</t>
        </is>
      </c>
      <c r="H10" s="23" t="inlineStr">
        <is>
          <t>Subject="Algorithms"; FinalGrade=8.5</t>
        </is>
      </c>
      <c r="I10" s="23" t="inlineStr">
        <is>
          <t>1. Locate subject "Algorithms" with final grade 8.5;
2. Inspect badge color.</t>
        </is>
      </c>
      <c r="J10" s="23" t="inlineStr">
        <is>
          <t>Grade 8.5 displays in Green badge styling (#137333 / light green fill).</t>
        </is>
      </c>
      <c r="K10" s="23" t="inlineStr"/>
      <c r="L10" s="30" t="inlineStr">
        <is>
          <t>Not Run</t>
        </is>
      </c>
      <c r="M10" s="21" t="inlineStr"/>
      <c r="N10" s="25" t="inlineStr">
        <is>
          <t>High</t>
        </is>
      </c>
      <c r="O10" s="23" t="inlineStr">
        <is>
          <t>Related Requirement: M09-F06, Color Rules 5.1</t>
        </is>
      </c>
    </row>
    <row r="11" ht="45" customHeight="1">
      <c r="A11" s="26" t="inlineStr">
        <is>
          <t>TC-M09-010</t>
        </is>
      </c>
      <c r="B11" s="26" t="inlineStr">
        <is>
          <t>Module 09 - Student Portal</t>
        </is>
      </c>
      <c r="C11" s="27" t="inlineStr">
        <is>
          <t>M09-F06</t>
        </is>
      </c>
      <c r="D11" s="28" t="inlineStr">
        <is>
          <t>Grade Color Coding</t>
        </is>
      </c>
      <c r="E11" s="28" t="inlineStr">
        <is>
          <t>Color Code Final Grade (/10) for Good/Average Grade (5.5 - 7.9)</t>
        </is>
      </c>
      <c r="F11" s="28" t="inlineStr">
        <is>
          <t>Verify final subject grade between 5.5 and 7.9 displays in Orange/Yellow badge styling.</t>
        </is>
      </c>
      <c r="G11" s="28" t="inlineStr">
        <is>
          <t>Student is logged into Student Portal.</t>
        </is>
      </c>
      <c r="H11" s="28" t="inlineStr">
        <is>
          <t>Subject="Database"; FinalGrade=6.5</t>
        </is>
      </c>
      <c r="I11" s="28" t="inlineStr">
        <is>
          <t>1. Locate subject "Database" with final grade 6.5;
2. Inspect badge color.</t>
        </is>
      </c>
      <c r="J11" s="28" t="inlineStr">
        <is>
          <t>Grade 6.5 displays in Orange/Yellow badge styling (#B06000 / light yellow fill).</t>
        </is>
      </c>
      <c r="K11" s="28" t="inlineStr"/>
      <c r="L11" s="30" t="inlineStr">
        <is>
          <t>Not Run</t>
        </is>
      </c>
      <c r="M11" s="26" t="inlineStr"/>
      <c r="N11" s="25" t="inlineStr">
        <is>
          <t>High</t>
        </is>
      </c>
      <c r="O11" s="28" t="inlineStr">
        <is>
          <t>Related Requirement: M09-F06, Color Rules 5.1</t>
        </is>
      </c>
    </row>
    <row r="12" ht="45" customHeight="1">
      <c r="A12" s="21" t="inlineStr">
        <is>
          <t>TC-M09-011</t>
        </is>
      </c>
      <c r="B12" s="21" t="inlineStr">
        <is>
          <t>Module 09 - Student Portal</t>
        </is>
      </c>
      <c r="C12" s="22" t="inlineStr">
        <is>
          <t>M09-F06</t>
        </is>
      </c>
      <c r="D12" s="23" t="inlineStr">
        <is>
          <t>Grade Color Coding</t>
        </is>
      </c>
      <c r="E12" s="23" t="inlineStr">
        <is>
          <t>Color Code Final Grade (/10) for Failing Grade (&lt; 5.5)</t>
        </is>
      </c>
      <c r="F12" s="23" t="inlineStr">
        <is>
          <t>Verify final subject grade &lt; 5.5 displays in Red badge styling.</t>
        </is>
      </c>
      <c r="G12" s="23" t="inlineStr">
        <is>
          <t>Student is logged into Student Portal.</t>
        </is>
      </c>
      <c r="H12" s="23" t="inlineStr">
        <is>
          <t>Subject="English 1"; FinalGrade=4.0</t>
        </is>
      </c>
      <c r="I12" s="23" t="inlineStr">
        <is>
          <t>1. Locate subject "English 1" with final grade 4.0;
2. Inspect badge color.</t>
        </is>
      </c>
      <c r="J12" s="23" t="inlineStr">
        <is>
          <t>Grade 4.0 displays in Red badge styling (#A50E0E / light red fill).</t>
        </is>
      </c>
      <c r="K12" s="23" t="inlineStr"/>
      <c r="L12" s="30" t="inlineStr">
        <is>
          <t>Not Run</t>
        </is>
      </c>
      <c r="M12" s="21" t="inlineStr"/>
      <c r="N12" s="25" t="inlineStr">
        <is>
          <t>High</t>
        </is>
      </c>
      <c r="O12" s="23" t="inlineStr">
        <is>
          <t>Related Requirement: M09-F06, Color Rules 5.1</t>
        </is>
      </c>
    </row>
    <row r="13" ht="45" customHeight="1">
      <c r="A13" s="26" t="inlineStr">
        <is>
          <t>TC-M09-012</t>
        </is>
      </c>
      <c r="B13" s="26" t="inlineStr">
        <is>
          <t>Module 09 - Student Portal</t>
        </is>
      </c>
      <c r="C13" s="27" t="inlineStr">
        <is>
          <t>M09-F06</t>
        </is>
      </c>
      <c r="D13" s="28" t="inlineStr">
        <is>
          <t>Grade Color Coding</t>
        </is>
      </c>
      <c r="E13" s="28" t="inlineStr">
        <is>
          <t>Color Code GPA (/4) for Excellent GPA (&gt;= 3.5)</t>
        </is>
      </c>
      <c r="F13" s="28" t="inlineStr">
        <is>
          <t>Verify semester GPA &gt;= 3.5 displays in Green highlight styling.</t>
        </is>
      </c>
      <c r="G13" s="28" t="inlineStr">
        <is>
          <t>Student is logged into Student Portal.</t>
        </is>
      </c>
      <c r="H13" s="28" t="inlineStr">
        <is>
          <t>GPA=3.65</t>
        </is>
      </c>
      <c r="I13" s="28" t="inlineStr">
        <is>
          <t>1. View GPA Summary card on Student Portal;
2. Inspect GPA badge color.</t>
        </is>
      </c>
      <c r="J13" s="28" t="inlineStr">
        <is>
          <t>GPA 3.65 displays with Green text/background styling.</t>
        </is>
      </c>
      <c r="K13" s="28" t="inlineStr"/>
      <c r="L13" s="30" t="inlineStr">
        <is>
          <t>Not Run</t>
        </is>
      </c>
      <c r="M13" s="26" t="inlineStr"/>
      <c r="N13" s="25" t="inlineStr">
        <is>
          <t>High</t>
        </is>
      </c>
      <c r="O13" s="28" t="inlineStr">
        <is>
          <t>Related Requirement: M09-F06, Color Rules 5.2</t>
        </is>
      </c>
    </row>
    <row r="14" ht="45" customHeight="1">
      <c r="A14" s="21" t="inlineStr">
        <is>
          <t>TC-M09-013</t>
        </is>
      </c>
      <c r="B14" s="21" t="inlineStr">
        <is>
          <t>Module 09 - Student Portal</t>
        </is>
      </c>
      <c r="C14" s="22" t="inlineStr">
        <is>
          <t>M09-F06</t>
        </is>
      </c>
      <c r="D14" s="23" t="inlineStr">
        <is>
          <t>Grade Color Coding</t>
        </is>
      </c>
      <c r="E14" s="23" t="inlineStr">
        <is>
          <t>Color Code GPA (/4) for Good/Average GPA (2.0 - 3.4)</t>
        </is>
      </c>
      <c r="F14" s="23" t="inlineStr">
        <is>
          <t>Verify semester GPA between 2.0 and 3.4 displays in Orange/Yellow highlight styling.</t>
        </is>
      </c>
      <c r="G14" s="23" t="inlineStr">
        <is>
          <t>Student is logged into Student Portal.</t>
        </is>
      </c>
      <c r="H14" s="23" t="inlineStr">
        <is>
          <t>GPA=2.85</t>
        </is>
      </c>
      <c r="I14" s="23" t="inlineStr">
        <is>
          <t>1. View GPA Summary card on Student Portal;
2. Inspect GPA badge color.</t>
        </is>
      </c>
      <c r="J14" s="23" t="inlineStr">
        <is>
          <t>GPA 2.85 displays with Orange/Yellow text/background styling.</t>
        </is>
      </c>
      <c r="K14" s="23" t="inlineStr"/>
      <c r="L14" s="30" t="inlineStr">
        <is>
          <t>Not Run</t>
        </is>
      </c>
      <c r="M14" s="21" t="inlineStr"/>
      <c r="N14" s="25" t="inlineStr">
        <is>
          <t>High</t>
        </is>
      </c>
      <c r="O14" s="23" t="inlineStr">
        <is>
          <t>Related Requirement: M09-F06, Color Rules 5.2</t>
        </is>
      </c>
    </row>
    <row r="15" ht="45" customHeight="1">
      <c r="A15" s="26" t="inlineStr">
        <is>
          <t>TC-M09-014</t>
        </is>
      </c>
      <c r="B15" s="26" t="inlineStr">
        <is>
          <t>Module 09 - Student Portal</t>
        </is>
      </c>
      <c r="C15" s="27" t="inlineStr">
        <is>
          <t>M09-F06</t>
        </is>
      </c>
      <c r="D15" s="28" t="inlineStr">
        <is>
          <t>Grade Color Coding</t>
        </is>
      </c>
      <c r="E15" s="28" t="inlineStr">
        <is>
          <t>Color Code GPA (/4) for Low GPA (&lt; 2.0)</t>
        </is>
      </c>
      <c r="F15" s="28" t="inlineStr">
        <is>
          <t>Verify semester GPA &lt; 2.0 displays in Red highlight styling.</t>
        </is>
      </c>
      <c r="G15" s="28" t="inlineStr">
        <is>
          <t>Student is logged into Student Portal.</t>
        </is>
      </c>
      <c r="H15" s="28" t="inlineStr">
        <is>
          <t>GPA=1.75</t>
        </is>
      </c>
      <c r="I15" s="28" t="inlineStr">
        <is>
          <t>1. View GPA Summary card on Student Portal;
2. Inspect GPA badge color.</t>
        </is>
      </c>
      <c r="J15" s="28" t="inlineStr">
        <is>
          <t>GPA 1.75 displays with Red text/background styling.</t>
        </is>
      </c>
      <c r="K15" s="28" t="inlineStr"/>
      <c r="L15" s="30" t="inlineStr">
        <is>
          <t>Not Run</t>
        </is>
      </c>
      <c r="M15" s="26" t="inlineStr"/>
      <c r="N15" s="25" t="inlineStr">
        <is>
          <t>High</t>
        </is>
      </c>
      <c r="O15" s="28" t="inlineStr">
        <is>
          <t>Related Requirement: M09-F06, Color Rules 5.2</t>
        </is>
      </c>
    </row>
    <row r="16" ht="60" customHeight="1">
      <c r="A16" s="21" t="inlineStr">
        <is>
          <t>TC-M09-015</t>
        </is>
      </c>
      <c r="B16" s="21" t="inlineStr">
        <is>
          <t>Module 09 - Student Portal</t>
        </is>
      </c>
      <c r="C16" s="22" t="inlineStr">
        <is>
          <t>M09-F07</t>
        </is>
      </c>
      <c r="D16" s="23" t="inlineStr">
        <is>
          <t>Re-study Status Display</t>
        </is>
      </c>
      <c r="E16" s="23" t="inlineStr">
        <is>
          <t>Display Retake/Re-study Badge for Retaken Course</t>
        </is>
      </c>
      <c r="F16" s="23" t="inlineStr">
        <is>
          <t>Verify system displays a clear "Re-study" or "Retake" badge next to subjects flagged for re-study.</t>
        </is>
      </c>
      <c r="G16" s="23" t="inlineStr">
        <is>
          <t>Student is logged into Student Portal. Subject "Networking" is flagged as Re-study.</t>
        </is>
      </c>
      <c r="H16" s="23" t="inlineStr">
        <is>
          <t>Subject="Networking"; IsRestudy=True</t>
        </is>
      </c>
      <c r="I16" s="23" t="inlineStr">
        <is>
          <t>1. View subject list for current semester;
2. Inspect row for subject "Networking".</t>
        </is>
      </c>
      <c r="J16" s="23" t="inlineStr">
        <is>
          <t>Subject row displays a prominent "Re-study" badge next to course name.</t>
        </is>
      </c>
      <c r="K16" s="23" t="inlineStr"/>
      <c r="L16" s="30" t="inlineStr">
        <is>
          <t>Not Run</t>
        </is>
      </c>
      <c r="M16" s="21" t="inlineStr"/>
      <c r="N16" s="25" t="inlineStr">
        <is>
          <t>High</t>
        </is>
      </c>
      <c r="O16" s="23" t="inlineStr">
        <is>
          <t>Related Requirement: M09-F07, Business Rules 6.7</t>
        </is>
      </c>
    </row>
    <row r="17" ht="60" customHeight="1">
      <c r="A17" s="26" t="inlineStr">
        <is>
          <t>TC-M09-016</t>
        </is>
      </c>
      <c r="B17" s="26" t="inlineStr">
        <is>
          <t>Module 09 - Student Portal</t>
        </is>
      </c>
      <c r="C17" s="27" t="inlineStr">
        <is>
          <t>M09-F08</t>
        </is>
      </c>
      <c r="D17" s="28" t="inlineStr">
        <is>
          <t>Internship Report Shortcut Visibility</t>
        </is>
      </c>
      <c r="E17" s="28" t="inlineStr">
        <is>
          <t>Display Internship Report Shortcut when Internship Group Is Active (On-going)</t>
        </is>
      </c>
      <c r="F17" s="28" t="inlineStr">
        <is>
          <t>Verify system displays Internship Report shortcut button on Student Portal header when student belongs to an active internship group.</t>
        </is>
      </c>
      <c r="G17" s="28" t="inlineStr">
        <is>
          <t>Student is logged into Student Portal. Student belongs to an internship group with status "On-going".</t>
        </is>
      </c>
      <c r="H17" s="28" t="inlineStr">
        <is>
          <t>InternshipGroupStatus="On-going"</t>
        </is>
      </c>
      <c r="I17" s="28" t="inlineStr">
        <is>
          <t>1. Open Student Portal home page;
2. Check header navigation bar.</t>
        </is>
      </c>
      <c r="J17" s="28" t="inlineStr">
        <is>
          <t>Internship Report shortcut button is visible and clicking it opens bi-weekly report submission module.</t>
        </is>
      </c>
      <c r="K17" s="28" t="inlineStr"/>
      <c r="L17" s="30" t="inlineStr">
        <is>
          <t>Not Run</t>
        </is>
      </c>
      <c r="M17" s="26" t="inlineStr"/>
      <c r="N17" s="25" t="inlineStr">
        <is>
          <t>High</t>
        </is>
      </c>
      <c r="O17" s="28" t="inlineStr">
        <is>
          <t>Related Requirement: M09-F08, Business Rules 6.8</t>
        </is>
      </c>
    </row>
    <row r="18" ht="45" customHeight="1">
      <c r="A18" s="21" t="inlineStr">
        <is>
          <t>TC-M09-017</t>
        </is>
      </c>
      <c r="B18" s="21" t="inlineStr">
        <is>
          <t>Module 09 - Student Portal</t>
        </is>
      </c>
      <c r="C18" s="22" t="inlineStr">
        <is>
          <t>M09-F08</t>
        </is>
      </c>
      <c r="D18" s="23" t="inlineStr">
        <is>
          <t>Internship Report Shortcut Visibility</t>
        </is>
      </c>
      <c r="E18" s="23" t="inlineStr">
        <is>
          <t>Hide Internship Report Shortcut when Internship Group Status Is Not On-going</t>
        </is>
      </c>
      <c r="F18" s="23" t="inlineStr">
        <is>
          <t>Verify system hides Internship Report shortcut button when internship group status is Completed or Archived.</t>
        </is>
      </c>
      <c r="G18" s="23" t="inlineStr">
        <is>
          <t>Student is logged into Student Portal. Student belongs to an internship group with status "Completed".</t>
        </is>
      </c>
      <c r="H18" s="23" t="inlineStr">
        <is>
          <t>InternshipGroupStatus="Completed"</t>
        </is>
      </c>
      <c r="I18" s="23" t="inlineStr">
        <is>
          <t>1. Open Student Portal home page;
2. Check header navigation bar.</t>
        </is>
      </c>
      <c r="J18" s="23" t="inlineStr">
        <is>
          <t>Internship Report shortcut button is hidden from header.</t>
        </is>
      </c>
      <c r="K18" s="23" t="inlineStr"/>
      <c r="L18" s="30" t="inlineStr">
        <is>
          <t>Not Run</t>
        </is>
      </c>
      <c r="M18" s="21" t="inlineStr"/>
      <c r="N18" s="25" t="inlineStr">
        <is>
          <t>High</t>
        </is>
      </c>
      <c r="O18" s="23" t="inlineStr">
        <is>
          <t>Related Requirement: M09-F08, Business Rules 6.8</t>
        </is>
      </c>
    </row>
    <row r="19" ht="45" customHeight="1">
      <c r="A19" s="26" t="inlineStr">
        <is>
          <t>TC-M09-018</t>
        </is>
      </c>
      <c r="B19" s="26" t="inlineStr">
        <is>
          <t>Module 09 - Student Portal</t>
        </is>
      </c>
      <c r="C19" s="27" t="inlineStr">
        <is>
          <t>M09-F08</t>
        </is>
      </c>
      <c r="D19" s="28" t="inlineStr">
        <is>
          <t>Internship Report Shortcut Visibility</t>
        </is>
      </c>
      <c r="E19" s="28" t="inlineStr">
        <is>
          <t>Hide Internship Report Shortcut when Student Is Not Assigned to Any Internship Group</t>
        </is>
      </c>
      <c r="F19" s="28" t="inlineStr">
        <is>
          <t>Verify system hides Internship Report shortcut button when student has not been assigned to any internship group.</t>
        </is>
      </c>
      <c r="G19" s="28" t="inlineStr">
        <is>
          <t>Student is logged into Student Portal. Student is not in any internship group.</t>
        </is>
      </c>
      <c r="H19" s="28" t="inlineStr">
        <is>
          <t>InternshipGroup=None</t>
        </is>
      </c>
      <c r="I19" s="28" t="inlineStr">
        <is>
          <t>1. Open Student Portal home page;
2. Check header navigation bar.</t>
        </is>
      </c>
      <c r="J19" s="28" t="inlineStr">
        <is>
          <t>Internship Report shortcut button is completely hidden from header.</t>
        </is>
      </c>
      <c r="K19" s="28" t="inlineStr"/>
      <c r="L19" s="30" t="inlineStr">
        <is>
          <t>Not Run</t>
        </is>
      </c>
      <c r="M19" s="26" t="inlineStr"/>
      <c r="N19" s="25" t="inlineStr">
        <is>
          <t>High</t>
        </is>
      </c>
      <c r="O19" s="28" t="inlineStr">
        <is>
          <t>Related Requirement: M09-F08, Business Rules 6.8</t>
        </is>
      </c>
    </row>
    <row r="20" ht="90" customHeight="1">
      <c r="A20" s="21" t="inlineStr">
        <is>
          <t>TC-M09-019</t>
        </is>
      </c>
      <c r="B20" s="21" t="inlineStr">
        <is>
          <t>Module 09 - Student Portal</t>
        </is>
      </c>
      <c r="C20" s="22" t="inlineStr">
        <is>
          <t>M09-F09</t>
        </is>
      </c>
      <c r="D20" s="23" t="inlineStr">
        <is>
          <t>Student Data Isolation</t>
        </is>
      </c>
      <c r="E20" s="23" t="inlineStr">
        <is>
          <t>Verify Data Isolation Between Students (Data Isolation)</t>
        </is>
      </c>
      <c r="F20" s="23" t="inlineStr">
        <is>
          <t>Verify student can only view their own grades and cannot access academic records of other students.</t>
        </is>
      </c>
      <c r="G20" s="23" t="inlineStr">
        <is>
          <t>Student A (ST001) is logged into Student Portal.</t>
        </is>
      </c>
      <c r="H20" s="23" t="inlineStr">
        <is>
          <t>StudentA_ID="ST001"; StudentB_ID="ST002"</t>
        </is>
      </c>
      <c r="I20" s="23" t="inlineStr">
        <is>
          <t>1. Log in as Student A;
2. Inspect displayed student name, ID, and grades;
3. Attempt to alter URL parameters to request Student B (ST002) record.</t>
        </is>
      </c>
      <c r="J20" s="23" t="inlineStr">
        <is>
          <t>Student A sees strictly ST001 records. Attempting to tamper URL parameters returns 403 Forbidden or redirects to own profile.</t>
        </is>
      </c>
      <c r="K20" s="23" t="inlineStr"/>
      <c r="L20" s="30" t="inlineStr">
        <is>
          <t>Not Run</t>
        </is>
      </c>
      <c r="M20" s="21" t="inlineStr"/>
      <c r="N20" s="25" t="inlineStr">
        <is>
          <t>High</t>
        </is>
      </c>
      <c r="O20" s="23" t="inlineStr">
        <is>
          <t>Related Requirement: M09-F09, Security Standards 7.1</t>
        </is>
      </c>
    </row>
    <row r="21" ht="45" customHeight="1">
      <c r="A21" s="26" t="inlineStr">
        <is>
          <t>TC-M09-020</t>
        </is>
      </c>
      <c r="B21" s="26" t="inlineStr">
        <is>
          <t>Module 09 - Student Portal</t>
        </is>
      </c>
      <c r="C21" s="27" t="inlineStr">
        <is>
          <t>M09-F09</t>
        </is>
      </c>
      <c r="D21" s="28" t="inlineStr">
        <is>
          <t>Student Data Isolation</t>
        </is>
      </c>
      <c r="E21" s="28" t="inlineStr">
        <is>
          <t>Block Direct API Calls for Unauthenticated Grade Retrieval</t>
        </is>
      </c>
      <c r="F21" s="28" t="inlineStr">
        <is>
          <t>Verify backend grade fetch API rejects requests lacking valid session JWT token.</t>
        </is>
      </c>
      <c r="G21" s="28" t="inlineStr">
        <is>
          <t>Unauthenticated user.</t>
        </is>
      </c>
      <c r="H21" s="28" t="inlineStr">
        <is>
          <t>ApiEndpoint="GET /api/student/grades"</t>
        </is>
      </c>
      <c r="I21" s="28" t="inlineStr">
        <is>
          <t>1. Submit direct HTTP GET request to grade API without Authorization header.</t>
        </is>
      </c>
      <c r="J21" s="28" t="inlineStr">
        <is>
          <t>Backend rejects request with HTTP 401 Unauthorized.</t>
        </is>
      </c>
      <c r="K21" s="28" t="inlineStr"/>
      <c r="L21" s="30" t="inlineStr">
        <is>
          <t>Not Run</t>
        </is>
      </c>
      <c r="M21" s="26" t="inlineStr"/>
      <c r="N21" s="25" t="inlineStr">
        <is>
          <t>High</t>
        </is>
      </c>
      <c r="O21" s="28" t="inlineStr">
        <is>
          <t>Related Requirement: M09-F09, Security Standards 7.1</t>
        </is>
      </c>
    </row>
    <row r="22" ht="60" customHeight="1">
      <c r="A22" s="21" t="inlineStr">
        <is>
          <t>TC-M09-021</t>
        </is>
      </c>
      <c r="B22" s="21" t="inlineStr">
        <is>
          <t>Module 09 - Student Portal</t>
        </is>
      </c>
      <c r="C22" s="22" t="inlineStr">
        <is>
          <t>M09-F10</t>
        </is>
      </c>
      <c r="D22" s="23" t="inlineStr">
        <is>
          <t>Responsive Design</t>
        </is>
      </c>
      <c r="E22" s="23" t="inlineStr">
        <is>
          <t>Verify Interface Rendering on Mobile Devices (Responsive UI)</t>
        </is>
      </c>
      <c r="F22" s="23" t="inlineStr">
        <is>
          <t>Verify Student Portal layout adapts cleanly to small screen viewports (smartphones/tablets).</t>
        </is>
      </c>
      <c r="G22" s="23" t="inlineStr">
        <is>
          <t>Student is logged into Student Portal. Browser viewport set to 375px width (iPhone dimensions).</t>
        </is>
      </c>
      <c r="H22" s="23" t="inlineStr">
        <is>
          <t>ViewportWidth="375px"</t>
        </is>
      </c>
      <c r="I22" s="23" t="inlineStr">
        <is>
          <t>1. Resize viewport to 375px width;
2. Inspect grade table, cards, navigation bar, and buttons.</t>
        </is>
      </c>
      <c r="J22" s="23" t="inlineStr">
        <is>
          <t>Layout stacks vertically without horizontal scroll overflow. Table scrolls smoothly or collapses into cards cleanly.</t>
        </is>
      </c>
      <c r="K22" s="23" t="inlineStr"/>
      <c r="L22" s="30" t="inlineStr">
        <is>
          <t>Not Run</t>
        </is>
      </c>
      <c r="M22" s="21" t="inlineStr"/>
      <c r="N22" s="29" t="inlineStr">
        <is>
          <t>Medium</t>
        </is>
      </c>
      <c r="O22" s="23" t="inlineStr">
        <is>
          <t>Related Requirement: M09-F10, UI Standards</t>
        </is>
      </c>
    </row>
    <row r="23" ht="60" customHeight="1">
      <c r="A23" s="26" t="inlineStr">
        <is>
          <t>TC-M09-022</t>
        </is>
      </c>
      <c r="B23" s="26" t="inlineStr">
        <is>
          <t>Module 09 - Student Portal</t>
        </is>
      </c>
      <c r="C23" s="27" t="inlineStr">
        <is>
          <t>M09-F01</t>
        </is>
      </c>
      <c r="D23" s="28" t="inlineStr">
        <is>
          <t>Role-based Auto-login</t>
        </is>
      </c>
      <c r="E23" s="28" t="inlineStr">
        <is>
          <t>Verify Behavior when Session Expires (Google Sign-Out / Session Expiry)</t>
        </is>
      </c>
      <c r="F23" s="28" t="inlineStr">
        <is>
          <t>Verify system redirects student to login page when session token expires.</t>
        </is>
      </c>
      <c r="G23" s="28" t="inlineStr">
        <is>
          <t>Student session token has expired after period of inactivity.</t>
        </is>
      </c>
      <c r="H23" s="28" t="inlineStr">
        <is>
          <t>SessionState="Expired"</t>
        </is>
      </c>
      <c r="I23" s="28" t="inlineStr">
        <is>
          <t>1. Perform action on Student Portal after session expiration.</t>
        </is>
      </c>
      <c r="J23" s="28" t="inlineStr">
        <is>
          <t>System clears session state, displays notification "Session expired. Please sign in again", and redirects to login page.</t>
        </is>
      </c>
      <c r="K23" s="28" t="inlineStr"/>
      <c r="L23" s="30" t="inlineStr">
        <is>
          <t>Not Run</t>
        </is>
      </c>
      <c r="M23" s="26" t="inlineStr"/>
      <c r="N23" s="25" t="inlineStr">
        <is>
          <t>High</t>
        </is>
      </c>
      <c r="O23" s="28" t="inlineStr">
        <is>
          <t>Related Requirement: M09-F01, Security Standards 7.2</t>
        </is>
      </c>
    </row>
    <row r="24" ht="45" customHeight="1">
      <c r="A24" s="21" t="inlineStr">
        <is>
          <t>TC-M09-023</t>
        </is>
      </c>
      <c r="B24" s="21" t="inlineStr">
        <is>
          <t>Module 09 - Student Portal</t>
        </is>
      </c>
      <c r="C24" s="22" t="inlineStr">
        <is>
          <t>M09-F02</t>
        </is>
      </c>
      <c r="D24" s="23" t="inlineStr">
        <is>
          <t>Semester Navigation</t>
        </is>
      </c>
      <c r="E24" s="23" t="inlineStr">
        <is>
          <t>Verify Validation of Invalid Semester Parameter (Semester Validation)</t>
        </is>
      </c>
      <c r="F24" s="23" t="inlineStr">
        <is>
          <t>Verify system handles invalid or non-existent semester parameters in URL gracefully.</t>
        </is>
      </c>
      <c r="G24" s="23" t="inlineStr">
        <is>
          <t>Student is logged into Student Portal.</t>
        </is>
      </c>
      <c r="H24" s="23" t="inlineStr">
        <is>
          <t>InvalidSemesterParam="semester=999"</t>
        </is>
      </c>
      <c r="I24" s="23" t="inlineStr">
        <is>
          <t>1. Navigate to Student Portal URL with parameter semester=999.</t>
        </is>
      </c>
      <c r="J24" s="23" t="inlineStr">
        <is>
          <t>System defaults to current active semester without crashing or throwing unhandled exception.</t>
        </is>
      </c>
      <c r="K24" s="23" t="inlineStr"/>
      <c r="L24" s="30" t="inlineStr">
        <is>
          <t>Not Run</t>
        </is>
      </c>
      <c r="M24" s="21" t="inlineStr"/>
      <c r="N24" s="29" t="inlineStr">
        <is>
          <t>Medium</t>
        </is>
      </c>
      <c r="O24" s="23" t="inlineStr">
        <is>
          <t>Related Requirement: M09-F02, Error Handling 8.3</t>
        </is>
      </c>
    </row>
  </sheetData>
  <autoFilter ref="A1:O24"/>
  <dataValidations count="2">
    <dataValidation sqref="L2:L124" showDropDown="0" showInputMessage="0" showErrorMessage="0" allowBlank="1" errorTitle="Invalid Status" error="Please select a valid state: Passed, Failed, or Not Run" type="list">
      <formula1>"Passed,Failed,Not Run"</formula1>
    </dataValidation>
    <dataValidation sqref="N2:N124" showDropDown="0" showInputMessage="0" showErrorMessage="0" allowBlank="1" errorTitle="Invalid Priority" error="Please select a valid priority: High, Medium, or Low"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2026-07-24T07:42:59Z</dcterms:created>
  <dcterms:modified xmlns:dcterms="http://purl.org/dc/terms/" xmlns:xsi="http://www.w3.org/2001/XMLSchema-instance" xsi:type="dcterms:W3CDTF">2026-07-24T07:43:01Z</dcterms:modified>
</cp:coreProperties>
</file>