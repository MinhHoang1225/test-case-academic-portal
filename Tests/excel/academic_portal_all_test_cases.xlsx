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Summary" sheetId="2" state="visible" r:id="rId2"/>
    <sheet xmlns:r="http://schemas.openxmlformats.org/officeDocument/2006/relationships" name="Module 01" sheetId="3" state="visible" r:id="rId3"/>
    <sheet xmlns:r="http://schemas.openxmlformats.org/officeDocument/2006/relationships" name="Module 02" sheetId="4" state="visible" r:id="rId4"/>
    <sheet xmlns:r="http://schemas.openxmlformats.org/officeDocument/2006/relationships" name="Module 03" sheetId="5" state="visible" r:id="rId5"/>
    <sheet xmlns:r="http://schemas.openxmlformats.org/officeDocument/2006/relationships" name="Module 04" sheetId="6" state="visible" r:id="rId6"/>
    <sheet xmlns:r="http://schemas.openxmlformats.org/officeDocument/2006/relationships" name="Module 05" sheetId="7" state="visible" r:id="rId7"/>
    <sheet xmlns:r="http://schemas.openxmlformats.org/officeDocument/2006/relationships" name="Module 06" sheetId="8" state="visible" r:id="rId8"/>
    <sheet xmlns:r="http://schemas.openxmlformats.org/officeDocument/2006/relationships" name="Module 07" sheetId="9" state="visible" r:id="rId9"/>
    <sheet xmlns:r="http://schemas.openxmlformats.org/officeDocument/2006/relationships" name="Module 08" sheetId="10" state="visible" r:id="rId10"/>
    <sheet xmlns:r="http://schemas.openxmlformats.org/officeDocument/2006/relationships" name="Module 09" sheetId="11" state="visible" r:id="rId11"/>
  </sheets>
  <definedNames>
    <definedName name="_xlnm._FilterDatabase" localSheetId="2" hidden="1">'Module 01'!$A$1:$N$40</definedName>
    <definedName name="_xlnm._FilterDatabase" localSheetId="3" hidden="1">'Module 02'!$A$1:$N$32</definedName>
    <definedName name="_xlnm._FilterDatabase" localSheetId="4" hidden="1">'Module 03'!$A$1:$N$23</definedName>
    <definedName name="_xlnm._FilterDatabase" localSheetId="5" hidden="1">'Module 04'!$A$1:$N$24</definedName>
    <definedName name="_xlnm._FilterDatabase" localSheetId="6" hidden="1">'Module 05'!$A$1:$N$28</definedName>
    <definedName name="_xlnm._FilterDatabase" localSheetId="7" hidden="1">'Module 06'!$A$1:$N$32</definedName>
    <definedName name="_xlnm._FilterDatabase" localSheetId="8" hidden="1">'Module 07'!$A$1:$N$42</definedName>
    <definedName name="_xlnm._FilterDatabase" localSheetId="9" hidden="1">'Module 08'!$A$1:$N$21</definedName>
    <definedName name="_xlnm._FilterDatabase" localSheetId="10" hidden="1">'Module 09'!$A$1:$N$24</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37333"/>
      <sz val="10"/>
    </font>
    <font>
      <name val="Segoe UI"/>
      <b val="1"/>
      <color rgb="00FFFFFF"/>
      <sz val="16"/>
    </font>
    <font>
      <name val="Segoe UI"/>
      <b val="1"/>
      <color rgb="00555555"/>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F4E78"/>
      <sz val="13"/>
    </font>
    <font>
      <name val="Segoe UI"/>
      <sz val="10"/>
    </font>
    <font>
      <name val="Segoe UI"/>
      <b val="1"/>
      <color rgb="00000000"/>
      <sz val="10"/>
    </font>
    <font>
      <name val="Segoe UI"/>
      <b val="1"/>
      <color rgb="001F4E78"/>
      <sz val="16"/>
    </font>
    <font>
      <name val="Segoe UI"/>
      <i val="1"/>
      <color rgb="00555555"/>
      <sz val="10"/>
    </font>
    <font>
      <name val="Segoe UI"/>
      <b val="1"/>
      <color rgb="0064748B"/>
      <sz val="9"/>
    </font>
    <font>
      <name val="Segoe UI"/>
      <b val="1"/>
      <color rgb="00137333"/>
      <sz val="18"/>
    </font>
    <font>
      <name val="Segoe UI"/>
      <b val="1"/>
      <color rgb="001F4E78"/>
      <sz val="12"/>
    </font>
  </fonts>
  <fills count="11">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6F4EA"/>
        <bgColor rgb="00E6F4EA"/>
      </patternFill>
    </fill>
    <fill>
      <patternFill patternType="solid">
        <fgColor rgb="00E2E8F0"/>
        <bgColor rgb="00E2E8F0"/>
      </patternFill>
    </fill>
    <fill>
      <patternFill patternType="solid">
        <fgColor rgb="002B3E50"/>
        <bgColor rgb="002B3E50"/>
      </patternFill>
    </fill>
    <fill>
      <patternFill patternType="solid">
        <fgColor rgb="00FFFFFF"/>
        <bgColor rgb="00FFFFFF"/>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E293B"/>
      </left>
      <right style="thin">
        <color rgb="001E293B"/>
      </right>
      <top style="thin">
        <color rgb="001E293B"/>
      </top>
      <bottom style="thin">
        <color rgb="001E293B"/>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48">
    <xf numFmtId="0" fontId="0" fillId="0" borderId="0" pivotButton="0" quotePrefix="0" xfId="0"/>
    <xf numFmtId="0" fontId="8" fillId="2" borderId="0" applyAlignment="1" pivotButton="0" quotePrefix="0" xfId="0">
      <alignment horizontal="center" vertical="center"/>
    </xf>
    <xf numFmtId="0" fontId="9" fillId="0" borderId="0" applyAlignment="1" pivotButton="0" quotePrefix="0" xfId="0">
      <alignment horizontal="center" vertical="center"/>
    </xf>
    <xf numFmtId="0" fontId="10" fillId="3" borderId="1" applyAlignment="1" pivotButton="0" quotePrefix="0" xfId="0">
      <alignment horizontal="center" vertical="center"/>
    </xf>
    <xf numFmtId="0" fontId="11" fillId="8" borderId="1" applyAlignment="1" pivotButton="0" quotePrefix="0" xfId="0">
      <alignment horizontal="center" vertical="center"/>
    </xf>
    <xf numFmtId="0" fontId="12" fillId="4" borderId="1" applyAlignment="1" pivotButton="0" quotePrefix="0" xfId="0">
      <alignment horizontal="center" vertical="center"/>
    </xf>
    <xf numFmtId="0" fontId="13" fillId="6" borderId="1" applyAlignment="1" pivotButton="0" quotePrefix="0" xfId="0">
      <alignment horizontal="center" vertical="center"/>
    </xf>
    <xf numFmtId="0" fontId="14" fillId="0" borderId="0" pivotButton="0" quotePrefix="0" xfId="0"/>
    <xf numFmtId="0" fontId="1" fillId="9" borderId="2" applyAlignment="1" pivotButton="0" quotePrefix="0" xfId="0">
      <alignment horizontal="left" vertical="center"/>
    </xf>
    <xf numFmtId="0" fontId="1" fillId="9" borderId="2" applyAlignment="1" pivotButton="0" quotePrefix="0" xfId="0">
      <alignment horizontal="center" vertical="center"/>
    </xf>
    <xf numFmtId="0" fontId="15" fillId="10" borderId="1" applyAlignment="1" pivotButton="0" quotePrefix="0" xfId="0">
      <alignment horizontal="left" vertical="center"/>
    </xf>
    <xf numFmtId="0" fontId="15" fillId="10" borderId="1" applyAlignment="1" pivotButton="0" quotePrefix="0" xfId="0">
      <alignment horizontal="center" vertical="center"/>
    </xf>
    <xf numFmtId="0" fontId="15" fillId="5" borderId="1" applyAlignment="1" pivotButton="0" quotePrefix="0" xfId="0">
      <alignment horizontal="left" vertical="center"/>
    </xf>
    <xf numFmtId="0" fontId="15" fillId="5" borderId="1" applyAlignment="1" pivotButton="0" quotePrefix="0" xfId="0">
      <alignment horizontal="center" vertical="center"/>
    </xf>
    <xf numFmtId="0" fontId="16" fillId="8" borderId="3" applyAlignment="1" pivotButton="0" quotePrefix="0" xfId="0">
      <alignment horizontal="left" vertical="center"/>
    </xf>
    <xf numFmtId="0" fontId="16" fillId="8" borderId="3" applyAlignment="1" pivotButton="0" quotePrefix="0" xfId="0">
      <alignment horizontal="center" vertical="center"/>
    </xf>
    <xf numFmtId="0" fontId="1" fillId="2" borderId="2" applyAlignment="1" pivotButton="0" quotePrefix="0" xfId="0">
      <alignment horizontal="left" vertical="center"/>
    </xf>
    <xf numFmtId="0" fontId="1" fillId="2" borderId="2" applyAlignment="1" pivotButton="0" quotePrefix="0" xfId="0">
      <alignment horizontal="center" vertical="center"/>
    </xf>
    <xf numFmtId="0" fontId="3" fillId="10" borderId="1" applyAlignment="1" pivotButton="0" quotePrefix="0" xfId="0">
      <alignment horizontal="center" vertical="center"/>
    </xf>
    <xf numFmtId="0" fontId="3" fillId="5" borderId="1" applyAlignment="1" pivotButton="0" quotePrefix="0" xfId="0">
      <alignment horizontal="center" vertical="center"/>
    </xf>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7" borderId="1" applyAlignment="1" pivotButton="0" quotePrefix="0" xfId="0">
      <alignment horizontal="center" vertical="top" wrapText="1"/>
    </xf>
    <xf numFmtId="0" fontId="17" fillId="0" borderId="0" pivotButton="0" quotePrefix="0" xfId="0"/>
    <xf numFmtId="0" fontId="18" fillId="0" borderId="0" pivotButton="0" quotePrefix="0" xfId="0"/>
    <xf numFmtId="0" fontId="19" fillId="0" borderId="0" applyAlignment="1" pivotButton="0" quotePrefix="0" xfId="0">
      <alignment horizontal="center" vertical="center"/>
    </xf>
    <xf numFmtId="0" fontId="20" fillId="7" borderId="1" applyAlignment="1" pivotButton="0" quotePrefix="0" xfId="0">
      <alignment horizontal="center" vertical="center"/>
    </xf>
    <xf numFmtId="0" fontId="21" fillId="0" borderId="0" pivotButton="0" quotePrefix="0" xfId="0"/>
    <xf numFmtId="0" fontId="1" fillId="2" borderId="1" applyAlignment="1" pivotButton="0" quotePrefix="0" xfId="0">
      <alignment horizontal="left" vertical="center"/>
    </xf>
    <xf numFmtId="0" fontId="1" fillId="2"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7" fillId="5" borderId="1" applyAlignment="1" pivotButton="0" quotePrefix="0" xfId="0">
      <alignment horizontal="center" vertical="center"/>
    </xf>
    <xf numFmtId="0" fontId="2" fillId="5"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Module (Grouped by Priority)</a:t>
            </a:r>
          </a:p>
        </rich>
      </tx>
    </title>
    <plotArea>
      <barChart>
        <barDir val="col"/>
        <grouping val="clustered"/>
        <ser>
          <idx val="0"/>
          <order val="0"/>
          <tx>
            <strRef>
              <f>'Report'!B8</f>
            </strRef>
          </tx>
          <spPr>
            <a:solidFill xmlns:a="http://schemas.openxmlformats.org/drawingml/2006/main">
              <a:srgbClr val="FF0000"/>
            </a:solidFill>
            <a:ln xmlns:a="http://schemas.openxmlformats.org/drawingml/2006/main">
              <a:prstDash val="solid"/>
            </a:ln>
          </spPr>
          <cat>
            <numRef>
              <f>'Report'!$A$9:$A$17</f>
            </numRef>
          </cat>
          <val>
            <numRef>
              <f>'Report'!$B$9:$B$17</f>
            </numRef>
          </val>
        </ser>
        <ser>
          <idx val="1"/>
          <order val="1"/>
          <tx>
            <strRef>
              <f>'Report'!C8</f>
            </strRef>
          </tx>
          <spPr>
            <a:solidFill xmlns:a="http://schemas.openxmlformats.org/drawingml/2006/main">
              <a:srgbClr val="FFFF00"/>
            </a:solidFill>
            <a:ln xmlns:a="http://schemas.openxmlformats.org/drawingml/2006/main">
              <a:prstDash val="solid"/>
            </a:ln>
          </spPr>
          <cat>
            <numRef>
              <f>'Report'!$A$9:$A$17</f>
            </numRef>
          </cat>
          <val>
            <numRef>
              <f>'Report'!$C$9:$C$17</f>
            </numRef>
          </val>
        </ser>
        <ser>
          <idx val="2"/>
          <order val="2"/>
          <tx>
            <strRef>
              <f>'Report'!D8</f>
            </strRef>
          </tx>
          <spPr>
            <a:solidFill xmlns:a="http://schemas.openxmlformats.org/drawingml/2006/main">
              <a:srgbClr val="00FF00"/>
            </a:solidFill>
            <a:ln xmlns:a="http://schemas.openxmlformats.org/drawingml/2006/main">
              <a:prstDash val="solid"/>
            </a:ln>
          </spPr>
          <cat>
            <numRef>
              <f>'Report'!$A$9:$A$17</f>
            </numRef>
          </cat>
          <val>
            <numRef>
              <f>'Report'!$D$9:$D$17</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Module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18"/>
  <sheetViews>
    <sheetView showGridLines="1" workbookViewId="0">
      <selection activeCell="A1" sqref="A1"/>
    </sheetView>
  </sheetViews>
  <sheetFormatPr baseColWidth="8" defaultRowHeight="15"/>
  <cols>
    <col width="24" customWidth="1" min="1" max="1"/>
    <col width="18" customWidth="1" min="2" max="2"/>
    <col width="18" customWidth="1" min="3" max="3"/>
    <col width="18" customWidth="1" min="4" max="4"/>
    <col width="18" customWidth="1" min="5" max="5"/>
  </cols>
  <sheetData>
    <row r="1">
      <c r="A1" s="31" t="inlineStr">
        <is>
          <t>Academic Portal - Test Coverage &amp; Feature Report</t>
        </is>
      </c>
    </row>
    <row r="2">
      <c r="A2" s="32" t="inlineStr">
        <is>
          <t>Summary of test cases per module, calculated via Excel formulas</t>
        </is>
      </c>
    </row>
    <row r="4" ht="18" customHeight="1">
      <c r="A4" s="33" t="inlineStr">
        <is>
          <t>Total Modules</t>
        </is>
      </c>
      <c r="B4" s="33" t="inlineStr">
        <is>
          <t>Total Test Cases</t>
        </is>
      </c>
      <c r="C4" s="33" t="inlineStr">
        <is>
          <t>High Priority TCs</t>
        </is>
      </c>
      <c r="D4" s="33" t="inlineStr">
        <is>
          <t>Medium Priority TCs</t>
        </is>
      </c>
      <c r="E4" s="33" t="inlineStr">
        <is>
          <t>Low Priority TCs</t>
        </is>
      </c>
    </row>
    <row r="5" ht="32" customHeight="1">
      <c r="A5" s="3">
        <f>COUNTA(A9:A17)</f>
        <v/>
      </c>
      <c r="B5" s="4">
        <f>E18</f>
        <v/>
      </c>
      <c r="C5" s="5">
        <f>B18</f>
        <v/>
      </c>
      <c r="D5" s="6">
        <f>C18</f>
        <v/>
      </c>
      <c r="E5" s="34">
        <f>D18</f>
        <v/>
      </c>
    </row>
    <row r="7">
      <c r="A7" s="35" t="inlineStr">
        <is>
          <t>Module Test Case Breakdown by Priority</t>
        </is>
      </c>
    </row>
    <row r="8" ht="26" customHeight="1">
      <c r="A8" s="36" t="inlineStr">
        <is>
          <t>Module Name</t>
        </is>
      </c>
      <c r="B8" s="37" t="inlineStr">
        <is>
          <t>High Priority</t>
        </is>
      </c>
      <c r="C8" s="37" t="inlineStr">
        <is>
          <t>Medium Priority</t>
        </is>
      </c>
      <c r="D8" s="37" t="inlineStr">
        <is>
          <t>Low Priority</t>
        </is>
      </c>
      <c r="E8" s="37" t="inlineStr">
        <is>
          <t>Total TCs</t>
        </is>
      </c>
    </row>
    <row r="9" ht="22" customHeight="1">
      <c r="A9" s="38" t="inlineStr">
        <is>
          <t>Module 01</t>
        </is>
      </c>
      <c r="B9" s="39">
        <f>COUNTIF('Module 01'!$M$2:$M$500, "High")</f>
        <v/>
      </c>
      <c r="C9" s="40">
        <f>COUNTIF('Module 01'!$M$2:$M$500, "Medium")</f>
        <v/>
      </c>
      <c r="D9" s="41">
        <f>COUNTIF('Module 01'!$M$2:$M$500, "Low")</f>
        <v/>
      </c>
      <c r="E9" s="42">
        <f>SUM(B9:D9)</f>
        <v/>
      </c>
    </row>
    <row r="10" ht="22" customHeight="1">
      <c r="A10" s="43" t="inlineStr">
        <is>
          <t>Module 02</t>
        </is>
      </c>
      <c r="B10" s="44">
        <f>COUNTIF('Module 02'!$M$2:$M$500, "High")</f>
        <v/>
      </c>
      <c r="C10" s="45">
        <f>COUNTIF('Module 02'!$M$2:$M$500, "Medium")</f>
        <v/>
      </c>
      <c r="D10" s="46">
        <f>COUNTIF('Module 02'!$M$2:$M$500, "Low")</f>
        <v/>
      </c>
      <c r="E10" s="47">
        <f>SUM(B10:D10)</f>
        <v/>
      </c>
    </row>
    <row r="11" ht="22" customHeight="1">
      <c r="A11" s="38" t="inlineStr">
        <is>
          <t>Module 03</t>
        </is>
      </c>
      <c r="B11" s="39">
        <f>COUNTIF('Module 03'!$M$2:$M$500, "High")</f>
        <v/>
      </c>
      <c r="C11" s="40">
        <f>COUNTIF('Module 03'!$M$2:$M$500, "Medium")</f>
        <v/>
      </c>
      <c r="D11" s="41">
        <f>COUNTIF('Module 03'!$M$2:$M$500, "Low")</f>
        <v/>
      </c>
      <c r="E11" s="42">
        <f>SUM(B11:D11)</f>
        <v/>
      </c>
    </row>
    <row r="12" ht="22" customHeight="1">
      <c r="A12" s="43" t="inlineStr">
        <is>
          <t>Module 04</t>
        </is>
      </c>
      <c r="B12" s="44">
        <f>COUNTIF('Module 04'!$M$2:$M$500, "High")</f>
        <v/>
      </c>
      <c r="C12" s="45">
        <f>COUNTIF('Module 04'!$M$2:$M$500, "Medium")</f>
        <v/>
      </c>
      <c r="D12" s="46">
        <f>COUNTIF('Module 04'!$M$2:$M$500, "Low")</f>
        <v/>
      </c>
      <c r="E12" s="47">
        <f>SUM(B12:D12)</f>
        <v/>
      </c>
    </row>
    <row r="13" ht="22" customHeight="1">
      <c r="A13" s="38" t="inlineStr">
        <is>
          <t>Module 05</t>
        </is>
      </c>
      <c r="B13" s="39">
        <f>COUNTIF('Module 05'!$M$2:$M$500, "High")</f>
        <v/>
      </c>
      <c r="C13" s="40">
        <f>COUNTIF('Module 05'!$M$2:$M$500, "Medium")</f>
        <v/>
      </c>
      <c r="D13" s="41">
        <f>COUNTIF('Module 05'!$M$2:$M$500, "Low")</f>
        <v/>
      </c>
      <c r="E13" s="42">
        <f>SUM(B13:D13)</f>
        <v/>
      </c>
    </row>
    <row r="14" ht="22" customHeight="1">
      <c r="A14" s="43" t="inlineStr">
        <is>
          <t>Module 06</t>
        </is>
      </c>
      <c r="B14" s="44">
        <f>COUNTIF('Module 06'!$M$2:$M$500, "High")</f>
        <v/>
      </c>
      <c r="C14" s="45">
        <f>COUNTIF('Module 06'!$M$2:$M$500, "Medium")</f>
        <v/>
      </c>
      <c r="D14" s="46">
        <f>COUNTIF('Module 06'!$M$2:$M$500, "Low")</f>
        <v/>
      </c>
      <c r="E14" s="47">
        <f>SUM(B14:D14)</f>
        <v/>
      </c>
    </row>
    <row r="15" ht="22" customHeight="1">
      <c r="A15" s="38" t="inlineStr">
        <is>
          <t>Module 07</t>
        </is>
      </c>
      <c r="B15" s="39">
        <f>COUNTIF('Module 07'!$M$2:$M$500, "High")</f>
        <v/>
      </c>
      <c r="C15" s="40">
        <f>COUNTIF('Module 07'!$M$2:$M$500, "Medium")</f>
        <v/>
      </c>
      <c r="D15" s="41">
        <f>COUNTIF('Module 07'!$M$2:$M$500, "Low")</f>
        <v/>
      </c>
      <c r="E15" s="42">
        <f>SUM(B15:D15)</f>
        <v/>
      </c>
    </row>
    <row r="16" ht="22" customHeight="1">
      <c r="A16" s="43" t="inlineStr">
        <is>
          <t>Module 08</t>
        </is>
      </c>
      <c r="B16" s="44">
        <f>COUNTIF('Module 08'!$M$2:$M$500, "High")</f>
        <v/>
      </c>
      <c r="C16" s="45">
        <f>COUNTIF('Module 08'!$M$2:$M$500, "Medium")</f>
        <v/>
      </c>
      <c r="D16" s="46">
        <f>COUNTIF('Module 08'!$M$2:$M$500, "Low")</f>
        <v/>
      </c>
      <c r="E16" s="47">
        <f>SUM(B16:D16)</f>
        <v/>
      </c>
    </row>
    <row r="17" ht="22" customHeight="1">
      <c r="A17" s="38" t="inlineStr">
        <is>
          <t>Module 09</t>
        </is>
      </c>
      <c r="B17" s="39">
        <f>COUNTIF('Module 09'!$M$2:$M$500, "High")</f>
        <v/>
      </c>
      <c r="C17" s="40">
        <f>COUNTIF('Module 09'!$M$2:$M$500, "Medium")</f>
        <v/>
      </c>
      <c r="D17" s="41">
        <f>COUNTIF('Module 09'!$M$2:$M$500, "Low")</f>
        <v/>
      </c>
      <c r="E17" s="42">
        <f>SUM(B17:D17)</f>
        <v/>
      </c>
    </row>
    <row r="18" ht="24" customHeight="1">
      <c r="A18" s="14" t="inlineStr">
        <is>
          <t>Total</t>
        </is>
      </c>
      <c r="B18" s="15">
        <f>SUM(B9:B17)</f>
        <v/>
      </c>
      <c r="C18" s="15">
        <f>SUM(C9:C17)</f>
        <v/>
      </c>
      <c r="D18" s="15">
        <f>SUM(D9:D17)</f>
        <v/>
      </c>
      <c r="E18" s="15">
        <f>SUM(E9:E17)</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00"/>
  <sheetViews>
    <sheetView showGridLines="1" workbookViewId="0">
      <selection activeCell="A1" sqref="A1"/>
    </sheetView>
  </sheetViews>
  <sheetFormatPr baseColWidth="8" defaultRowHeight="15"/>
  <cols>
    <col width="24" customWidth="1" min="1" max="1"/>
    <col width="16" customWidth="1" min="2" max="2"/>
    <col width="36" customWidth="1" min="3" max="3"/>
    <col width="16" customWidth="1" min="4" max="4"/>
    <col width="16" customWidth="1" min="5" max="5"/>
    <col width="18" customWidth="1" min="6" max="6"/>
    <col width="16" customWidth="1" min="7" max="7"/>
  </cols>
  <sheetData>
    <row r="1" ht="40" customHeight="1">
      <c r="A1" s="1" t="inlineStr">
        <is>
          <t>Academic Portal - Comprehensive Test Suite &amp; Feature Breakdown</t>
        </is>
      </c>
    </row>
    <row r="3" ht="20" customHeight="1">
      <c r="A3" s="2" t="inlineStr">
        <is>
          <t>Total Modules</t>
        </is>
      </c>
      <c r="B3" s="2" t="inlineStr">
        <is>
          <t>Total Features</t>
        </is>
      </c>
      <c r="C3" s="2" t="inlineStr">
        <is>
          <t>Total Test Cases</t>
        </is>
      </c>
      <c r="D3" s="2" t="inlineStr">
        <is>
          <t>High Priority</t>
        </is>
      </c>
      <c r="E3" s="2" t="inlineStr">
        <is>
          <t>Medium Priority</t>
        </is>
      </c>
    </row>
    <row r="4" ht="35" customHeight="1">
      <c r="A4" s="3" t="n">
        <v>9</v>
      </c>
      <c r="B4" s="4" t="n">
        <v>79</v>
      </c>
      <c r="C4" s="4" t="n">
        <v>257</v>
      </c>
      <c r="D4" s="5" t="n">
        <v>206</v>
      </c>
      <c r="E4" s="6" t="n">
        <v>49</v>
      </c>
    </row>
    <row r="6">
      <c r="A6" s="7" t="inlineStr">
        <is>
          <t>1. Module Summary Overview</t>
        </is>
      </c>
    </row>
    <row r="7" ht="26" customHeight="1">
      <c r="A7" s="8" t="inlineStr">
        <is>
          <t>Module Name</t>
        </is>
      </c>
      <c r="B7" s="9" t="inlineStr">
        <is>
          <t>Total Test Cases</t>
        </is>
      </c>
      <c r="C7" s="9" t="inlineStr">
        <is>
          <t>High Priority</t>
        </is>
      </c>
      <c r="D7" s="9" t="inlineStr">
        <is>
          <t>Medium Priority</t>
        </is>
      </c>
      <c r="E7" s="9" t="inlineStr">
        <is>
          <t>Low Priority</t>
        </is>
      </c>
    </row>
    <row r="8" ht="22" customHeight="1">
      <c r="A8" s="10" t="inlineStr">
        <is>
          <t>Module 01</t>
        </is>
      </c>
      <c r="B8" s="11" t="n">
        <v>39</v>
      </c>
      <c r="C8" s="11" t="n">
        <v>32</v>
      </c>
      <c r="D8" s="11" t="n">
        <v>7</v>
      </c>
      <c r="E8" s="11" t="n">
        <v>0</v>
      </c>
    </row>
    <row r="9" ht="22" customHeight="1">
      <c r="A9" s="12" t="inlineStr">
        <is>
          <t>Module 02</t>
        </is>
      </c>
      <c r="B9" s="13" t="n">
        <v>31</v>
      </c>
      <c r="C9" s="13" t="n">
        <v>22</v>
      </c>
      <c r="D9" s="13" t="n">
        <v>9</v>
      </c>
      <c r="E9" s="13" t="n">
        <v>0</v>
      </c>
    </row>
    <row r="10" ht="22" customHeight="1">
      <c r="A10" s="10" t="inlineStr">
        <is>
          <t>Module 03</t>
        </is>
      </c>
      <c r="B10" s="11" t="n">
        <v>22</v>
      </c>
      <c r="C10" s="11" t="n">
        <v>19</v>
      </c>
      <c r="D10" s="11" t="n">
        <v>2</v>
      </c>
      <c r="E10" s="11" t="n">
        <v>0</v>
      </c>
    </row>
    <row r="11" ht="22" customHeight="1">
      <c r="A11" s="12" t="inlineStr">
        <is>
          <t>Module 04</t>
        </is>
      </c>
      <c r="B11" s="13" t="n">
        <v>23</v>
      </c>
      <c r="C11" s="13" t="n">
        <v>17</v>
      </c>
      <c r="D11" s="13" t="n">
        <v>6</v>
      </c>
      <c r="E11" s="13" t="n">
        <v>0</v>
      </c>
    </row>
    <row r="12" ht="22" customHeight="1">
      <c r="A12" s="10" t="inlineStr">
        <is>
          <t>Module 05</t>
        </is>
      </c>
      <c r="B12" s="11" t="n">
        <v>27</v>
      </c>
      <c r="C12" s="11" t="n">
        <v>25</v>
      </c>
      <c r="D12" s="11" t="n">
        <v>2</v>
      </c>
      <c r="E12" s="11" t="n">
        <v>0</v>
      </c>
    </row>
    <row r="13" ht="22" customHeight="1">
      <c r="A13" s="12" t="inlineStr">
        <is>
          <t>Module 06</t>
        </is>
      </c>
      <c r="B13" s="13" t="n">
        <v>31</v>
      </c>
      <c r="C13" s="13" t="n">
        <v>29</v>
      </c>
      <c r="D13" s="13" t="n">
        <v>2</v>
      </c>
      <c r="E13" s="13" t="n">
        <v>0</v>
      </c>
    </row>
    <row r="14" ht="22" customHeight="1">
      <c r="A14" s="10" t="inlineStr">
        <is>
          <t>Module 07</t>
        </is>
      </c>
      <c r="B14" s="11" t="n">
        <v>41</v>
      </c>
      <c r="C14" s="11" t="n">
        <v>34</v>
      </c>
      <c r="D14" s="11" t="n">
        <v>7</v>
      </c>
      <c r="E14" s="11" t="n">
        <v>0</v>
      </c>
    </row>
    <row r="15" ht="22" customHeight="1">
      <c r="A15" s="12" t="inlineStr">
        <is>
          <t>Module 08</t>
        </is>
      </c>
      <c r="B15" s="13" t="n">
        <v>20</v>
      </c>
      <c r="C15" s="13" t="n">
        <v>14</v>
      </c>
      <c r="D15" s="13" t="n">
        <v>5</v>
      </c>
      <c r="E15" s="13" t="n">
        <v>1</v>
      </c>
    </row>
    <row r="16" ht="22" customHeight="1">
      <c r="A16" s="10" t="inlineStr">
        <is>
          <t>Module 09</t>
        </is>
      </c>
      <c r="B16" s="11" t="n">
        <v>23</v>
      </c>
      <c r="C16" s="11" t="n">
        <v>14</v>
      </c>
      <c r="D16" s="11" t="n">
        <v>9</v>
      </c>
      <c r="E16" s="11" t="n">
        <v>0</v>
      </c>
    </row>
    <row r="17" ht="24" customHeight="1">
      <c r="A17" s="14" t="inlineStr">
        <is>
          <t>Total</t>
        </is>
      </c>
      <c r="B17" s="15" t="n">
        <v>257</v>
      </c>
      <c r="C17" s="15" t="n">
        <v>206</v>
      </c>
      <c r="D17" s="15" t="n">
        <v>49</v>
      </c>
      <c r="E17" s="15" t="n">
        <v>1</v>
      </c>
    </row>
    <row r="20">
      <c r="A20" s="7" t="inlineStr">
        <is>
          <t>2. Feature Categorization Breakdown</t>
        </is>
      </c>
    </row>
    <row r="21" ht="26" customHeight="1">
      <c r="A21" s="16" t="inlineStr">
        <is>
          <t>Module</t>
        </is>
      </c>
      <c r="B21" s="17" t="inlineStr">
        <is>
          <t>Feature ID</t>
        </is>
      </c>
      <c r="C21" s="16" t="inlineStr">
        <is>
          <t>Feature Name</t>
        </is>
      </c>
      <c r="D21" s="17" t="inlineStr">
        <is>
          <t>Test Cases</t>
        </is>
      </c>
      <c r="E21" s="17" t="inlineStr">
        <is>
          <t>High Priority</t>
        </is>
      </c>
      <c r="F21" s="17" t="inlineStr">
        <is>
          <t>Medium Priority</t>
        </is>
      </c>
      <c r="G21" s="17" t="inlineStr">
        <is>
          <t>Low Priority</t>
        </is>
      </c>
    </row>
    <row r="22" ht="22" customHeight="1">
      <c r="A22" s="10" t="inlineStr">
        <is>
          <t>Module 01</t>
        </is>
      </c>
      <c r="B22" s="18" t="inlineStr">
        <is>
          <t>M01-F01</t>
        </is>
      </c>
      <c r="C22" s="10" t="inlineStr">
        <is>
          <t>Batch Creation</t>
        </is>
      </c>
      <c r="D22" s="11" t="n">
        <v>7</v>
      </c>
      <c r="E22" s="11" t="n">
        <v>7</v>
      </c>
      <c r="F22" s="11" t="n">
        <v>0</v>
      </c>
      <c r="G22" s="11" t="n">
        <v>0</v>
      </c>
    </row>
    <row r="23" ht="22" customHeight="1">
      <c r="A23" s="12" t="inlineStr">
        <is>
          <t>Module 01</t>
        </is>
      </c>
      <c r="B23" s="19" t="inlineStr">
        <is>
          <t>M01-F02</t>
        </is>
      </c>
      <c r="C23" s="12" t="inlineStr">
        <is>
          <t>Batch Editing</t>
        </is>
      </c>
      <c r="D23" s="13" t="n">
        <v>3</v>
      </c>
      <c r="E23" s="13" t="n">
        <v>3</v>
      </c>
      <c r="F23" s="13" t="n">
        <v>0</v>
      </c>
      <c r="G23" s="13" t="n">
        <v>0</v>
      </c>
    </row>
    <row r="24" ht="22" customHeight="1">
      <c r="A24" s="10" t="inlineStr">
        <is>
          <t>Module 01</t>
        </is>
      </c>
      <c r="B24" s="18" t="inlineStr">
        <is>
          <t>M01-F03</t>
        </is>
      </c>
      <c r="C24" s="10" t="inlineStr">
        <is>
          <t>Batch Archiving</t>
        </is>
      </c>
      <c r="D24" s="11" t="n">
        <v>3</v>
      </c>
      <c r="E24" s="11" t="n">
        <v>2</v>
      </c>
      <c r="F24" s="11" t="n">
        <v>1</v>
      </c>
      <c r="G24" s="11" t="n">
        <v>0</v>
      </c>
    </row>
    <row r="25" ht="22" customHeight="1">
      <c r="A25" s="12" t="inlineStr">
        <is>
          <t>Module 01</t>
        </is>
      </c>
      <c r="B25" s="19" t="inlineStr">
        <is>
          <t>M01-F04</t>
        </is>
      </c>
      <c r="C25" s="12" t="inlineStr">
        <is>
          <t>Single Student Creation</t>
        </is>
      </c>
      <c r="D25" s="13" t="n">
        <v>5</v>
      </c>
      <c r="E25" s="13" t="n">
        <v>5</v>
      </c>
      <c r="F25" s="13" t="n">
        <v>0</v>
      </c>
      <c r="G25" s="13" t="n">
        <v>0</v>
      </c>
    </row>
    <row r="26" ht="22" customHeight="1">
      <c r="A26" s="10" t="inlineStr">
        <is>
          <t>Module 01</t>
        </is>
      </c>
      <c r="B26" s="18" t="inlineStr">
        <is>
          <t>M01-F05</t>
        </is>
      </c>
      <c r="C26" s="10" t="inlineStr">
        <is>
          <t>Bulk Student Import</t>
        </is>
      </c>
      <c r="D26" s="11" t="n">
        <v>6</v>
      </c>
      <c r="E26" s="11" t="n">
        <v>6</v>
      </c>
      <c r="F26" s="11" t="n">
        <v>0</v>
      </c>
      <c r="G26" s="11" t="n">
        <v>0</v>
      </c>
    </row>
    <row r="27" ht="22" customHeight="1">
      <c r="A27" s="12" t="inlineStr">
        <is>
          <t>Module 01</t>
        </is>
      </c>
      <c r="B27" s="19" t="inlineStr">
        <is>
          <t>M01-F06</t>
        </is>
      </c>
      <c r="C27" s="12" t="inlineStr">
        <is>
          <t>Student Editing</t>
        </is>
      </c>
      <c r="D27" s="13" t="n">
        <v>3</v>
      </c>
      <c r="E27" s="13" t="n">
        <v>3</v>
      </c>
      <c r="F27" s="13" t="n">
        <v>0</v>
      </c>
      <c r="G27" s="13" t="n">
        <v>0</v>
      </c>
    </row>
    <row r="28" ht="22" customHeight="1">
      <c r="A28" s="10" t="inlineStr">
        <is>
          <t>Module 01</t>
        </is>
      </c>
      <c r="B28" s="18" t="inlineStr">
        <is>
          <t>M01-F07</t>
        </is>
      </c>
      <c r="C28" s="10" t="inlineStr">
        <is>
          <t>Follow-up Flag</t>
        </is>
      </c>
      <c r="D28" s="11" t="n">
        <v>1</v>
      </c>
      <c r="E28" s="11" t="n">
        <v>1</v>
      </c>
      <c r="F28" s="11" t="n">
        <v>0</v>
      </c>
      <c r="G28" s="11" t="n">
        <v>0</v>
      </c>
    </row>
    <row r="29" ht="22" customHeight="1">
      <c r="A29" s="12" t="inlineStr">
        <is>
          <t>Module 01</t>
        </is>
      </c>
      <c r="B29" s="19" t="inlineStr">
        <is>
          <t>M01-F08</t>
        </is>
      </c>
      <c r="C29" s="12" t="inlineStr">
        <is>
          <t>Student Status Management</t>
        </is>
      </c>
      <c r="D29" s="13" t="n">
        <v>2</v>
      </c>
      <c r="E29" s="13" t="n">
        <v>2</v>
      </c>
      <c r="F29" s="13" t="n">
        <v>0</v>
      </c>
      <c r="G29" s="13" t="n">
        <v>0</v>
      </c>
    </row>
    <row r="30" ht="22" customHeight="1">
      <c r="A30" s="10" t="inlineStr">
        <is>
          <t>Module 01</t>
        </is>
      </c>
      <c r="B30" s="18" t="inlineStr">
        <is>
          <t>M01-F09</t>
        </is>
      </c>
      <c r="C30" s="10" t="inlineStr">
        <is>
          <t>Search &amp; Filter</t>
        </is>
      </c>
      <c r="D30" s="11" t="n">
        <v>4</v>
      </c>
      <c r="E30" s="11" t="n">
        <v>0</v>
      </c>
      <c r="F30" s="11" t="n">
        <v>4</v>
      </c>
      <c r="G30" s="11" t="n">
        <v>0</v>
      </c>
    </row>
    <row r="31" ht="22" customHeight="1">
      <c r="A31" s="12" t="inlineStr">
        <is>
          <t>Module 01</t>
        </is>
      </c>
      <c r="B31" s="19" t="inlineStr">
        <is>
          <t>M01-F10</t>
        </is>
      </c>
      <c r="C31" s="12" t="inlineStr">
        <is>
          <t>Dashboard Overview</t>
        </is>
      </c>
      <c r="D31" s="13" t="n">
        <v>2</v>
      </c>
      <c r="E31" s="13" t="n">
        <v>0</v>
      </c>
      <c r="F31" s="13" t="n">
        <v>2</v>
      </c>
      <c r="G31" s="13" t="n">
        <v>0</v>
      </c>
    </row>
    <row r="32" ht="22" customHeight="1">
      <c r="A32" s="10" t="inlineStr">
        <is>
          <t>Module 01</t>
        </is>
      </c>
      <c r="B32" s="18" t="inlineStr">
        <is>
          <t>M01-SEC</t>
        </is>
      </c>
      <c r="C32" s="10" t="inlineStr">
        <is>
          <t>Access Control &amp; Security</t>
        </is>
      </c>
      <c r="D32" s="11" t="n">
        <v>3</v>
      </c>
      <c r="E32" s="11" t="n">
        <v>3</v>
      </c>
      <c r="F32" s="11" t="n">
        <v>0</v>
      </c>
      <c r="G32" s="11" t="n">
        <v>0</v>
      </c>
    </row>
    <row r="33" ht="22" customHeight="1">
      <c r="A33" s="12" t="inlineStr">
        <is>
          <t>Module 02</t>
        </is>
      </c>
      <c r="B33" s="19" t="inlineStr">
        <is>
          <t>M02-F01</t>
        </is>
      </c>
      <c r="C33" s="12" t="inlineStr">
        <is>
          <t>Single Observation Entry</t>
        </is>
      </c>
      <c r="D33" s="13" t="n">
        <v>5</v>
      </c>
      <c r="E33" s="13" t="n">
        <v>5</v>
      </c>
      <c r="F33" s="13" t="n">
        <v>0</v>
      </c>
      <c r="G33" s="13" t="n">
        <v>0</v>
      </c>
    </row>
    <row r="34" ht="22" customHeight="1">
      <c r="A34" s="10" t="inlineStr">
        <is>
          <t>Module 02</t>
        </is>
      </c>
      <c r="B34" s="18" t="inlineStr">
        <is>
          <t>M02-F02</t>
        </is>
      </c>
      <c r="C34" s="10" t="inlineStr">
        <is>
          <t>Auto Rating Suggestion</t>
        </is>
      </c>
      <c r="D34" s="11" t="n">
        <v>4</v>
      </c>
      <c r="E34" s="11" t="n">
        <v>2</v>
      </c>
      <c r="F34" s="11" t="n">
        <v>2</v>
      </c>
      <c r="G34" s="11" t="n">
        <v>0</v>
      </c>
    </row>
    <row r="35" ht="22" customHeight="1">
      <c r="A35" s="12" t="inlineStr">
        <is>
          <t>Module 02</t>
        </is>
      </c>
      <c r="B35" s="19" t="inlineStr">
        <is>
          <t>M02-F03</t>
        </is>
      </c>
      <c r="C35" s="12" t="inlineStr">
        <is>
          <t>Batch Entry – All Subjects</t>
        </is>
      </c>
      <c r="D35" s="13" t="n">
        <v>2</v>
      </c>
      <c r="E35" s="13" t="n">
        <v>2</v>
      </c>
      <c r="F35" s="13" t="n">
        <v>0</v>
      </c>
      <c r="G35" s="13" t="n">
        <v>0</v>
      </c>
    </row>
    <row r="36" ht="22" customHeight="1">
      <c r="A36" s="10" t="inlineStr">
        <is>
          <t>Module 02</t>
        </is>
      </c>
      <c r="B36" s="18" t="inlineStr">
        <is>
          <t>M02-F04</t>
        </is>
      </c>
      <c r="C36" s="10" t="inlineStr">
        <is>
          <t>Batch Entry – By Subject</t>
        </is>
      </c>
      <c r="D36" s="11" t="n">
        <v>2</v>
      </c>
      <c r="E36" s="11" t="n">
        <v>2</v>
      </c>
      <c r="F36" s="11" t="n">
        <v>0</v>
      </c>
      <c r="G36" s="11" t="n">
        <v>0</v>
      </c>
    </row>
    <row r="37" ht="22" customHeight="1">
      <c r="A37" s="12" t="inlineStr">
        <is>
          <t>Module 02</t>
        </is>
      </c>
      <c r="B37" s="19" t="inlineStr">
        <is>
          <t>M02-F05</t>
        </is>
      </c>
      <c r="C37" s="12" t="inlineStr">
        <is>
          <t>Observation Editing</t>
        </is>
      </c>
      <c r="D37" s="13" t="n">
        <v>2</v>
      </c>
      <c r="E37" s="13" t="n">
        <v>2</v>
      </c>
      <c r="F37" s="13" t="n">
        <v>0</v>
      </c>
      <c r="G37" s="13" t="n">
        <v>0</v>
      </c>
    </row>
    <row r="38" ht="22" customHeight="1">
      <c r="A38" s="10" t="inlineStr">
        <is>
          <t>Module 02</t>
        </is>
      </c>
      <c r="B38" s="18" t="inlineStr">
        <is>
          <t>M02-F06</t>
        </is>
      </c>
      <c r="C38" s="10" t="inlineStr">
        <is>
          <t>Duplicate Detection &amp; Merge</t>
        </is>
      </c>
      <c r="D38" s="11" t="n">
        <v>2</v>
      </c>
      <c r="E38" s="11" t="n">
        <v>2</v>
      </c>
      <c r="F38" s="11" t="n">
        <v>0</v>
      </c>
      <c r="G38" s="11" t="n">
        <v>0</v>
      </c>
    </row>
    <row r="39" ht="22" customHeight="1">
      <c r="A39" s="12" t="inlineStr">
        <is>
          <t>Module 02</t>
        </is>
      </c>
      <c r="B39" s="19" t="inlineStr">
        <is>
          <t>M02-F07</t>
        </is>
      </c>
      <c r="C39" s="12" t="inlineStr">
        <is>
          <t>Session Management</t>
        </is>
      </c>
      <c r="D39" s="13" t="n">
        <v>4</v>
      </c>
      <c r="E39" s="13" t="n">
        <v>3</v>
      </c>
      <c r="F39" s="13" t="n">
        <v>1</v>
      </c>
      <c r="G39" s="13" t="n">
        <v>0</v>
      </c>
    </row>
    <row r="40" ht="22" customHeight="1">
      <c r="A40" s="10" t="inlineStr">
        <is>
          <t>Module 02</t>
        </is>
      </c>
      <c r="B40" s="18" t="inlineStr">
        <is>
          <t>M02-F08</t>
        </is>
      </c>
      <c r="C40" s="10" t="inlineStr">
        <is>
          <t>Session Progress</t>
        </is>
      </c>
      <c r="D40" s="11" t="n">
        <v>1</v>
      </c>
      <c r="E40" s="11" t="n">
        <v>0</v>
      </c>
      <c r="F40" s="11" t="n">
        <v>1</v>
      </c>
      <c r="G40" s="11" t="n">
        <v>0</v>
      </c>
    </row>
    <row r="41" ht="22" customHeight="1">
      <c r="A41" s="12" t="inlineStr">
        <is>
          <t>Module 02</t>
        </is>
      </c>
      <c r="B41" s="19" t="inlineStr">
        <is>
          <t>M02-F09</t>
        </is>
      </c>
      <c r="C41" s="12" t="inlineStr">
        <is>
          <t>Concurrent Edit Handling</t>
        </is>
      </c>
      <c r="D41" s="13" t="n">
        <v>3</v>
      </c>
      <c r="E41" s="13" t="n">
        <v>3</v>
      </c>
      <c r="F41" s="13" t="n">
        <v>0</v>
      </c>
      <c r="G41" s="13" t="n">
        <v>0</v>
      </c>
    </row>
    <row r="42" ht="22" customHeight="1">
      <c r="A42" s="10" t="inlineStr">
        <is>
          <t>Module 02</t>
        </is>
      </c>
      <c r="B42" s="18" t="inlineStr">
        <is>
          <t>M02-F10</t>
        </is>
      </c>
      <c r="C42" s="10" t="inlineStr">
        <is>
          <t>Search, Filter &amp; Sorting</t>
        </is>
      </c>
      <c r="D42" s="11" t="n">
        <v>3</v>
      </c>
      <c r="E42" s="11" t="n">
        <v>0</v>
      </c>
      <c r="F42" s="11" t="n">
        <v>3</v>
      </c>
      <c r="G42" s="11" t="n">
        <v>0</v>
      </c>
    </row>
    <row r="43" ht="22" customHeight="1">
      <c r="A43" s="12" t="inlineStr">
        <is>
          <t>Module 02</t>
        </is>
      </c>
      <c r="B43" s="19" t="inlineStr">
        <is>
          <t>M02-F11</t>
        </is>
      </c>
      <c r="C43" s="12" t="inlineStr">
        <is>
          <t>Dashboard Overview</t>
        </is>
      </c>
      <c r="D43" s="13" t="n">
        <v>2</v>
      </c>
      <c r="E43" s="13" t="n">
        <v>0</v>
      </c>
      <c r="F43" s="13" t="n">
        <v>2</v>
      </c>
      <c r="G43" s="13" t="n">
        <v>0</v>
      </c>
    </row>
    <row r="44" ht="22" customHeight="1">
      <c r="A44" s="10" t="inlineStr">
        <is>
          <t>Module 02</t>
        </is>
      </c>
      <c r="B44" s="18" t="inlineStr">
        <is>
          <t>M02-SEC</t>
        </is>
      </c>
      <c r="C44" s="10" t="inlineStr">
        <is>
          <t>Access Control &amp; Security</t>
        </is>
      </c>
      <c r="D44" s="11" t="n">
        <v>1</v>
      </c>
      <c r="E44" s="11" t="n">
        <v>1</v>
      </c>
      <c r="F44" s="11" t="n">
        <v>0</v>
      </c>
      <c r="G44" s="11" t="n">
        <v>0</v>
      </c>
    </row>
    <row r="45" ht="22" customHeight="1">
      <c r="A45" s="12" t="inlineStr">
        <is>
          <t>Module 03</t>
        </is>
      </c>
      <c r="B45" s="19" t="inlineStr">
        <is>
          <t>M03-F01</t>
        </is>
      </c>
      <c r="C45" s="12" t="inlineStr">
        <is>
          <t>Course / Subject Creation</t>
        </is>
      </c>
      <c r="D45" s="13" t="n">
        <v>3</v>
      </c>
      <c r="E45" s="13" t="n">
        <v>3</v>
      </c>
      <c r="F45" s="13" t="n">
        <v>0</v>
      </c>
      <c r="G45" s="13" t="n">
        <v>0</v>
      </c>
    </row>
    <row r="46" ht="22" customHeight="1">
      <c r="A46" s="10" t="inlineStr">
        <is>
          <t>Module 03</t>
        </is>
      </c>
      <c r="B46" s="18" t="inlineStr">
        <is>
          <t>M03-F02</t>
        </is>
      </c>
      <c r="C46" s="10" t="inlineStr">
        <is>
          <t>Grade Entry Structure</t>
        </is>
      </c>
      <c r="D46" s="11" t="n">
        <v>1</v>
      </c>
      <c r="E46" s="11" t="n">
        <v>1</v>
      </c>
      <c r="F46" s="11" t="n">
        <v>0</v>
      </c>
      <c r="G46" s="11" t="n">
        <v>0</v>
      </c>
    </row>
    <row r="47" ht="22" customHeight="1">
      <c r="A47" s="12" t="inlineStr">
        <is>
          <t>Module 03</t>
        </is>
      </c>
      <c r="B47" s="19" t="inlineStr">
        <is>
          <t>M03-F03</t>
        </is>
      </c>
      <c r="C47" s="12" t="inlineStr">
        <is>
          <t>Automatic TBKT Calculation</t>
        </is>
      </c>
      <c r="D47" s="13" t="n">
        <v>6</v>
      </c>
      <c r="E47" s="13" t="n">
        <v>6</v>
      </c>
      <c r="F47" s="13" t="n">
        <v>0</v>
      </c>
      <c r="G47" s="13" t="n">
        <v>0</v>
      </c>
    </row>
    <row r="48" ht="22" customHeight="1">
      <c r="A48" s="10" t="inlineStr">
        <is>
          <t>Module 03</t>
        </is>
      </c>
      <c r="B48" s="18" t="inlineStr">
        <is>
          <t>M03-F04</t>
        </is>
      </c>
      <c r="C48" s="10" t="inlineStr">
        <is>
          <t>Grade Upload via CSV</t>
        </is>
      </c>
      <c r="D48" s="11" t="n">
        <v>5</v>
      </c>
      <c r="E48" s="11" t="n">
        <v>4</v>
      </c>
      <c r="F48" s="11" t="n">
        <v>0</v>
      </c>
      <c r="G48" s="11" t="n">
        <v>0</v>
      </c>
    </row>
    <row r="49" ht="22" customHeight="1">
      <c r="A49" s="12" t="inlineStr">
        <is>
          <t>Module 03</t>
        </is>
      </c>
      <c r="B49" s="19" t="inlineStr">
        <is>
          <t>M03-F05</t>
        </is>
      </c>
      <c r="C49" s="12" t="inlineStr">
        <is>
          <t>Subject Deletion</t>
        </is>
      </c>
      <c r="D49" s="13" t="n">
        <v>1</v>
      </c>
      <c r="E49" s="13" t="n">
        <v>1</v>
      </c>
      <c r="F49" s="13" t="n">
        <v>0</v>
      </c>
      <c r="G49" s="13" t="n">
        <v>0</v>
      </c>
    </row>
    <row r="50" ht="22" customHeight="1">
      <c r="A50" s="10" t="inlineStr">
        <is>
          <t>Module 03</t>
        </is>
      </c>
      <c r="B50" s="18" t="inlineStr">
        <is>
          <t>M03-F06</t>
        </is>
      </c>
      <c r="C50" s="10" t="inlineStr">
        <is>
          <t>PDF Transcript Export</t>
        </is>
      </c>
      <c r="D50" s="11" t="n">
        <v>4</v>
      </c>
      <c r="E50" s="11" t="n">
        <v>2</v>
      </c>
      <c r="F50" s="11" t="n">
        <v>2</v>
      </c>
      <c r="G50" s="11" t="n">
        <v>0</v>
      </c>
    </row>
    <row r="51" ht="22" customHeight="1">
      <c r="A51" s="12" t="inlineStr">
        <is>
          <t>Module 03</t>
        </is>
      </c>
      <c r="B51" s="19" t="inlineStr">
        <is>
          <t>M03-F07</t>
        </is>
      </c>
      <c r="C51" s="12" t="inlineStr">
        <is>
          <t>Manual GPA &amp; Letter Grade Entry</t>
        </is>
      </c>
      <c r="D51" s="13" t="n">
        <v>1</v>
      </c>
      <c r="E51" s="13" t="n">
        <v>1</v>
      </c>
      <c r="F51" s="13" t="n">
        <v>0</v>
      </c>
      <c r="G51" s="13" t="n">
        <v>0</v>
      </c>
    </row>
    <row r="52" ht="22" customHeight="1">
      <c r="A52" s="10" t="inlineStr">
        <is>
          <t>Module 03</t>
        </is>
      </c>
      <c r="B52" s="18" t="inlineStr">
        <is>
          <t>M03-SEC</t>
        </is>
      </c>
      <c r="C52" s="10" t="inlineStr">
        <is>
          <t>Access Control &amp; Security</t>
        </is>
      </c>
      <c r="D52" s="11" t="n">
        <v>1</v>
      </c>
      <c r="E52" s="11" t="n">
        <v>1</v>
      </c>
      <c r="F52" s="11" t="n">
        <v>0</v>
      </c>
      <c r="G52" s="11" t="n">
        <v>0</v>
      </c>
    </row>
    <row r="53" ht="22" customHeight="1">
      <c r="A53" s="12" t="inlineStr">
        <is>
          <t>Module 04</t>
        </is>
      </c>
      <c r="B53" s="19" t="inlineStr">
        <is>
          <t>M04-F01</t>
        </is>
      </c>
      <c r="C53" s="12" t="inlineStr">
        <is>
          <t>Council Feedback Record</t>
        </is>
      </c>
      <c r="D53" s="13" t="n">
        <v>6</v>
      </c>
      <c r="E53" s="13" t="n">
        <v>4</v>
      </c>
      <c r="F53" s="13" t="n">
        <v>2</v>
      </c>
      <c r="G53" s="13" t="n">
        <v>0</v>
      </c>
    </row>
    <row r="54" ht="22" customHeight="1">
      <c r="A54" s="10" t="inlineStr">
        <is>
          <t>Module 04</t>
        </is>
      </c>
      <c r="B54" s="18" t="inlineStr">
        <is>
          <t>M04-F02</t>
        </is>
      </c>
      <c r="C54" s="10" t="inlineStr">
        <is>
          <t>Academic Warning Flag</t>
        </is>
      </c>
      <c r="D54" s="11" t="n">
        <v>4</v>
      </c>
      <c r="E54" s="11" t="n">
        <v>2</v>
      </c>
      <c r="F54" s="11" t="n">
        <v>2</v>
      </c>
      <c r="G54" s="11" t="n">
        <v>0</v>
      </c>
    </row>
    <row r="55" ht="22" customHeight="1">
      <c r="A55" s="12" t="inlineStr">
        <is>
          <t>Module 04</t>
        </is>
      </c>
      <c r="B55" s="19" t="inlineStr">
        <is>
          <t>M04-F03</t>
        </is>
      </c>
      <c r="C55" s="12" t="inlineStr">
        <is>
          <t>Duplicate Record Prevention</t>
        </is>
      </c>
      <c r="D55" s="13" t="n">
        <v>1</v>
      </c>
      <c r="E55" s="13" t="n">
        <v>1</v>
      </c>
      <c r="F55" s="13" t="n">
        <v>0</v>
      </c>
      <c r="G55" s="13" t="n">
        <v>0</v>
      </c>
    </row>
    <row r="56" ht="22" customHeight="1">
      <c r="A56" s="10" t="inlineStr">
        <is>
          <t>Module 04</t>
        </is>
      </c>
      <c r="B56" s="18" t="inlineStr">
        <is>
          <t>M04-F04</t>
        </is>
      </c>
      <c r="C56" s="10" t="inlineStr">
        <is>
          <t>Auto Draft Saving</t>
        </is>
      </c>
      <c r="D56" s="11" t="n">
        <v>2</v>
      </c>
      <c r="E56" s="11" t="n">
        <v>1</v>
      </c>
      <c r="F56" s="11" t="n">
        <v>1</v>
      </c>
      <c r="G56" s="11" t="n">
        <v>0</v>
      </c>
    </row>
    <row r="57" ht="22" customHeight="1">
      <c r="A57" s="12" t="inlineStr">
        <is>
          <t>Module 04</t>
        </is>
      </c>
      <c r="B57" s="19" t="inlineStr">
        <is>
          <t>M04-F05</t>
        </is>
      </c>
      <c r="C57" s="12" t="inlineStr">
        <is>
          <t>Draft Recovery / Discard</t>
        </is>
      </c>
      <c r="D57" s="13" t="n">
        <v>2</v>
      </c>
      <c r="E57" s="13" t="n">
        <v>2</v>
      </c>
      <c r="F57" s="13" t="n">
        <v>0</v>
      </c>
      <c r="G57" s="13" t="n">
        <v>0</v>
      </c>
    </row>
    <row r="58" ht="22" customHeight="1">
      <c r="A58" s="10" t="inlineStr">
        <is>
          <t>Module 04</t>
        </is>
      </c>
      <c r="B58" s="18" t="inlineStr">
        <is>
          <t>M04-F06</t>
        </is>
      </c>
      <c r="C58" s="10" t="inlineStr">
        <is>
          <t>Batch Feedback Entry</t>
        </is>
      </c>
      <c r="D58" s="11" t="n">
        <v>3</v>
      </c>
      <c r="E58" s="11" t="n">
        <v>2</v>
      </c>
      <c r="F58" s="11" t="n">
        <v>1</v>
      </c>
      <c r="G58" s="11" t="n">
        <v>0</v>
      </c>
    </row>
    <row r="59" ht="22" customHeight="1">
      <c r="A59" s="12" t="inlineStr">
        <is>
          <t>Module 04</t>
        </is>
      </c>
      <c r="B59" s="19" t="inlineStr">
        <is>
          <t>M04-F07</t>
        </is>
      </c>
      <c r="C59" s="12" t="inlineStr">
        <is>
          <t>Concurrent Edit Conflict Handling</t>
        </is>
      </c>
      <c r="D59" s="13" t="n">
        <v>2</v>
      </c>
      <c r="E59" s="13" t="n">
        <v>2</v>
      </c>
      <c r="F59" s="13" t="n">
        <v>0</v>
      </c>
      <c r="G59" s="13" t="n">
        <v>0</v>
      </c>
    </row>
    <row r="60" ht="22" customHeight="1">
      <c r="A60" s="10" t="inlineStr">
        <is>
          <t>Module 04</t>
        </is>
      </c>
      <c r="B60" s="18" t="inlineStr">
        <is>
          <t>M04-F08</t>
        </is>
      </c>
      <c r="C60" s="10" t="inlineStr">
        <is>
          <t>PDF Report Export</t>
        </is>
      </c>
      <c r="D60" s="11" t="n">
        <v>1</v>
      </c>
      <c r="E60" s="11" t="n">
        <v>1</v>
      </c>
      <c r="F60" s="11" t="n">
        <v>0</v>
      </c>
      <c r="G60" s="11" t="n">
        <v>0</v>
      </c>
    </row>
    <row r="61" ht="22" customHeight="1">
      <c r="A61" s="12" t="inlineStr">
        <is>
          <t>Module 04</t>
        </is>
      </c>
      <c r="B61" s="19" t="inlineStr">
        <is>
          <t>M04-SEC</t>
        </is>
      </c>
      <c r="C61" s="12" t="inlineStr">
        <is>
          <t>Access Control &amp; Security</t>
        </is>
      </c>
      <c r="D61" s="13" t="n">
        <v>2</v>
      </c>
      <c r="E61" s="13" t="n">
        <v>2</v>
      </c>
      <c r="F61" s="13" t="n">
        <v>0</v>
      </c>
      <c r="G61" s="13" t="n">
        <v>0</v>
      </c>
    </row>
    <row r="62" ht="22" customHeight="1">
      <c r="A62" s="10" t="inlineStr">
        <is>
          <t>Module 05</t>
        </is>
      </c>
      <c r="B62" s="18" t="inlineStr">
        <is>
          <t>M05-F01</t>
        </is>
      </c>
      <c r="C62" s="10" t="inlineStr">
        <is>
          <t>Internship Group Creation</t>
        </is>
      </c>
      <c r="D62" s="11" t="n">
        <v>7</v>
      </c>
      <c r="E62" s="11" t="n">
        <v>7</v>
      </c>
      <c r="F62" s="11" t="n">
        <v>0</v>
      </c>
      <c r="G62" s="11" t="n">
        <v>0</v>
      </c>
    </row>
    <row r="63" ht="22" customHeight="1">
      <c r="A63" s="12" t="inlineStr">
        <is>
          <t>Module 05</t>
        </is>
      </c>
      <c r="B63" s="19" t="inlineStr">
        <is>
          <t>M05-F02</t>
        </is>
      </c>
      <c r="C63" s="12" t="inlineStr">
        <is>
          <t>Group Archiving / Reactivation</t>
        </is>
      </c>
      <c r="D63" s="13" t="n">
        <v>2</v>
      </c>
      <c r="E63" s="13" t="n">
        <v>2</v>
      </c>
      <c r="F63" s="13" t="n">
        <v>0</v>
      </c>
      <c r="G63" s="13" t="n">
        <v>0</v>
      </c>
    </row>
    <row r="64" ht="22" customHeight="1">
      <c r="A64" s="10" t="inlineStr">
        <is>
          <t>Module 05</t>
        </is>
      </c>
      <c r="B64" s="18" t="inlineStr">
        <is>
          <t>M05-F03</t>
        </is>
      </c>
      <c r="C64" s="10" t="inlineStr">
        <is>
          <t>Company Management</t>
        </is>
      </c>
      <c r="D64" s="11" t="n">
        <v>4</v>
      </c>
      <c r="E64" s="11" t="n">
        <v>4</v>
      </c>
      <c r="F64" s="11" t="n">
        <v>0</v>
      </c>
      <c r="G64" s="11" t="n">
        <v>0</v>
      </c>
    </row>
    <row r="65" ht="22" customHeight="1">
      <c r="A65" s="12" t="inlineStr">
        <is>
          <t>Module 05</t>
        </is>
      </c>
      <c r="B65" s="19" t="inlineStr">
        <is>
          <t>M05-F04</t>
        </is>
      </c>
      <c r="C65" s="12" t="inlineStr">
        <is>
          <t>Student-to-Company Assignment</t>
        </is>
      </c>
      <c r="D65" s="13" t="n">
        <v>5</v>
      </c>
      <c r="E65" s="13" t="n">
        <v>5</v>
      </c>
      <c r="F65" s="13" t="n">
        <v>0</v>
      </c>
      <c r="G65" s="13" t="n">
        <v>0</v>
      </c>
    </row>
    <row r="66" ht="22" customHeight="1">
      <c r="A66" s="10" t="inlineStr">
        <is>
          <t>Module 05</t>
        </is>
      </c>
      <c r="B66" s="18" t="inlineStr">
        <is>
          <t>M05-F05</t>
        </is>
      </c>
      <c r="C66" s="10" t="inlineStr">
        <is>
          <t>Remove Assignment</t>
        </is>
      </c>
      <c r="D66" s="11" t="n">
        <v>1</v>
      </c>
      <c r="E66" s="11" t="n">
        <v>1</v>
      </c>
      <c r="F66" s="11" t="n">
        <v>0</v>
      </c>
      <c r="G66" s="11" t="n">
        <v>0</v>
      </c>
    </row>
    <row r="67" ht="22" customHeight="1">
      <c r="A67" s="12" t="inlineStr">
        <is>
          <t>Module 05</t>
        </is>
      </c>
      <c r="B67" s="19" t="inlineStr">
        <is>
          <t>M05-F07</t>
        </is>
      </c>
      <c r="C67" s="12" t="inlineStr">
        <is>
          <t>Feedback Recording by Team</t>
        </is>
      </c>
      <c r="D67" s="13" t="n">
        <v>4</v>
      </c>
      <c r="E67" s="13" t="n">
        <v>3</v>
      </c>
      <c r="F67" s="13" t="n">
        <v>1</v>
      </c>
      <c r="G67" s="13" t="n">
        <v>0</v>
      </c>
    </row>
    <row r="68" ht="22" customHeight="1">
      <c r="A68" s="10" t="inlineStr">
        <is>
          <t>Module 05</t>
        </is>
      </c>
      <c r="B68" s="18" t="inlineStr">
        <is>
          <t>M05-F08</t>
        </is>
      </c>
      <c r="C68" s="10" t="inlineStr">
        <is>
          <t>Same for All Feedback</t>
        </is>
      </c>
      <c r="D68" s="11" t="n">
        <v>1</v>
      </c>
      <c r="E68" s="11" t="n">
        <v>1</v>
      </c>
      <c r="F68" s="11" t="n">
        <v>0</v>
      </c>
      <c r="G68" s="11" t="n">
        <v>0</v>
      </c>
    </row>
    <row r="69" ht="22" customHeight="1">
      <c r="A69" s="12" t="inlineStr">
        <is>
          <t>Module 05</t>
        </is>
      </c>
      <c r="B69" s="19" t="inlineStr">
        <is>
          <t>M05-F09</t>
        </is>
      </c>
      <c r="C69" s="12" t="inlineStr">
        <is>
          <t>Feedback Editing</t>
        </is>
      </c>
      <c r="D69" s="13" t="n">
        <v>2</v>
      </c>
      <c r="E69" s="13" t="n">
        <v>2</v>
      </c>
      <c r="F69" s="13" t="n">
        <v>0</v>
      </c>
      <c r="G69" s="13" t="n">
        <v>0</v>
      </c>
    </row>
    <row r="70" ht="22" customHeight="1">
      <c r="A70" s="10" t="inlineStr">
        <is>
          <t>Module 05</t>
        </is>
      </c>
      <c r="B70" s="18" t="inlineStr">
        <is>
          <t>M05-F10</t>
        </is>
      </c>
      <c r="C70" s="10" t="inlineStr">
        <is>
          <t>Group List Display</t>
        </is>
      </c>
      <c r="D70" s="11" t="n">
        <v>1</v>
      </c>
      <c r="E70" s="11" t="n">
        <v>0</v>
      </c>
      <c r="F70" s="11" t="n">
        <v>1</v>
      </c>
      <c r="G70" s="11" t="n">
        <v>0</v>
      </c>
    </row>
    <row r="71" ht="22" customHeight="1">
      <c r="A71" s="12" t="inlineStr">
        <is>
          <t>Module 06</t>
        </is>
      </c>
      <c r="B71" s="19" t="inlineStr">
        <is>
          <t>M06-F01</t>
        </is>
      </c>
      <c r="C71" s="12" t="inlineStr">
        <is>
          <t>Report Creation</t>
        </is>
      </c>
      <c r="D71" s="13" t="n">
        <v>3</v>
      </c>
      <c r="E71" s="13" t="n">
        <v>3</v>
      </c>
      <c r="F71" s="13" t="n">
        <v>0</v>
      </c>
      <c r="G71" s="13" t="n">
        <v>0</v>
      </c>
    </row>
    <row r="72" ht="22" customHeight="1">
      <c r="A72" s="10" t="inlineStr">
        <is>
          <t>Module 06</t>
        </is>
      </c>
      <c r="B72" s="18" t="inlineStr">
        <is>
          <t>M06-F02</t>
        </is>
      </c>
      <c r="C72" s="10" t="inlineStr">
        <is>
          <t>Draft Saving</t>
        </is>
      </c>
      <c r="D72" s="11" t="n">
        <v>3</v>
      </c>
      <c r="E72" s="11" t="n">
        <v>3</v>
      </c>
      <c r="F72" s="11" t="n">
        <v>0</v>
      </c>
      <c r="G72" s="11" t="n">
        <v>0</v>
      </c>
    </row>
    <row r="73" ht="22" customHeight="1">
      <c r="A73" s="12" t="inlineStr">
        <is>
          <t>Module 06</t>
        </is>
      </c>
      <c r="B73" s="19" t="inlineStr">
        <is>
          <t>M06-F03</t>
        </is>
      </c>
      <c r="C73" s="12" t="inlineStr">
        <is>
          <t>Submission Validation</t>
        </is>
      </c>
      <c r="D73" s="13" t="n">
        <v>9</v>
      </c>
      <c r="E73" s="13" t="n">
        <v>7</v>
      </c>
      <c r="F73" s="13" t="n">
        <v>2</v>
      </c>
      <c r="G73" s="13" t="n">
        <v>0</v>
      </c>
    </row>
    <row r="74" ht="22" customHeight="1">
      <c r="A74" s="10" t="inlineStr">
        <is>
          <t>Module 06</t>
        </is>
      </c>
      <c r="B74" s="18" t="inlineStr">
        <is>
          <t>M06-F04</t>
        </is>
      </c>
      <c r="C74" s="10" t="inlineStr">
        <is>
          <t>Auto-calculated End Date</t>
        </is>
      </c>
      <c r="D74" s="11" t="n">
        <v>3</v>
      </c>
      <c r="E74" s="11" t="n">
        <v>3</v>
      </c>
      <c r="F74" s="11" t="n">
        <v>0</v>
      </c>
      <c r="G74" s="11" t="n">
        <v>0</v>
      </c>
    </row>
    <row r="75" ht="22" customHeight="1">
      <c r="A75" s="12" t="inlineStr">
        <is>
          <t>Module 06</t>
        </is>
      </c>
      <c r="B75" s="19" t="inlineStr">
        <is>
          <t>M06-F05</t>
        </is>
      </c>
      <c r="C75" s="12" t="inlineStr">
        <is>
          <t>Dynamic Task Table</t>
        </is>
      </c>
      <c r="D75" s="13" t="n">
        <v>3</v>
      </c>
      <c r="E75" s="13" t="n">
        <v>3</v>
      </c>
      <c r="F75" s="13" t="n">
        <v>0</v>
      </c>
      <c r="G75" s="13" t="n">
        <v>0</v>
      </c>
    </row>
    <row r="76" ht="22" customHeight="1">
      <c r="A76" s="10" t="inlineStr">
        <is>
          <t>Module 06</t>
        </is>
      </c>
      <c r="B76" s="18" t="inlineStr">
        <is>
          <t>M06-F06</t>
        </is>
      </c>
      <c r="C76" s="10" t="inlineStr">
        <is>
          <t>Auto-calculated Total Hours</t>
        </is>
      </c>
      <c r="D76" s="11" t="n">
        <v>4</v>
      </c>
      <c r="E76" s="11" t="n">
        <v>4</v>
      </c>
      <c r="F76" s="11" t="n">
        <v>0</v>
      </c>
      <c r="G76" s="11" t="n">
        <v>0</v>
      </c>
    </row>
    <row r="77" ht="22" customHeight="1">
      <c r="A77" s="12" t="inlineStr">
        <is>
          <t>Module 06</t>
        </is>
      </c>
      <c r="B77" s="19" t="inlineStr">
        <is>
          <t>M06-F07</t>
        </is>
      </c>
      <c r="C77" s="12" t="inlineStr">
        <is>
          <t>Report Submission</t>
        </is>
      </c>
      <c r="D77" s="13" t="n">
        <v>2</v>
      </c>
      <c r="E77" s="13" t="n">
        <v>2</v>
      </c>
      <c r="F77" s="13" t="n">
        <v>0</v>
      </c>
      <c r="G77" s="13" t="n">
        <v>0</v>
      </c>
    </row>
    <row r="78" ht="22" customHeight="1">
      <c r="A78" s="10" t="inlineStr">
        <is>
          <t>Module 06</t>
        </is>
      </c>
      <c r="B78" s="18" t="inlineStr">
        <is>
          <t>M06-F08</t>
        </is>
      </c>
      <c r="C78" s="10" t="inlineStr">
        <is>
          <t>Automatic Email Notification</t>
        </is>
      </c>
      <c r="D78" s="11" t="n">
        <v>2</v>
      </c>
      <c r="E78" s="11" t="n">
        <v>2</v>
      </c>
      <c r="F78" s="11" t="n">
        <v>0</v>
      </c>
      <c r="G78" s="11" t="n">
        <v>0</v>
      </c>
    </row>
    <row r="79" ht="22" customHeight="1">
      <c r="A79" s="12" t="inlineStr">
        <is>
          <t>Module 06</t>
        </is>
      </c>
      <c r="B79" s="19" t="inlineStr">
        <is>
          <t>M06-F09</t>
        </is>
      </c>
      <c r="C79" s="12" t="inlineStr">
        <is>
          <t>Staff View of Student Reports</t>
        </is>
      </c>
      <c r="D79" s="13" t="n">
        <v>2</v>
      </c>
      <c r="E79" s="13" t="n">
        <v>2</v>
      </c>
      <c r="F79" s="13" t="n">
        <v>0</v>
      </c>
      <c r="G79" s="13" t="n">
        <v>0</v>
      </c>
    </row>
    <row r="80" ht="22" customHeight="1">
      <c r="A80" s="10" t="inlineStr">
        <is>
          <t>Module 07</t>
        </is>
      </c>
      <c r="B80" s="18" t="inlineStr">
        <is>
          <t>M07-F01</t>
        </is>
      </c>
      <c r="C80" s="10" t="inlineStr">
        <is>
          <t>Three-tier Hierarchy</t>
        </is>
      </c>
      <c r="D80" s="11" t="n">
        <v>7</v>
      </c>
      <c r="E80" s="11" t="n">
        <v>7</v>
      </c>
      <c r="F80" s="11" t="n">
        <v>0</v>
      </c>
      <c r="G80" s="11" t="n">
        <v>0</v>
      </c>
    </row>
    <row r="81" ht="22" customHeight="1">
      <c r="A81" s="12" t="inlineStr">
        <is>
          <t>Module 07</t>
        </is>
      </c>
      <c r="B81" s="19" t="inlineStr">
        <is>
          <t>M07-F02</t>
        </is>
      </c>
      <c r="C81" s="12" t="inlineStr">
        <is>
          <t>Category Management</t>
        </is>
      </c>
      <c r="D81" s="13" t="n">
        <v>3</v>
      </c>
      <c r="E81" s="13" t="n">
        <v>2</v>
      </c>
      <c r="F81" s="13" t="n">
        <v>1</v>
      </c>
      <c r="G81" s="13" t="n">
        <v>0</v>
      </c>
    </row>
    <row r="82" ht="22" customHeight="1">
      <c r="A82" s="10" t="inlineStr">
        <is>
          <t>Module 07</t>
        </is>
      </c>
      <c r="B82" s="18" t="inlineStr">
        <is>
          <t>M07-F03</t>
        </is>
      </c>
      <c r="C82" s="10" t="inlineStr">
        <is>
          <t>Course Archiving / Restoring</t>
        </is>
      </c>
      <c r="D82" s="11" t="n">
        <v>6</v>
      </c>
      <c r="E82" s="11" t="n">
        <v>5</v>
      </c>
      <c r="F82" s="11" t="n">
        <v>1</v>
      </c>
      <c r="G82" s="11" t="n">
        <v>0</v>
      </c>
    </row>
    <row r="83" ht="22" customHeight="1">
      <c r="A83" s="12" t="inlineStr">
        <is>
          <t>Module 07</t>
        </is>
      </c>
      <c r="B83" s="19" t="inlineStr">
        <is>
          <t>M07-F04</t>
        </is>
      </c>
      <c r="C83" s="12" t="inlineStr">
        <is>
          <t>Session Deletion</t>
        </is>
      </c>
      <c r="D83" s="13" t="n">
        <v>4</v>
      </c>
      <c r="E83" s="13" t="n">
        <v>2</v>
      </c>
      <c r="F83" s="13" t="n">
        <v>2</v>
      </c>
      <c r="G83" s="13" t="n">
        <v>0</v>
      </c>
    </row>
    <row r="84" ht="22" customHeight="1">
      <c r="A84" s="10" t="inlineStr">
        <is>
          <t>Module 07</t>
        </is>
      </c>
      <c r="B84" s="18" t="inlineStr">
        <is>
          <t>M07-F05</t>
        </is>
      </c>
      <c r="C84" s="10" t="inlineStr">
        <is>
          <t>Exam Deletion</t>
        </is>
      </c>
      <c r="D84" s="11" t="n">
        <v>4</v>
      </c>
      <c r="E84" s="11" t="n">
        <v>2</v>
      </c>
      <c r="F84" s="11" t="n">
        <v>2</v>
      </c>
      <c r="G84" s="11" t="n">
        <v>0</v>
      </c>
    </row>
    <row r="85" ht="22" customHeight="1">
      <c r="A85" s="12" t="inlineStr">
        <is>
          <t>Module 07</t>
        </is>
      </c>
      <c r="B85" s="19" t="inlineStr">
        <is>
          <t>M07-F06</t>
        </is>
      </c>
      <c r="C85" s="12" t="inlineStr">
        <is>
          <t>Material Attachment</t>
        </is>
      </c>
      <c r="D85" s="13" t="n">
        <v>6</v>
      </c>
      <c r="E85" s="13" t="n">
        <v>5</v>
      </c>
      <c r="F85" s="13" t="n">
        <v>1</v>
      </c>
      <c r="G85" s="13" t="n">
        <v>0</v>
      </c>
    </row>
    <row r="86" ht="22" customHeight="1">
      <c r="A86" s="10" t="inlineStr">
        <is>
          <t>Module 07</t>
        </is>
      </c>
      <c r="B86" s="18" t="inlineStr">
        <is>
          <t>M07-F07</t>
        </is>
      </c>
      <c r="C86" s="10" t="inlineStr">
        <is>
          <t>CSV Export / Import</t>
        </is>
      </c>
      <c r="D86" s="11" t="n">
        <v>8</v>
      </c>
      <c r="E86" s="11" t="n">
        <v>8</v>
      </c>
      <c r="F86" s="11" t="n">
        <v>0</v>
      </c>
      <c r="G86" s="11" t="n">
        <v>0</v>
      </c>
    </row>
    <row r="87" ht="22" customHeight="1">
      <c r="A87" s="12" t="inlineStr">
        <is>
          <t>Module 07</t>
        </is>
      </c>
      <c r="B87" s="19" t="inlineStr">
        <is>
          <t>M07-SEC</t>
        </is>
      </c>
      <c r="C87" s="12" t="inlineStr">
        <is>
          <t>Access Control &amp; Security</t>
        </is>
      </c>
      <c r="D87" s="13" t="n">
        <v>3</v>
      </c>
      <c r="E87" s="13" t="n">
        <v>3</v>
      </c>
      <c r="F87" s="13" t="n">
        <v>0</v>
      </c>
      <c r="G87" s="13" t="n">
        <v>0</v>
      </c>
    </row>
    <row r="88" ht="22" customHeight="1">
      <c r="A88" s="10" t="inlineStr">
        <is>
          <t>Module 08</t>
        </is>
      </c>
      <c r="B88" s="18" t="inlineStr">
        <is>
          <t>M08-F01</t>
        </is>
      </c>
      <c r="C88" s="10" t="inlineStr">
        <is>
          <t>Photo Upload</t>
        </is>
      </c>
      <c r="D88" s="11" t="n">
        <v>13</v>
      </c>
      <c r="E88" s="11" t="n">
        <v>7</v>
      </c>
      <c r="F88" s="11" t="n">
        <v>5</v>
      </c>
      <c r="G88" s="11" t="n">
        <v>1</v>
      </c>
    </row>
    <row r="89" ht="22" customHeight="1">
      <c r="A89" s="12" t="inlineStr">
        <is>
          <t>Module 08</t>
        </is>
      </c>
      <c r="B89" s="19" t="inlineStr">
        <is>
          <t>M08-F02</t>
        </is>
      </c>
      <c r="C89" s="12" t="inlineStr">
        <is>
          <t>Photo Replacement</t>
        </is>
      </c>
      <c r="D89" s="13" t="n">
        <v>1</v>
      </c>
      <c r="E89" s="13" t="n">
        <v>1</v>
      </c>
      <c r="F89" s="13" t="n">
        <v>0</v>
      </c>
      <c r="G89" s="13" t="n">
        <v>0</v>
      </c>
    </row>
    <row r="90" ht="22" customHeight="1">
      <c r="A90" s="10" t="inlineStr">
        <is>
          <t>Module 08</t>
        </is>
      </c>
      <c r="B90" s="18" t="inlineStr">
        <is>
          <t>M08-F03</t>
        </is>
      </c>
      <c r="C90" s="10" t="inlineStr">
        <is>
          <t>Photo Removal</t>
        </is>
      </c>
      <c r="D90" s="11" t="n">
        <v>1</v>
      </c>
      <c r="E90" s="11" t="n">
        <v>1</v>
      </c>
      <c r="F90" s="11" t="n">
        <v>0</v>
      </c>
      <c r="G90" s="11" t="n">
        <v>0</v>
      </c>
    </row>
    <row r="91" ht="22" customHeight="1">
      <c r="A91" s="12" t="inlineStr">
        <is>
          <t>Module 08</t>
        </is>
      </c>
      <c r="B91" s="19" t="inlineStr">
        <is>
          <t>M08-F04</t>
        </is>
      </c>
      <c r="C91" s="12" t="inlineStr">
        <is>
          <t>Fallback Avatar</t>
        </is>
      </c>
      <c r="D91" s="13" t="n">
        <v>2</v>
      </c>
      <c r="E91" s="13" t="n">
        <v>2</v>
      </c>
      <c r="F91" s="13" t="n">
        <v>0</v>
      </c>
      <c r="G91" s="13" t="n">
        <v>0</v>
      </c>
    </row>
    <row r="92" ht="22" customHeight="1">
      <c r="A92" s="10" t="inlineStr">
        <is>
          <t>Module 08</t>
        </is>
      </c>
      <c r="B92" s="18" t="inlineStr">
        <is>
          <t>M08-F05</t>
        </is>
      </c>
      <c r="C92" s="10" t="inlineStr">
        <is>
          <t>Restricted Access</t>
        </is>
      </c>
      <c r="D92" s="11" t="n">
        <v>3</v>
      </c>
      <c r="E92" s="11" t="n">
        <v>3</v>
      </c>
      <c r="F92" s="11" t="n">
        <v>0</v>
      </c>
      <c r="G92" s="11" t="n">
        <v>0</v>
      </c>
    </row>
    <row r="93" ht="22" customHeight="1">
      <c r="A93" s="12" t="inlineStr">
        <is>
          <t>Module 09</t>
        </is>
      </c>
      <c r="B93" s="19" t="inlineStr">
        <is>
          <t>M09-F01</t>
        </is>
      </c>
      <c r="C93" s="12" t="inlineStr">
        <is>
          <t>Role-based Auto-login</t>
        </is>
      </c>
      <c r="D93" s="13" t="n">
        <v>5</v>
      </c>
      <c r="E93" s="13" t="n">
        <v>5</v>
      </c>
      <c r="F93" s="13" t="n">
        <v>0</v>
      </c>
      <c r="G93" s="13" t="n">
        <v>0</v>
      </c>
    </row>
    <row r="94" ht="22" customHeight="1">
      <c r="A94" s="10" t="inlineStr">
        <is>
          <t>Module 09</t>
        </is>
      </c>
      <c r="B94" s="18" t="inlineStr">
        <is>
          <t>M09-F02</t>
        </is>
      </c>
      <c r="C94" s="10" t="inlineStr">
        <is>
          <t>Read-only Academic View</t>
        </is>
      </c>
      <c r="D94" s="11" t="n">
        <v>4</v>
      </c>
      <c r="E94" s="11" t="n">
        <v>2</v>
      </c>
      <c r="F94" s="11" t="n">
        <v>2</v>
      </c>
      <c r="G94" s="11" t="n">
        <v>0</v>
      </c>
    </row>
    <row r="95" ht="22" customHeight="1">
      <c r="A95" s="12" t="inlineStr">
        <is>
          <t>Module 09</t>
        </is>
      </c>
      <c r="B95" s="19" t="inlineStr">
        <is>
          <t>M09-F03</t>
        </is>
      </c>
      <c r="C95" s="12" t="inlineStr">
        <is>
          <t>Empty Grade Display</t>
        </is>
      </c>
      <c r="D95" s="13" t="n">
        <v>1</v>
      </c>
      <c r="E95" s="13" t="n">
        <v>1</v>
      </c>
      <c r="F95" s="13" t="n">
        <v>0</v>
      </c>
      <c r="G95" s="13" t="n">
        <v>0</v>
      </c>
    </row>
    <row r="96" ht="22" customHeight="1">
      <c r="A96" s="10" t="inlineStr">
        <is>
          <t>Module 09</t>
        </is>
      </c>
      <c r="B96" s="18" t="inlineStr">
        <is>
          <t>M09-F04</t>
        </is>
      </c>
      <c r="C96" s="10" t="inlineStr">
        <is>
          <t>Score Color Coding</t>
        </is>
      </c>
      <c r="D96" s="11" t="n">
        <v>6</v>
      </c>
      <c r="E96" s="11" t="n">
        <v>0</v>
      </c>
      <c r="F96" s="11" t="n">
        <v>6</v>
      </c>
      <c r="G96" s="11" t="n">
        <v>0</v>
      </c>
    </row>
    <row r="97" ht="22" customHeight="1">
      <c r="A97" s="12" t="inlineStr">
        <is>
          <t>Module 09</t>
        </is>
      </c>
      <c r="B97" s="19" t="inlineStr">
        <is>
          <t>M09-F05</t>
        </is>
      </c>
      <c r="C97" s="12" t="inlineStr">
        <is>
          <t>Re-study Flag Display</t>
        </is>
      </c>
      <c r="D97" s="13" t="n">
        <v>1</v>
      </c>
      <c r="E97" s="13" t="n">
        <v>1</v>
      </c>
      <c r="F97" s="13" t="n">
        <v>0</v>
      </c>
      <c r="G97" s="13" t="n">
        <v>0</v>
      </c>
    </row>
    <row r="98" ht="22" customHeight="1">
      <c r="A98" s="10" t="inlineStr">
        <is>
          <t>Module 09</t>
        </is>
      </c>
      <c r="B98" s="18" t="inlineStr">
        <is>
          <t>M09-F06</t>
        </is>
      </c>
      <c r="C98" s="10" t="inlineStr">
        <is>
          <t>Quick Access to Bi-Weekly Reports</t>
        </is>
      </c>
      <c r="D98" s="11" t="n">
        <v>3</v>
      </c>
      <c r="E98" s="11" t="n">
        <v>3</v>
      </c>
      <c r="F98" s="11" t="n">
        <v>0</v>
      </c>
      <c r="G98" s="11" t="n">
        <v>0</v>
      </c>
    </row>
    <row r="99" ht="22" customHeight="1">
      <c r="A99" s="12" t="inlineStr">
        <is>
          <t>Module 09</t>
        </is>
      </c>
      <c r="B99" s="19" t="inlineStr">
        <is>
          <t>M09-F07</t>
        </is>
      </c>
      <c r="C99" s="12" t="inlineStr">
        <is>
          <t>Data Isolation</t>
        </is>
      </c>
      <c r="D99" s="13" t="n">
        <v>2</v>
      </c>
      <c r="E99" s="13" t="n">
        <v>2</v>
      </c>
      <c r="F99" s="13" t="n">
        <v>0</v>
      </c>
      <c r="G99" s="13" t="n">
        <v>0</v>
      </c>
    </row>
    <row r="100" ht="22" customHeight="1">
      <c r="A100" s="10" t="inlineStr">
        <is>
          <t>Module 09</t>
        </is>
      </c>
      <c r="B100" s="18" t="inlineStr">
        <is>
          <t>M09-UI</t>
        </is>
      </c>
      <c r="C100" s="10" t="inlineStr">
        <is>
          <t>User Interface &amp; Responsiveness</t>
        </is>
      </c>
      <c r="D100" s="11" t="n">
        <v>1</v>
      </c>
      <c r="E100" s="11" t="n">
        <v>0</v>
      </c>
      <c r="F100" s="11" t="n">
        <v>1</v>
      </c>
      <c r="G100" s="11" t="n">
        <v>0</v>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0"/>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05" customHeight="1">
      <c r="A2" s="21" t="inlineStr">
        <is>
          <t>TC-M01-001</t>
        </is>
      </c>
      <c r="B2" s="21" t="inlineStr">
        <is>
          <t>Module 01</t>
        </is>
      </c>
      <c r="C2" s="22" t="inlineStr">
        <is>
          <t>M01-F01</t>
        </is>
      </c>
      <c r="D2" s="23" t="inlineStr">
        <is>
          <t>Batch Creation</t>
        </is>
      </c>
      <c r="E2" s="23" t="inlineStr">
        <is>
          <t>Create Batch with Valid Name</t>
        </is>
      </c>
      <c r="F2" s="23" t="inlineStr">
        <is>
          <t>Verify that a batch can be created using a valid batch name matching the format PNVyyX (e.g. PNV26A).</t>
        </is>
      </c>
      <c r="G2" s="23" t="inlineStr">
        <is>
          <t>Staff user is logged in.</t>
        </is>
      </c>
      <c r="H2" s="23" t="inlineStr">
        <is>
          <t>BatchName=PNV26A; Status=Active</t>
        </is>
      </c>
      <c r="I2" s="23" t="inlineStr">
        <is>
          <t>1. Open Batch Management;
2. Click Create Batch;
3. Enter PNV26A as Batch Name;
4. Select Active status;
5. Click Save</t>
        </is>
      </c>
      <c r="J2" s="23" t="inlineStr">
        <is>
          <t>Batch is created successfully. Success notification appears. PNV26A is displayed in the batch list.</t>
        </is>
      </c>
      <c r="K2" s="23" t="inlineStr"/>
      <c r="L2" s="24" t="inlineStr">
        <is>
          <t>Not Run</t>
        </is>
      </c>
      <c r="M2" s="25" t="inlineStr">
        <is>
          <t>High</t>
        </is>
      </c>
      <c r="N2" s="23" t="inlineStr">
        <is>
          <t>Related Requirement: M01-F01, Scenario: BS-01</t>
        </is>
      </c>
    </row>
    <row r="3" ht="90" customHeight="1">
      <c r="A3" s="26" t="inlineStr">
        <is>
          <t>TC-M01-002</t>
        </is>
      </c>
      <c r="B3" s="26" t="inlineStr">
        <is>
          <t>Module 01</t>
        </is>
      </c>
      <c r="C3" s="27" t="inlineStr">
        <is>
          <t>M01-F01</t>
        </is>
      </c>
      <c r="D3" s="28" t="inlineStr">
        <is>
          <t>Batch Creation</t>
        </is>
      </c>
      <c r="E3" s="28" t="inlineStr">
        <is>
          <t>Create Batch with Invalid Name Format - Lowercase Letter</t>
        </is>
      </c>
      <c r="F3" s="28" t="inlineStr">
        <is>
          <t>Verify that the system rejects batch creation if the alphabet code is in lowercase (e.g. PNV26a).</t>
        </is>
      </c>
      <c r="G3" s="28" t="inlineStr">
        <is>
          <t>Staff user is logged in.</t>
        </is>
      </c>
      <c r="H3" s="28" t="inlineStr">
        <is>
          <t>BatchName=PNV26a; Status=Active</t>
        </is>
      </c>
      <c r="I3" s="28" t="inlineStr">
        <is>
          <t>1. Open Batch Management;
2. Click Create Batch;
3. Enter PNV26a as Batch Name;
4. Click Save</t>
        </is>
      </c>
      <c r="J3" s="28" t="inlineStr">
        <is>
          <t>System rejects creation. Error message appears: "Invalid batch name. Use format PNVyyX (e.g., PNV26A)."</t>
        </is>
      </c>
      <c r="K3" s="28" t="inlineStr"/>
      <c r="L3" s="24" t="inlineStr">
        <is>
          <t>Not Run</t>
        </is>
      </c>
      <c r="M3" s="25" t="inlineStr">
        <is>
          <t>High</t>
        </is>
      </c>
      <c r="N3" s="28" t="inlineStr">
        <is>
          <t>Related Requirement: M01-F01, Scenario: BS-01</t>
        </is>
      </c>
    </row>
    <row r="4" ht="90" customHeight="1">
      <c r="A4" s="21" t="inlineStr">
        <is>
          <t>TC-M01-003</t>
        </is>
      </c>
      <c r="B4" s="21" t="inlineStr">
        <is>
          <t>Module 01</t>
        </is>
      </c>
      <c r="C4" s="22" t="inlineStr">
        <is>
          <t>M01-F01</t>
        </is>
      </c>
      <c r="D4" s="23" t="inlineStr">
        <is>
          <t>Batch Creation</t>
        </is>
      </c>
      <c r="E4" s="23" t="inlineStr">
        <is>
          <t>Create Batch with Invalid Name Format - Wrong Prefix</t>
        </is>
      </c>
      <c r="F4" s="23" t="inlineStr">
        <is>
          <t>Verify that the system rejects batch creation if the prefix is not PNV (e.g. ABC26A).</t>
        </is>
      </c>
      <c r="G4" s="23" t="inlineStr">
        <is>
          <t>Staff user is logged in.</t>
        </is>
      </c>
      <c r="H4" s="23" t="inlineStr">
        <is>
          <t>BatchName=ABC26A; Status=Active</t>
        </is>
      </c>
      <c r="I4" s="23" t="inlineStr">
        <is>
          <t>1. Open Batch Management;
2. Click Create Batch;
3. Enter ABC26A as Batch Name;
4. Click Save</t>
        </is>
      </c>
      <c r="J4" s="23" t="inlineStr">
        <is>
          <t>System rejects creation. Error message appears: "Invalid batch name. Use format PNVyyX (e.g., PNV26A)."</t>
        </is>
      </c>
      <c r="K4" s="23" t="inlineStr"/>
      <c r="L4" s="24" t="inlineStr">
        <is>
          <t>Not Run</t>
        </is>
      </c>
      <c r="M4" s="25" t="inlineStr">
        <is>
          <t>High</t>
        </is>
      </c>
      <c r="N4" s="23" t="inlineStr">
        <is>
          <t>Related Requirement: M01-F01, Scenario: BS-01</t>
        </is>
      </c>
    </row>
    <row r="5" ht="90" customHeight="1">
      <c r="A5" s="26" t="inlineStr">
        <is>
          <t>TC-M01-004</t>
        </is>
      </c>
      <c r="B5" s="26" t="inlineStr">
        <is>
          <t>Module 01</t>
        </is>
      </c>
      <c r="C5" s="27" t="inlineStr">
        <is>
          <t>M01-F01</t>
        </is>
      </c>
      <c r="D5" s="28" t="inlineStr">
        <is>
          <t>Batch Creation</t>
        </is>
      </c>
      <c r="E5" s="28" t="inlineStr">
        <is>
          <t>Create Batch with Invalid Name Format - 4-digit Year</t>
        </is>
      </c>
      <c r="F5" s="28" t="inlineStr">
        <is>
          <t>Verify that the system rejects batch creation if the year is written in 4 digits (e.g. PNV2026A).</t>
        </is>
      </c>
      <c r="G5" s="28" t="inlineStr">
        <is>
          <t>Staff user is logged in.</t>
        </is>
      </c>
      <c r="H5" s="28" t="inlineStr">
        <is>
          <t>BatchName=PNV2026A; Status=Active</t>
        </is>
      </c>
      <c r="I5" s="28" t="inlineStr">
        <is>
          <t>1. Open Batch Management;
2. Click Create Batch;
3. Enter PNV2026A as Batch Name;
4. Click Save</t>
        </is>
      </c>
      <c r="J5" s="28" t="inlineStr">
        <is>
          <t>System rejects creation. Error message appears: "Invalid batch name. Use format PNVyyX (e.g., PNV26A)."</t>
        </is>
      </c>
      <c r="K5" s="28" t="inlineStr"/>
      <c r="L5" s="24" t="inlineStr">
        <is>
          <t>Not Run</t>
        </is>
      </c>
      <c r="M5" s="25" t="inlineStr">
        <is>
          <t>High</t>
        </is>
      </c>
      <c r="N5" s="28" t="inlineStr">
        <is>
          <t>Related Requirement: M01-F01, Scenario: BS-01</t>
        </is>
      </c>
    </row>
    <row r="6" ht="90" customHeight="1">
      <c r="A6" s="21" t="inlineStr">
        <is>
          <t>TC-M01-005</t>
        </is>
      </c>
      <c r="B6" s="21" t="inlineStr">
        <is>
          <t>Module 01</t>
        </is>
      </c>
      <c r="C6" s="22" t="inlineStr">
        <is>
          <t>M01-F01</t>
        </is>
      </c>
      <c r="D6" s="23" t="inlineStr">
        <is>
          <t>Batch Creation</t>
        </is>
      </c>
      <c r="E6" s="23" t="inlineStr">
        <is>
          <t>Create Batch with Invalid Name Format - Multiple Letters</t>
        </is>
      </c>
      <c r="F6" s="23" t="inlineStr">
        <is>
          <t>Verify that the system rejects batch creation if there are multiple suffix letters (e.g. PNV26AA).</t>
        </is>
      </c>
      <c r="G6" s="23" t="inlineStr">
        <is>
          <t>Staff user is logged in.</t>
        </is>
      </c>
      <c r="H6" s="23" t="inlineStr">
        <is>
          <t>BatchName=PNV26AA; Status=Active</t>
        </is>
      </c>
      <c r="I6" s="23" t="inlineStr">
        <is>
          <t>1. Open Batch Management;
2. Click Create Batch;
3. Enter PNV26AA as Batch Name;
4. Click Save</t>
        </is>
      </c>
      <c r="J6" s="23" t="inlineStr">
        <is>
          <t>System rejects creation. Error message appears: "Invalid batch name. Use format PNVyyX (e.g., PNV26A)."</t>
        </is>
      </c>
      <c r="K6" s="23" t="inlineStr"/>
      <c r="L6" s="24" t="inlineStr">
        <is>
          <t>Not Run</t>
        </is>
      </c>
      <c r="M6" s="25" t="inlineStr">
        <is>
          <t>High</t>
        </is>
      </c>
      <c r="N6" s="23" t="inlineStr">
        <is>
          <t>Related Requirement: M01-F01, Scenario: BS-01</t>
        </is>
      </c>
    </row>
    <row r="7" ht="90" customHeight="1">
      <c r="A7" s="26" t="inlineStr">
        <is>
          <t>TC-M01-006</t>
        </is>
      </c>
      <c r="B7" s="26" t="inlineStr">
        <is>
          <t>Module 01</t>
        </is>
      </c>
      <c r="C7" s="27" t="inlineStr">
        <is>
          <t>M01-F01</t>
        </is>
      </c>
      <c r="D7" s="28" t="inlineStr">
        <is>
          <t>Batch Creation</t>
        </is>
      </c>
      <c r="E7" s="28" t="inlineStr">
        <is>
          <t>Create Batch with Empty Name</t>
        </is>
      </c>
      <c r="F7" s="28" t="inlineStr">
        <is>
          <t>Verify that a batch cannot be saved with an empty name.</t>
        </is>
      </c>
      <c r="G7" s="28" t="inlineStr">
        <is>
          <t>Staff user is logged in.</t>
        </is>
      </c>
      <c r="H7" s="28" t="inlineStr">
        <is>
          <t>BatchName=; Status=Active</t>
        </is>
      </c>
      <c r="I7" s="28" t="inlineStr">
        <is>
          <t>1. Open Batch Management;
2. Click Create Batch;
3. Leave Batch Name empty;
4. Click Save</t>
        </is>
      </c>
      <c r="J7" s="28" t="inlineStr">
        <is>
          <t>System rejects save. Error message appears indicating batch name is required. Saving is blocked.</t>
        </is>
      </c>
      <c r="K7" s="28" t="inlineStr"/>
      <c r="L7" s="24" t="inlineStr">
        <is>
          <t>Not Run</t>
        </is>
      </c>
      <c r="M7" s="25" t="inlineStr">
        <is>
          <t>High</t>
        </is>
      </c>
      <c r="N7" s="28" t="inlineStr">
        <is>
          <t>Related Requirement: M01-F01, Scenario: BS-01</t>
        </is>
      </c>
    </row>
    <row r="8" ht="90" customHeight="1">
      <c r="A8" s="21" t="inlineStr">
        <is>
          <t>TC-M01-007</t>
        </is>
      </c>
      <c r="B8" s="21" t="inlineStr">
        <is>
          <t>Module 01</t>
        </is>
      </c>
      <c r="C8" s="22" t="inlineStr">
        <is>
          <t>M01-F01</t>
        </is>
      </c>
      <c r="D8" s="23" t="inlineStr">
        <is>
          <t>Batch Creation</t>
        </is>
      </c>
      <c r="E8" s="23" t="inlineStr">
        <is>
          <t>Create Batch with Duplicate Name</t>
        </is>
      </c>
      <c r="F8" s="23" t="inlineStr">
        <is>
          <t>Verify that the system rejects batch creation if the name already exists (case-insensitive).</t>
        </is>
      </c>
      <c r="G8" s="23" t="inlineStr">
        <is>
          <t>Staff user is logged in. Batch PNV26A already exists.</t>
        </is>
      </c>
      <c r="H8" s="23" t="inlineStr">
        <is>
          <t>BatchName=pnv26a; Status=Active</t>
        </is>
      </c>
      <c r="I8" s="23" t="inlineStr">
        <is>
          <t>1. Open Batch Management;
2. Click Create Batch;
3. Enter pnv26a (lowercase) as Batch Name;
4. Click Save</t>
        </is>
      </c>
      <c r="J8" s="23" t="inlineStr">
        <is>
          <t>System rejects creation. Error message appears: "A batch named "PNV26A" already exists."</t>
        </is>
      </c>
      <c r="K8" s="23" t="inlineStr"/>
      <c r="L8" s="24" t="inlineStr">
        <is>
          <t>Not Run</t>
        </is>
      </c>
      <c r="M8" s="25" t="inlineStr">
        <is>
          <t>High</t>
        </is>
      </c>
      <c r="N8" s="23" t="inlineStr">
        <is>
          <t>Related Requirement: M01-F01, Scenario: BS-01</t>
        </is>
      </c>
    </row>
    <row r="9" ht="90" customHeight="1">
      <c r="A9" s="26" t="inlineStr">
        <is>
          <t>TC-M01-008</t>
        </is>
      </c>
      <c r="B9" s="26" t="inlineStr">
        <is>
          <t>Module 01</t>
        </is>
      </c>
      <c r="C9" s="27" t="inlineStr">
        <is>
          <t>M01-F02</t>
        </is>
      </c>
      <c r="D9" s="28" t="inlineStr">
        <is>
          <t>Batch Editing</t>
        </is>
      </c>
      <c r="E9" s="28" t="inlineStr">
        <is>
          <t>Rename Batch with Valid Unique Name</t>
        </is>
      </c>
      <c r="F9" s="28" t="inlineStr">
        <is>
          <t>Verify that an existing batch can be successfully renamed to a new valid unique name.</t>
        </is>
      </c>
      <c r="G9" s="28" t="inlineStr">
        <is>
          <t>Staff user is logged in. Batch PNV26A exists.</t>
        </is>
      </c>
      <c r="H9" s="28" t="inlineStr">
        <is>
          <t>OldBatchName=PNV26A; NewBatchName=PNV26C</t>
        </is>
      </c>
      <c r="I9" s="28" t="inlineStr">
        <is>
          <t>1. Open Batch Management;
2. Select batch PNV26A and click Edit;
3. Change name to PNV26C;
4. Click Save</t>
        </is>
      </c>
      <c r="J9" s="28" t="inlineStr">
        <is>
          <t>Batch is renamed successfully. Success notification appears. PNV26C is displayed in the batch list.</t>
        </is>
      </c>
      <c r="K9" s="28" t="inlineStr"/>
      <c r="L9" s="24" t="inlineStr">
        <is>
          <t>Not Run</t>
        </is>
      </c>
      <c r="M9" s="25" t="inlineStr">
        <is>
          <t>High</t>
        </is>
      </c>
      <c r="N9" s="28" t="inlineStr">
        <is>
          <t>Related Requirement: M01-F02, Scenario: BS-02</t>
        </is>
      </c>
    </row>
    <row r="10" ht="90" customHeight="1">
      <c r="A10" s="21" t="inlineStr">
        <is>
          <t>TC-M01-009</t>
        </is>
      </c>
      <c r="B10" s="21" t="inlineStr">
        <is>
          <t>Module 01</t>
        </is>
      </c>
      <c r="C10" s="22" t="inlineStr">
        <is>
          <t>M01-F02</t>
        </is>
      </c>
      <c r="D10" s="23" t="inlineStr">
        <is>
          <t>Batch Editing</t>
        </is>
      </c>
      <c r="E10" s="23" t="inlineStr">
        <is>
          <t>Rename Batch to Existing Name Blocked</t>
        </is>
      </c>
      <c r="F10" s="23" t="inlineStr">
        <is>
          <t>Verify that renaming a batch to a name that already exists is blocked by the system.</t>
        </is>
      </c>
      <c r="G10" s="23" t="inlineStr">
        <is>
          <t>Staff user is logged in. Batches PNV26A and PNV26B exist.</t>
        </is>
      </c>
      <c r="H10" s="23" t="inlineStr">
        <is>
          <t>TargetBatch=PNV26B; NewBatchName=PNV26A</t>
        </is>
      </c>
      <c r="I10" s="23" t="inlineStr">
        <is>
          <t>1. Open Batch Management;
2. Select batch PNV26B and click Edit;
3. Change name to PNV26A;
4. Click Save</t>
        </is>
      </c>
      <c r="J10" s="23" t="inlineStr">
        <is>
          <t>System rejects update. Error message appears: "A batch named "PNV26A" already exists."</t>
        </is>
      </c>
      <c r="K10" s="23" t="inlineStr"/>
      <c r="L10" s="24" t="inlineStr">
        <is>
          <t>Not Run</t>
        </is>
      </c>
      <c r="M10" s="25" t="inlineStr">
        <is>
          <t>High</t>
        </is>
      </c>
      <c r="N10" s="23" t="inlineStr">
        <is>
          <t>Related Requirement: M01-F02, Scenario: BS-02</t>
        </is>
      </c>
    </row>
    <row r="11" ht="90" customHeight="1">
      <c r="A11" s="26" t="inlineStr">
        <is>
          <t>TC-M01-010</t>
        </is>
      </c>
      <c r="B11" s="26" t="inlineStr">
        <is>
          <t>Module 01</t>
        </is>
      </c>
      <c r="C11" s="27" t="inlineStr">
        <is>
          <t>M01-F02</t>
        </is>
      </c>
      <c r="D11" s="28" t="inlineStr">
        <is>
          <t>Batch Editing</t>
        </is>
      </c>
      <c r="E11" s="28" t="inlineStr">
        <is>
          <t>Rename Batch to Invalid Format Blocked</t>
        </is>
      </c>
      <c r="F11" s="28" t="inlineStr">
        <is>
          <t>Verify that renaming a batch to an invalid format is blocked by the system.</t>
        </is>
      </c>
      <c r="G11" s="28" t="inlineStr">
        <is>
          <t>Staff user is logged in. Batch PNV26A exists.</t>
        </is>
      </c>
      <c r="H11" s="28" t="inlineStr">
        <is>
          <t>TargetBatch=PNV26A; NewBatchName=PNV26AA</t>
        </is>
      </c>
      <c r="I11" s="28" t="inlineStr">
        <is>
          <t>1. Open Batch Management;
2. Select batch PNV26A and click Edit;
3. Change name to PNV26AA;
4. Click Save</t>
        </is>
      </c>
      <c r="J11" s="28" t="inlineStr">
        <is>
          <t>System rejects update. Error message appears: "Invalid batch name. Use format PNVyyX (e.g., PNV26A)."</t>
        </is>
      </c>
      <c r="K11" s="28" t="inlineStr"/>
      <c r="L11" s="24" t="inlineStr">
        <is>
          <t>Not Run</t>
        </is>
      </c>
      <c r="M11" s="25" t="inlineStr">
        <is>
          <t>High</t>
        </is>
      </c>
      <c r="N11" s="28" t="inlineStr">
        <is>
          <t>Related Requirement: M01-F02, Scenario: BS-02</t>
        </is>
      </c>
    </row>
    <row r="12" ht="90" customHeight="1">
      <c r="A12" s="21" t="inlineStr">
        <is>
          <t>TC-M01-011</t>
        </is>
      </c>
      <c r="B12" s="21" t="inlineStr">
        <is>
          <t>Module 01</t>
        </is>
      </c>
      <c r="C12" s="22" t="inlineStr">
        <is>
          <t>M01-F03</t>
        </is>
      </c>
      <c r="D12" s="23" t="inlineStr">
        <is>
          <t>Batch Archiving</t>
        </is>
      </c>
      <c r="E12" s="23" t="inlineStr">
        <is>
          <t>Archive Active Batch</t>
        </is>
      </c>
      <c r="F12" s="23" t="inlineStr">
        <is>
          <t>Verify that an active batch can be archived by setting its Active status to false.</t>
        </is>
      </c>
      <c r="G12" s="23" t="inlineStr">
        <is>
          <t>Staff user is logged in. Batch PNV26A is active.</t>
        </is>
      </c>
      <c r="H12" s="23" t="inlineStr">
        <is>
          <t>BatchName=PNV26A; ActiveStatus=false</t>
        </is>
      </c>
      <c r="I12" s="23" t="inlineStr">
        <is>
          <t>1. Open Batch Management;
2. Select batch PNV26A and click Archive (or edit and uncheck Active);
3. Confirm archive action</t>
        </is>
      </c>
      <c r="J12" s="23" t="inlineStr">
        <is>
          <t>Batch is archived successfully. Active status becomes false in database. The batch is hidden from active lists.</t>
        </is>
      </c>
      <c r="K12" s="23" t="inlineStr"/>
      <c r="L12" s="24" t="inlineStr">
        <is>
          <t>Not Run</t>
        </is>
      </c>
      <c r="M12" s="25" t="inlineStr">
        <is>
          <t>High</t>
        </is>
      </c>
      <c r="N12" s="23" t="inlineStr">
        <is>
          <t>Related Requirement: M01-F03, Scenario: BS-03</t>
        </is>
      </c>
    </row>
    <row r="13" ht="105" customHeight="1">
      <c r="A13" s="26" t="inlineStr">
        <is>
          <t>TC-M01-012</t>
        </is>
      </c>
      <c r="B13" s="26" t="inlineStr">
        <is>
          <t>Module 01</t>
        </is>
      </c>
      <c r="C13" s="27" t="inlineStr">
        <is>
          <t>M01-F03</t>
        </is>
      </c>
      <c r="D13" s="28" t="inlineStr">
        <is>
          <t>Batch Archiving</t>
        </is>
      </c>
      <c r="E13" s="28" t="inlineStr">
        <is>
          <t>Reactivate Archived Batch</t>
        </is>
      </c>
      <c r="F13" s="28" t="inlineStr">
        <is>
          <t>Verify that an archived batch can be reactivated by setting its Active status to true.</t>
        </is>
      </c>
      <c r="G13" s="28" t="inlineStr">
        <is>
          <t>Staff user is logged in. Batch PNV26A is archived (Active = false).</t>
        </is>
      </c>
      <c r="H13" s="28" t="inlineStr">
        <is>
          <t>BatchName=PNV26A; ActiveStatus=true</t>
        </is>
      </c>
      <c r="I13" s="28" t="inlineStr">
        <is>
          <t>1. Open Batch Management;
2. Filter by Archived batches;
3. Select batch PNV26A and click Reactivate;
4. Confirm reactivate action</t>
        </is>
      </c>
      <c r="J13" s="28" t="inlineStr">
        <is>
          <t>Batch is reactivated successfully. Active status becomes true in database. The batch appears in active lists.</t>
        </is>
      </c>
      <c r="K13" s="28" t="inlineStr"/>
      <c r="L13" s="24" t="inlineStr">
        <is>
          <t>Not Run</t>
        </is>
      </c>
      <c r="M13" s="25" t="inlineStr">
        <is>
          <t>High</t>
        </is>
      </c>
      <c r="N13" s="28" t="inlineStr">
        <is>
          <t>Related Requirement: M01-F03, Scenario: BS-03</t>
        </is>
      </c>
    </row>
    <row r="14" ht="75" customHeight="1">
      <c r="A14" s="21" t="inlineStr">
        <is>
          <t>TC-M01-013</t>
        </is>
      </c>
      <c r="B14" s="21" t="inlineStr">
        <is>
          <t>Module 01</t>
        </is>
      </c>
      <c r="C14" s="22" t="inlineStr">
        <is>
          <t>M01-F03</t>
        </is>
      </c>
      <c r="D14" s="23" t="inlineStr">
        <is>
          <t>Batch Archiving</t>
        </is>
      </c>
      <c r="E14" s="23" t="inlineStr">
        <is>
          <t>Verify No Permanent Batch Deletion Feature</t>
        </is>
      </c>
      <c r="F14" s="23" t="inlineStr">
        <is>
          <t>Verify that the system does not support permanent deletion of batches to preserve historical records.</t>
        </is>
      </c>
      <c r="G14" s="23" t="inlineStr">
        <is>
          <t>Staff user is logged in. Batch PNV26A exists.</t>
        </is>
      </c>
      <c r="H14" s="23" t="inlineStr">
        <is>
          <t>BatchName=PNV26A</t>
        </is>
      </c>
      <c r="I14" s="23" t="inlineStr">
        <is>
          <t>1. Open Batch Management;
2. View batch PNV26A details or edit form;
3. Check UI for Delete button</t>
        </is>
      </c>
      <c r="J14" s="23" t="inlineStr">
        <is>
          <t>No permanent delete button is available on the interface. Archiving/status toggles are the only status-changing options.</t>
        </is>
      </c>
      <c r="K14" s="23" t="inlineStr"/>
      <c r="L14" s="24" t="inlineStr">
        <is>
          <t>Not Run</t>
        </is>
      </c>
      <c r="M14" s="29" t="inlineStr">
        <is>
          <t>Medium</t>
        </is>
      </c>
      <c r="N14" s="23" t="inlineStr">
        <is>
          <t>Related Requirement: M01-F03, Scenario: BS-03</t>
        </is>
      </c>
    </row>
    <row r="15" ht="180" customHeight="1">
      <c r="A15" s="26" t="inlineStr">
        <is>
          <t>TC-M01-014</t>
        </is>
      </c>
      <c r="B15" s="26" t="inlineStr">
        <is>
          <t>Module 01</t>
        </is>
      </c>
      <c r="C15" s="27" t="inlineStr">
        <is>
          <t>M01-F04</t>
        </is>
      </c>
      <c r="D15" s="28" t="inlineStr">
        <is>
          <t>Single Student Creation</t>
        </is>
      </c>
      <c r="E15" s="28" t="inlineStr">
        <is>
          <t>Create Student Manually with Valid Fields</t>
        </is>
      </c>
      <c r="F15" s="28" t="inlineStr">
        <is>
          <t>Verify that a new student profile can be successfully created manually with all valid fields.</t>
        </is>
      </c>
      <c r="G15" s="28" t="inlineStr">
        <is>
          <t>Staff user is logged in. Batch PNV26A exists.</t>
        </is>
      </c>
      <c r="H15" s="28" t="inlineStr">
        <is>
          <t>StudentCode=ST001; StudentName=Nguyen Van A; DateOfBirth=2006-05-15; Gender=Male; Email=nguyenvana.st26@student.passerellesnumeriques.org; ProfilePhoto=avatar.png; AssociatedBatch=PNV26A</t>
        </is>
      </c>
      <c r="I15" s="28" t="inlineStr">
        <is>
          <t>1. Open Batch Management and select batch PNV26A;
2. Click Add Student;
3. Enter Student Code ST001, Name 'Nguyen Van A';
4. Select Date of Birth 15/05/2006 and Gender Male;
5. Enter Email nguyenvana.st26@student.passerellesnumeriques.org;
6. Upload profile photo;
7. Click Save</t>
        </is>
      </c>
      <c r="J15" s="28" t="inlineStr">
        <is>
          <t>Student profile is created successfully. Success notification appears. The student is active by default and displayed in the batch list.</t>
        </is>
      </c>
      <c r="K15" s="28" t="inlineStr"/>
      <c r="L15" s="24" t="inlineStr">
        <is>
          <t>Not Run</t>
        </is>
      </c>
      <c r="M15" s="25" t="inlineStr">
        <is>
          <t>High</t>
        </is>
      </c>
      <c r="N15" s="28" t="inlineStr">
        <is>
          <t>Related Requirement: M01-F04, Scenario: BS-04</t>
        </is>
      </c>
    </row>
    <row r="16" ht="135" customHeight="1">
      <c r="A16" s="21" t="inlineStr">
        <is>
          <t>TC-M01-015</t>
        </is>
      </c>
      <c r="B16" s="21" t="inlineStr">
        <is>
          <t>Module 01</t>
        </is>
      </c>
      <c r="C16" s="22" t="inlineStr">
        <is>
          <t>M01-F04</t>
        </is>
      </c>
      <c r="D16" s="23" t="inlineStr">
        <is>
          <t>Single Student Creation</t>
        </is>
      </c>
      <c r="E16" s="23" t="inlineStr">
        <is>
          <t>Create Student with Duplicate Student Code</t>
        </is>
      </c>
      <c r="F16" s="23" t="inlineStr">
        <is>
          <t>Verify that manually creating a student with a student code that already exists is blocked.</t>
        </is>
      </c>
      <c r="G16" s="23" t="inlineStr">
        <is>
          <t>Staff user is logged in. Student ST001 exists.</t>
        </is>
      </c>
      <c r="H16" s="23" t="inlineStr">
        <is>
          <t>StudentCode=st001; StudentName=Tran Thi B; Email=tranthib.st26@student.passerellesnumeriques.org; AssociatedBatch=PNV26A</t>
        </is>
      </c>
      <c r="I16" s="23" t="inlineStr">
        <is>
          <t>1. Open Batch Management and select batch PNV26A;
2. Click Add Student;
3. Enter duplicate Student Code st001 (lowercase);
4. Enter Name and Email;
5. Click Save</t>
        </is>
      </c>
      <c r="J16" s="23" t="inlineStr">
        <is>
          <t>System rejects creation. Error message appears: "Duplicate student code: st001."</t>
        </is>
      </c>
      <c r="K16" s="23" t="inlineStr"/>
      <c r="L16" s="24" t="inlineStr">
        <is>
          <t>Not Run</t>
        </is>
      </c>
      <c r="M16" s="25" t="inlineStr">
        <is>
          <t>High</t>
        </is>
      </c>
      <c r="N16" s="23" t="inlineStr">
        <is>
          <t>Related Requirement: M01-F04, Scenario: BS-04</t>
        </is>
      </c>
    </row>
    <row r="17" ht="120" customHeight="1">
      <c r="A17" s="26" t="inlineStr">
        <is>
          <t>TC-M01-016</t>
        </is>
      </c>
      <c r="B17" s="26" t="inlineStr">
        <is>
          <t>Module 01</t>
        </is>
      </c>
      <c r="C17" s="27" t="inlineStr">
        <is>
          <t>M01-F04</t>
        </is>
      </c>
      <c r="D17" s="28" t="inlineStr">
        <is>
          <t>Single Student Creation</t>
        </is>
      </c>
      <c r="E17" s="28" t="inlineStr">
        <is>
          <t>Create Student with Invalid Email Format</t>
        </is>
      </c>
      <c r="F17" s="28" t="inlineStr">
        <is>
          <t>Verify that manually creating a student with an invalid email format is blocked by validation.</t>
        </is>
      </c>
      <c r="G17" s="28" t="inlineStr">
        <is>
          <t>Staff user is logged in.</t>
        </is>
      </c>
      <c r="H17" s="28" t="inlineStr">
        <is>
          <t>StudentCode=ST002; StudentName=Tran Thi B; Email=tranthib.st26@invalid; AssociatedBatch=PNV26A</t>
        </is>
      </c>
      <c r="I17" s="28" t="inlineStr">
        <is>
          <t>1. Open Batch Management and select batch PNV26A;
2. Click Add Student;
3. Enter ST002 and Tran Thi B;
4. Enter email tranthib.st26@invalid;
5. Click Save</t>
        </is>
      </c>
      <c r="J17" s="28" t="inlineStr">
        <is>
          <t>System rejects saving. A validation error message requires a valid email format. Saving is blocked.</t>
        </is>
      </c>
      <c r="K17" s="28" t="inlineStr"/>
      <c r="L17" s="24" t="inlineStr">
        <is>
          <t>Not Run</t>
        </is>
      </c>
      <c r="M17" s="25" t="inlineStr">
        <is>
          <t>High</t>
        </is>
      </c>
      <c r="N17" s="28" t="inlineStr">
        <is>
          <t>Related Requirement: M01-F04, Scenario: BS-04</t>
        </is>
      </c>
    </row>
    <row r="18" ht="105" customHeight="1">
      <c r="A18" s="21" t="inlineStr">
        <is>
          <t>TC-M01-017</t>
        </is>
      </c>
      <c r="B18" s="21" t="inlineStr">
        <is>
          <t>Module 01</t>
        </is>
      </c>
      <c r="C18" s="22" t="inlineStr">
        <is>
          <t>M01-F04</t>
        </is>
      </c>
      <c r="D18" s="23" t="inlineStr">
        <is>
          <t>Single Student Creation</t>
        </is>
      </c>
      <c r="E18" s="23" t="inlineStr">
        <is>
          <t>Create Student with Missing Required Fields</t>
        </is>
      </c>
      <c r="F18" s="23" t="inlineStr">
        <is>
          <t>Verify that manually creating a student fails if required fields like student code or name are missing.</t>
        </is>
      </c>
      <c r="G18" s="23" t="inlineStr">
        <is>
          <t>Staff user is logged in.</t>
        </is>
      </c>
      <c r="H18" s="23" t="inlineStr">
        <is>
          <t>StudentCode=; StudentName=; AssociatedBatch=PNV26A</t>
        </is>
      </c>
      <c r="I18" s="23" t="inlineStr">
        <is>
          <t>1. Open Batch Management and select batch PNV26A;
2. Click Add Student;
3. Leave Student Code and Name empty;
4. Click Save</t>
        </is>
      </c>
      <c r="J18" s="23" t="inlineStr">
        <is>
          <t>System rejects saving. Validation error messages for required fields are displayed. Saving is blocked.</t>
        </is>
      </c>
      <c r="K18" s="23" t="inlineStr"/>
      <c r="L18" s="24" t="inlineStr">
        <is>
          <t>Not Run</t>
        </is>
      </c>
      <c r="M18" s="25" t="inlineStr">
        <is>
          <t>High</t>
        </is>
      </c>
      <c r="N18" s="23" t="inlineStr">
        <is>
          <t>Related Requirement: M01-F04, Scenario: BS-04</t>
        </is>
      </c>
    </row>
    <row r="19" ht="75" customHeight="1">
      <c r="A19" s="26" t="inlineStr">
        <is>
          <t>TC-M01-020</t>
        </is>
      </c>
      <c r="B19" s="26" t="inlineStr">
        <is>
          <t>Module 01</t>
        </is>
      </c>
      <c r="C19" s="27" t="inlineStr">
        <is>
          <t>M01-F05</t>
        </is>
      </c>
      <c r="D19" s="28" t="inlineStr">
        <is>
          <t>Bulk Student Import</t>
        </is>
      </c>
      <c r="E19" s="28" t="inlineStr">
        <is>
          <t>CSV Student Import Fails due to Missing Required Column</t>
        </is>
      </c>
      <c r="F19" s="28" t="inlineStr">
        <is>
          <t>Verify that student bulk import via CSV rejects files missing required columns (e.g. Student Code).</t>
        </is>
      </c>
      <c r="G19" s="28" t="inlineStr">
        <is>
          <t>Staff user is logged in.</t>
        </is>
      </c>
      <c r="H19" s="28" t="inlineStr">
        <is>
          <t>CSV file missing 'Student Code' header column</t>
        </is>
      </c>
      <c r="I19" s="28" t="inlineStr">
        <is>
          <t>1. Open Student CSV Import page;
2. Upload the CSV file missing Student Code;
3. Click Import</t>
        </is>
      </c>
      <c r="J19" s="28" t="inlineStr">
        <is>
          <t>The system rejects the entire CSV file. Error message appears: "Required columns must exist.". No records are imported.</t>
        </is>
      </c>
      <c r="K19" s="28" t="inlineStr"/>
      <c r="L19" s="24" t="inlineStr">
        <is>
          <t>Not Run</t>
        </is>
      </c>
      <c r="M19" s="25" t="inlineStr">
        <is>
          <t>High</t>
        </is>
      </c>
      <c r="N19" s="28" t="inlineStr">
        <is>
          <t>Related Requirement: M01-F05, Scenario: BS-05</t>
        </is>
      </c>
    </row>
    <row r="20" ht="75" customHeight="1">
      <c r="A20" s="21" t="inlineStr">
        <is>
          <t>TC-M01-021</t>
        </is>
      </c>
      <c r="B20" s="21" t="inlineStr">
        <is>
          <t>Module 01</t>
        </is>
      </c>
      <c r="C20" s="22" t="inlineStr">
        <is>
          <t>M01-F05</t>
        </is>
      </c>
      <c r="D20" s="23" t="inlineStr">
        <is>
          <t>Bulk Student Import</t>
        </is>
      </c>
      <c r="E20" s="23" t="inlineStr">
        <is>
          <t>CSV Student Import Fails due to Invalid Email Format</t>
        </is>
      </c>
      <c r="F20" s="23" t="inlineStr">
        <is>
          <t>Verify that bulk import via CSV rejects the file if a student email format is invalid.</t>
        </is>
      </c>
      <c r="G20" s="23" t="inlineStr">
        <is>
          <t>Staff user is logged in.</t>
        </is>
      </c>
      <c r="H20" s="23" t="inlineStr">
        <is>
          <t>CSV file containing a row with email 'hoangvane.st26@invalid_email_domain'</t>
        </is>
      </c>
      <c r="I20" s="23" t="inlineStr">
        <is>
          <t>1. Open Student CSV Import page;
2. Upload the CSV file containing the invalid email;
3. Click Import</t>
        </is>
      </c>
      <c r="J20" s="23" t="inlineStr">
        <is>
          <t>The system rejects the import. Error message appears: "Valid email format" required. No records are updated or created.</t>
        </is>
      </c>
      <c r="K20" s="23" t="inlineStr"/>
      <c r="L20" s="24" t="inlineStr">
        <is>
          <t>Not Run</t>
        </is>
      </c>
      <c r="M20" s="25" t="inlineStr">
        <is>
          <t>High</t>
        </is>
      </c>
      <c r="N20" s="23" t="inlineStr">
        <is>
          <t>Related Requirement: M01-F05, Scenario: BS-05</t>
        </is>
      </c>
    </row>
    <row r="21" ht="120" customHeight="1">
      <c r="A21" s="26" t="inlineStr">
        <is>
          <t>TC-M01-022</t>
        </is>
      </c>
      <c r="B21" s="26" t="inlineStr">
        <is>
          <t>Module 01</t>
        </is>
      </c>
      <c r="C21" s="27" t="inlineStr">
        <is>
          <t>M01-F06</t>
        </is>
      </c>
      <c r="D21" s="28" t="inlineStr">
        <is>
          <t>Student Editing</t>
        </is>
      </c>
      <c r="E21" s="28" t="inlineStr">
        <is>
          <t>Edit Student Profile with Valid Fields</t>
        </is>
      </c>
      <c r="F21" s="28" t="inlineStr">
        <is>
          <t>Verify that staff can successfully edit an existing student profile with valid values.</t>
        </is>
      </c>
      <c r="G21" s="28" t="inlineStr">
        <is>
          <t>Staff user is logged in. Student ST001 exists.</t>
        </is>
      </c>
      <c r="H21" s="28" t="inlineStr">
        <is>
          <t>StudentCode=ST001; NewName=Nguyen Van A Updated; NewEmail=nguyenvana.new@student.passerellesnumeriques.org</t>
        </is>
      </c>
      <c r="I21" s="28" t="inlineStr">
        <is>
          <t>1. Open Batch Management and select student ST001;
2. Click Edit;
3. Change Name to 'Nguyen Van A Updated' and Email to 'nguyenvana.new@student.passerellesnumeriques.org';
4. Click Save</t>
        </is>
      </c>
      <c r="J21" s="28" t="inlineStr">
        <is>
          <t>Student profile is updated successfully. Success notification appears. The new info is displayed immediately in lists.</t>
        </is>
      </c>
      <c r="K21" s="28" t="inlineStr"/>
      <c r="L21" s="24" t="inlineStr">
        <is>
          <t>Not Run</t>
        </is>
      </c>
      <c r="M21" s="25" t="inlineStr">
        <is>
          <t>High</t>
        </is>
      </c>
      <c r="N21" s="28" t="inlineStr">
        <is>
          <t>Related Requirement: M01-F06, Scenario: BS-06</t>
        </is>
      </c>
    </row>
    <row r="22" ht="90" customHeight="1">
      <c r="A22" s="21" t="inlineStr">
        <is>
          <t>TC-M01-023</t>
        </is>
      </c>
      <c r="B22" s="21" t="inlineStr">
        <is>
          <t>Module 01</t>
        </is>
      </c>
      <c r="C22" s="22" t="inlineStr">
        <is>
          <t>M01-F06</t>
        </is>
      </c>
      <c r="D22" s="23" t="inlineStr">
        <is>
          <t>Student Editing</t>
        </is>
      </c>
      <c r="E22" s="23" t="inlineStr">
        <is>
          <t>Edit Student Code to Existing Code Blocked</t>
        </is>
      </c>
      <c r="F22" s="23" t="inlineStr">
        <is>
          <t>Verify that renaming a student code to one that already exists in the system is blocked.</t>
        </is>
      </c>
      <c r="G22" s="23" t="inlineStr">
        <is>
          <t>Staff user is logged in. Students ST001 and ST002 exist.</t>
        </is>
      </c>
      <c r="H22" s="23" t="inlineStr">
        <is>
          <t>TargetStudent=ST002; NewStudentCode=ST001</t>
        </is>
      </c>
      <c r="I22" s="23" t="inlineStr">
        <is>
          <t>1. Open Batch Management and select student ST002;
2. Click Edit;
3. Change Student Code to ST001;
4. Click Save</t>
        </is>
      </c>
      <c r="J22" s="23" t="inlineStr">
        <is>
          <t>System rejects update. Error message appears: "Duplicate student code: ST001."</t>
        </is>
      </c>
      <c r="K22" s="23" t="inlineStr"/>
      <c r="L22" s="24" t="inlineStr">
        <is>
          <t>Not Run</t>
        </is>
      </c>
      <c r="M22" s="25" t="inlineStr">
        <is>
          <t>High</t>
        </is>
      </c>
      <c r="N22" s="23" t="inlineStr">
        <is>
          <t>Related Requirement: M01-F06, Scenario: BS-06</t>
        </is>
      </c>
    </row>
    <row r="23" ht="105" customHeight="1">
      <c r="A23" s="26" t="inlineStr">
        <is>
          <t>TC-M01-024</t>
        </is>
      </c>
      <c r="B23" s="26" t="inlineStr">
        <is>
          <t>Module 01</t>
        </is>
      </c>
      <c r="C23" s="27" t="inlineStr">
        <is>
          <t>M01-F07</t>
        </is>
      </c>
      <c r="D23" s="28" t="inlineStr">
        <is>
          <t>Follow-up Flag</t>
        </is>
      </c>
      <c r="E23" s="28" t="inlineStr">
        <is>
          <t>Toggle Follow-up Flag Instantly</t>
        </is>
      </c>
      <c r="F23" s="28" t="inlineStr">
        <is>
          <t>Verify that the follow-up flag updates immediately on the SPA interface without a page reload.</t>
        </is>
      </c>
      <c r="G23" s="28" t="inlineStr">
        <is>
          <t>Staff user is logged in. Student ST001 is displayed in the student list.</t>
        </is>
      </c>
      <c r="H23" s="28" t="inlineStr">
        <is>
          <t>StudentCode=ST001</t>
        </is>
      </c>
      <c r="I23" s="28" t="inlineStr">
        <is>
          <t>1. Navigate to student list;
2. Locate student ST001;
3. Click the Follow-up flag icon (star or checkbox);
4. Observe the page</t>
        </is>
      </c>
      <c r="J23" s="28" t="inlineStr">
        <is>
          <t>The flag status toggles instantly in the UI with no page reload. Google Sheets database updates the follow-up status immediately.</t>
        </is>
      </c>
      <c r="K23" s="28" t="inlineStr"/>
      <c r="L23" s="24" t="inlineStr">
        <is>
          <t>Not Run</t>
        </is>
      </c>
      <c r="M23" s="25" t="inlineStr">
        <is>
          <t>High</t>
        </is>
      </c>
      <c r="N23" s="28" t="inlineStr">
        <is>
          <t>Related Requirement: M01-F07, Scenario: BS-07</t>
        </is>
      </c>
    </row>
    <row r="24" ht="90" customHeight="1">
      <c r="A24" s="21" t="inlineStr">
        <is>
          <t>TC-M01-025</t>
        </is>
      </c>
      <c r="B24" s="21" t="inlineStr">
        <is>
          <t>Module 01</t>
        </is>
      </c>
      <c r="C24" s="22" t="inlineStr">
        <is>
          <t>M01-F08</t>
        </is>
      </c>
      <c r="D24" s="23" t="inlineStr">
        <is>
          <t>Student Status Management</t>
        </is>
      </c>
      <c r="E24" s="23" t="inlineStr">
        <is>
          <t>Toggle Student Status Active to Inactive</t>
        </is>
      </c>
      <c r="F24" s="23" t="inlineStr">
        <is>
          <t>Verify that toggling student status to Inactive automatically sets Dropout Date to today.</t>
        </is>
      </c>
      <c r="G24" s="23" t="inlineStr">
        <is>
          <t>Staff user is logged in. Student ST001 is Active with no Dropout Date.</t>
        </is>
      </c>
      <c r="H24" s="23" t="inlineStr">
        <is>
          <t>StudentCode=ST001; NewStatus=Inactive</t>
        </is>
      </c>
      <c r="I24" s="23" t="inlineStr">
        <is>
          <t>1. Open ST001 profile and click Edit;
2. Change status to Inactive;
3. Click Save;
4. Open ST001 profile details</t>
        </is>
      </c>
      <c r="J24" s="23" t="inlineStr">
        <is>
          <t>Student status is saved as Inactive. The Dropout Date is automatically set to today's date (e.g. 2026-07-17) without manual input.</t>
        </is>
      </c>
      <c r="K24" s="23" t="inlineStr"/>
      <c r="L24" s="24" t="inlineStr">
        <is>
          <t>Not Run</t>
        </is>
      </c>
      <c r="M24" s="25" t="inlineStr">
        <is>
          <t>High</t>
        </is>
      </c>
      <c r="N24" s="23" t="inlineStr">
        <is>
          <t>Related Requirement: M01-F08, Scenario: BS-08</t>
        </is>
      </c>
    </row>
    <row r="25" ht="90" customHeight="1">
      <c r="A25" s="26" t="inlineStr">
        <is>
          <t>TC-M01-026</t>
        </is>
      </c>
      <c r="B25" s="26" t="inlineStr">
        <is>
          <t>Module 01</t>
        </is>
      </c>
      <c r="C25" s="27" t="inlineStr">
        <is>
          <t>M01-F08</t>
        </is>
      </c>
      <c r="D25" s="28" t="inlineStr">
        <is>
          <t>Student Status Management</t>
        </is>
      </c>
      <c r="E25" s="28" t="inlineStr">
        <is>
          <t>Toggle Student Status Inactive to Active</t>
        </is>
      </c>
      <c r="F25" s="28" t="inlineStr">
        <is>
          <t>Verify that toggling student status to Active automatically clears Dropout Date.</t>
        </is>
      </c>
      <c r="G25" s="28" t="inlineStr">
        <is>
          <t>Staff user is logged in. Student ST001 is Inactive with Dropout Date '2026-07-17'.</t>
        </is>
      </c>
      <c r="H25" s="28" t="inlineStr">
        <is>
          <t>StudentCode=ST001; NewStatus=Active</t>
        </is>
      </c>
      <c r="I25" s="28" t="inlineStr">
        <is>
          <t>1. Open ST001 profile and click Edit;
2. Change status to Active;
3. Click Save;
4. Open ST001 profile details</t>
        </is>
      </c>
      <c r="J25" s="28" t="inlineStr">
        <is>
          <t>Student status is saved as Active. The Dropout Date field is automatically cleared and is now blank.</t>
        </is>
      </c>
      <c r="K25" s="28" t="inlineStr"/>
      <c r="L25" s="24" t="inlineStr">
        <is>
          <t>Not Run</t>
        </is>
      </c>
      <c r="M25" s="25" t="inlineStr">
        <is>
          <t>High</t>
        </is>
      </c>
      <c r="N25" s="28" t="inlineStr">
        <is>
          <t>Related Requirement: M01-F08, Scenario: BS-08</t>
        </is>
      </c>
    </row>
    <row r="26" ht="75" customHeight="1">
      <c r="A26" s="21" t="inlineStr">
        <is>
          <t>TC-M01-027</t>
        </is>
      </c>
      <c r="B26" s="21" t="inlineStr">
        <is>
          <t>Module 01</t>
        </is>
      </c>
      <c r="C26" s="22" t="inlineStr">
        <is>
          <t>M01-F09</t>
        </is>
      </c>
      <c r="D26" s="23" t="inlineStr">
        <is>
          <t>Search &amp; Filter</t>
        </is>
      </c>
      <c r="E26" s="23" t="inlineStr">
        <is>
          <t>Search Student by Name Real-time</t>
        </is>
      </c>
      <c r="F26" s="23" t="inlineStr">
        <is>
          <t>Verify that searching student list by name filters records dynamically in real-time as the user types.</t>
        </is>
      </c>
      <c r="G26" s="23" t="inlineStr">
        <is>
          <t>Staff user is logged in. Student list contains 'Nguyen Van A' and 'Tran Thi B'.</t>
        </is>
      </c>
      <c r="H26" s="23" t="inlineStr">
        <is>
          <t>SearchQuery=Nguyen</t>
        </is>
      </c>
      <c r="I26" s="23" t="inlineStr">
        <is>
          <t>1. Navigate to student list;
2. Place cursor in Search box and type 'Nguyen';
3. Observe student list</t>
        </is>
      </c>
      <c r="J26" s="23" t="inlineStr">
        <is>
          <t>The student list filters dynamically while typing. Tran Thi B is hidden, and Nguyen Van A remains visible. No page reload occurs.</t>
        </is>
      </c>
      <c r="K26" s="23" t="inlineStr"/>
      <c r="L26" s="24" t="inlineStr">
        <is>
          <t>Not Run</t>
        </is>
      </c>
      <c r="M26" s="29" t="inlineStr">
        <is>
          <t>Medium</t>
        </is>
      </c>
      <c r="N26" s="23" t="inlineStr">
        <is>
          <t>Related Requirement: M01-F09, Scenario: BS-09</t>
        </is>
      </c>
    </row>
    <row r="27" ht="90" customHeight="1">
      <c r="A27" s="26" t="inlineStr">
        <is>
          <t>TC-M01-028</t>
        </is>
      </c>
      <c r="B27" s="26" t="inlineStr">
        <is>
          <t>Module 01</t>
        </is>
      </c>
      <c r="C27" s="27" t="inlineStr">
        <is>
          <t>M01-F09</t>
        </is>
      </c>
      <c r="D27" s="28" t="inlineStr">
        <is>
          <t>Search &amp; Filter</t>
        </is>
      </c>
      <c r="E27" s="28" t="inlineStr">
        <is>
          <t>Filter Students by Observation Rating</t>
        </is>
      </c>
      <c r="F27" s="28" t="inlineStr">
        <is>
          <t>Verify that staff can filter students by their observation rating.</t>
        </is>
      </c>
      <c r="G27" s="28" t="inlineStr">
        <is>
          <t>Staff user is logged in. Students exist with different observation ratings.</t>
        </is>
      </c>
      <c r="H27" s="28" t="inlineStr">
        <is>
          <t>RatingFilter=Good</t>
        </is>
      </c>
      <c r="I27" s="28" t="inlineStr">
        <is>
          <t>1. Open student list;
2. Click the Observation Rating filter dropdown;
3. Choose Good;
4. Observe the filtered list</t>
        </is>
      </c>
      <c r="J27" s="28" t="inlineStr">
        <is>
          <t>The student list is filtered to display only students with a "Good" rating. Other students are hidden.</t>
        </is>
      </c>
      <c r="K27" s="28" t="inlineStr"/>
      <c r="L27" s="24" t="inlineStr">
        <is>
          <t>Not Run</t>
        </is>
      </c>
      <c r="M27" s="29" t="inlineStr">
        <is>
          <t>Medium</t>
        </is>
      </c>
      <c r="N27" s="28" t="inlineStr">
        <is>
          <t>Related Requirement: M01-F09, Scenario: BS-09</t>
        </is>
      </c>
    </row>
    <row r="28" ht="105" customHeight="1">
      <c r="A28" s="21" t="inlineStr">
        <is>
          <t>TC-M01-029</t>
        </is>
      </c>
      <c r="B28" s="21" t="inlineStr">
        <is>
          <t>Module 01</t>
        </is>
      </c>
      <c r="C28" s="22" t="inlineStr">
        <is>
          <t>M01-F09</t>
        </is>
      </c>
      <c r="D28" s="23" t="inlineStr">
        <is>
          <t>Search &amp; Filter</t>
        </is>
      </c>
      <c r="E28" s="23" t="inlineStr">
        <is>
          <t>Verify Student List Default Pagination</t>
        </is>
      </c>
      <c r="F28" s="23" t="inlineStr">
        <is>
          <t>Verify that the student list displays exactly 10 students per page by default.</t>
        </is>
      </c>
      <c r="G28" s="23" t="inlineStr">
        <is>
          <t>Staff user is logged in. There are 12 students in the selected batch.</t>
        </is>
      </c>
      <c r="H28" s="23" t="inlineStr">
        <is>
          <t>Batch PNV26A has 12 students.</t>
        </is>
      </c>
      <c r="I28" s="23" t="inlineStr">
        <is>
          <t>1. Navigate to the student list of batch PNV26A;
2. Count the number of students displayed on the first page;
3. Check pagination controls;
4. Click Next Page</t>
        </is>
      </c>
      <c r="J28" s="23" t="inlineStr">
        <is>
          <t>Page 1 displays exactly 10 students. Pagination controls are visible. Clicking Next Page shows the remaining 2 students on page 2.</t>
        </is>
      </c>
      <c r="K28" s="23" t="inlineStr"/>
      <c r="L28" s="24" t="inlineStr">
        <is>
          <t>Not Run</t>
        </is>
      </c>
      <c r="M28" s="29" t="inlineStr">
        <is>
          <t>Medium</t>
        </is>
      </c>
      <c r="N28" s="23" t="inlineStr">
        <is>
          <t>Related Requirement: M01-F09, Scenario: BS-10</t>
        </is>
      </c>
    </row>
    <row r="29" ht="75" customHeight="1">
      <c r="A29" s="26" t="inlineStr">
        <is>
          <t>TC-M01-030</t>
        </is>
      </c>
      <c r="B29" s="26" t="inlineStr">
        <is>
          <t>Module 01</t>
        </is>
      </c>
      <c r="C29" s="27" t="inlineStr">
        <is>
          <t>M01-F10</t>
        </is>
      </c>
      <c r="D29" s="28" t="inlineStr">
        <is>
          <t>Dashboard Overview</t>
        </is>
      </c>
      <c r="E29" s="28" t="inlineStr">
        <is>
          <t>Verify Dashboard Displays Correct Initial Stats and Charts</t>
        </is>
      </c>
      <c r="F29" s="28" t="inlineStr">
        <is>
          <t>Verify that the dashboard screen accurately loads and displays all student and batch metrics.</t>
        </is>
      </c>
      <c r="G29" s="28" t="inlineStr">
        <is>
          <t>Staff user is logged in. System has 2 batches (1 Active, 1 Archived) and 5 students (4 Active, 1 Inactive).</t>
        </is>
      </c>
      <c r="H29" s="28" t="inlineStr">
        <is>
          <t>None</t>
        </is>
      </c>
      <c r="I29" s="28" t="inlineStr">
        <is>
          <t>1. Navigate to the Dashboard Overview page;
2. Observe the statistics cards and charts</t>
        </is>
      </c>
      <c r="J29" s="28" t="inlineStr">
        <is>
          <t>The dashboard displays: Total Batches = 2, Active Batches = 1, Total Students = 5, Active Students = 4, Inactive Students = 1. Charts (Gender, Ethnicity, Status) load successfully.</t>
        </is>
      </c>
      <c r="K29" s="28" t="inlineStr"/>
      <c r="L29" s="24" t="inlineStr">
        <is>
          <t>Not Run</t>
        </is>
      </c>
      <c r="M29" s="29" t="inlineStr">
        <is>
          <t>Medium</t>
        </is>
      </c>
      <c r="N29" s="28" t="inlineStr">
        <is>
          <t>Related Requirement: M01-F10, Scenario: BS-11</t>
        </is>
      </c>
    </row>
    <row r="30" ht="90" customHeight="1">
      <c r="A30" s="21" t="inlineStr">
        <is>
          <t>TC-M01-031</t>
        </is>
      </c>
      <c r="B30" s="21" t="inlineStr">
        <is>
          <t>Module 01</t>
        </is>
      </c>
      <c r="C30" s="22" t="inlineStr">
        <is>
          <t>M01-F10</t>
        </is>
      </c>
      <c r="D30" s="23" t="inlineStr">
        <is>
          <t>Dashboard Overview</t>
        </is>
      </c>
      <c r="E30" s="23" t="inlineStr">
        <is>
          <t>Verify Dashboard Stats Auto-refresh after Data Changes</t>
        </is>
      </c>
      <c r="F30" s="23" t="inlineStr">
        <is>
          <t>Verify that dashboard statistics and charts refresh automatically when data changes.</t>
        </is>
      </c>
      <c r="G30" s="23" t="inlineStr">
        <is>
          <t>Staff user is logged in. Dashboard shows Active Students = 4.</t>
        </is>
      </c>
      <c r="H30" s="23" t="inlineStr">
        <is>
          <t>StudentCode=ST001; NewStatus=Inactive</t>
        </is>
      </c>
      <c r="I30" s="23" t="inlineStr">
        <is>
          <t>1. Navigate to student list and edit ST001 to change status from Active to Inactive;
2. Click Save;
3. Immediately return to the Dashboard</t>
        </is>
      </c>
      <c r="J30" s="23" t="inlineStr">
        <is>
          <t>The dashboard values update without manual page reload: Active Students displays 3, Inactive Students displays 2, and charts adjust accordingly.</t>
        </is>
      </c>
      <c r="K30" s="23" t="inlineStr"/>
      <c r="L30" s="24" t="inlineStr">
        <is>
          <t>Not Run</t>
        </is>
      </c>
      <c r="M30" s="29" t="inlineStr">
        <is>
          <t>Medium</t>
        </is>
      </c>
      <c r="N30" s="23" t="inlineStr">
        <is>
          <t>Related Requirement: M01-F10, Scenario: BS-11</t>
        </is>
      </c>
    </row>
    <row r="31" ht="60" customHeight="1">
      <c r="A31" s="26" t="inlineStr">
        <is>
          <t>TC-M01-032</t>
        </is>
      </c>
      <c r="B31" s="26" t="inlineStr">
        <is>
          <t>Module 01</t>
        </is>
      </c>
      <c r="C31" s="27" t="inlineStr">
        <is>
          <t>M01-SEC</t>
        </is>
      </c>
      <c r="D31" s="28" t="inlineStr">
        <is>
          <t>Access Control &amp; Security</t>
        </is>
      </c>
      <c r="E31" s="28" t="inlineStr">
        <is>
          <t>Staff User Access to Student Management</t>
        </is>
      </c>
      <c r="F31" s="28" t="inlineStr">
        <is>
          <t>Verify that staff users with a valid @passerellesnumeriques.org email domain are granted access to Batch &amp; Student Management.</t>
        </is>
      </c>
      <c r="G31" s="28" t="inlineStr">
        <is>
          <t>User is authenticated with email staff@passerellesnumeriques.org.</t>
        </is>
      </c>
      <c r="H31" s="28" t="inlineStr">
        <is>
          <t>Email=staff@passerellesnumeriques.org</t>
        </is>
      </c>
      <c r="I31" s="28" t="inlineStr">
        <is>
          <t>1. Enter the application URL;
2. Sign in via Google OAuth with account staff@passerellesnumeriques.org</t>
        </is>
      </c>
      <c r="J31" s="28" t="inlineStr">
        <is>
          <t>The user is redirected to the Staff Portal. Full management options (Create Batch, Add Student, Edit, CSV Import) are visible and accessible.</t>
        </is>
      </c>
      <c r="K31" s="28" t="inlineStr"/>
      <c r="L31" s="24" t="inlineStr">
        <is>
          <t>Not Run</t>
        </is>
      </c>
      <c r="M31" s="25" t="inlineStr">
        <is>
          <t>High</t>
        </is>
      </c>
      <c r="N31" s="28" t="inlineStr">
        <is>
          <t>Related Requirement: General Business Rules, Scenario: BS-12</t>
        </is>
      </c>
    </row>
    <row r="32" ht="60" customHeight="1">
      <c r="A32" s="21" t="inlineStr">
        <is>
          <t>TC-M01-033</t>
        </is>
      </c>
      <c r="B32" s="21" t="inlineStr">
        <is>
          <t>Module 01</t>
        </is>
      </c>
      <c r="C32" s="22" t="inlineStr">
        <is>
          <t>M01-SEC</t>
        </is>
      </c>
      <c r="D32" s="23" t="inlineStr">
        <is>
          <t>Access Control &amp; Security</t>
        </is>
      </c>
      <c r="E32" s="23" t="inlineStr">
        <is>
          <t>Student User Access to Student Management Denied</t>
        </is>
      </c>
      <c r="F32" s="23" t="inlineStr">
        <is>
          <t>Verify that students with a @student.passerellesnumeriques.org email are denied management access.</t>
        </is>
      </c>
      <c r="G32" s="23" t="inlineStr">
        <is>
          <t>User is authenticated with email student01@student.passerellesnumeriques.org.</t>
        </is>
      </c>
      <c r="H32" s="23" t="inlineStr">
        <is>
          <t>Email=student01@student.passerellesnumeriques.org</t>
        </is>
      </c>
      <c r="I32" s="23" t="inlineStr">
        <is>
          <t>1. Enter the application URL;
2. Sign in via Google OAuth with account student01@student.passerellesnumeriques.org</t>
        </is>
      </c>
      <c r="J32" s="23" t="inlineStr">
        <is>
          <t>The user is redirected to the Student Portal. Management buttons and options are hidden. Direct URL routing to staff pages displays "Access Denied".</t>
        </is>
      </c>
      <c r="K32" s="23" t="inlineStr"/>
      <c r="L32" s="24" t="inlineStr">
        <is>
          <t>Not Run</t>
        </is>
      </c>
      <c r="M32" s="25" t="inlineStr">
        <is>
          <t>High</t>
        </is>
      </c>
      <c r="N32" s="23" t="inlineStr">
        <is>
          <t>Related Requirement: General Business Rules, Scenario: BS-12</t>
        </is>
      </c>
    </row>
    <row r="33" ht="90" customHeight="1">
      <c r="A33" s="26" t="inlineStr">
        <is>
          <t>TC-M01-018</t>
        </is>
      </c>
      <c r="B33" s="26" t="inlineStr">
        <is>
          <t>Module 01</t>
        </is>
      </c>
      <c r="C33" s="27" t="inlineStr">
        <is>
          <t>M01-F05</t>
        </is>
      </c>
      <c r="D33" s="28" t="inlineStr">
        <is>
          <t>Bulk Student Import</t>
        </is>
      </c>
      <c r="E33" s="28" t="inlineStr">
        <is>
          <t>CSV Student Import Upsert</t>
        </is>
      </c>
      <c r="F33" s="28" t="inlineStr">
        <is>
          <t>Verify that bulk student import via CSV updates existing profiles and creates new profiles (Upsert behavior).</t>
        </is>
      </c>
      <c r="G33" s="28" t="inlineStr">
        <is>
          <t>Staff user is logged in. Student ST001 already exists; batch PNV26A exists.</t>
        </is>
      </c>
      <c r="H33" s="28" t="inlineStr">
        <is>
          <t>CSV row: ST001,Nguyen Van A Updated,2006-05-15,Male,nguyenvana.new@student.passerellesnumeriques.org,AssociatedBatch=PNV26A and ST003,Le Van C,2006-08-20,Male,levanc.st26@student.passerellesnumeriques.org,AssociatedBatch=PNV26A</t>
        </is>
      </c>
      <c r="I33" s="28" t="inlineStr">
        <is>
          <t>1. Go to CSV Import page;
2. Upload CSV containing update row for ST001 and new row for ST003;
3. Click Import</t>
        </is>
      </c>
      <c r="J33" s="28" t="inlineStr">
        <is>
          <t>Import completes successfully. Message displays "Import successful. 1 student updated, 1 student created.". ST001 displays new name and ST003 appears in list.</t>
        </is>
      </c>
      <c r="K33" s="28" t="inlineStr"/>
      <c r="L33" s="24" t="inlineStr">
        <is>
          <t>Not Run</t>
        </is>
      </c>
      <c r="M33" s="25" t="inlineStr">
        <is>
          <t>High</t>
        </is>
      </c>
      <c r="N33" s="28" t="inlineStr">
        <is>
          <t>Related Requirement: M01-F05, Scenario: BS-05</t>
        </is>
      </c>
    </row>
    <row r="34" ht="60" customHeight="1">
      <c r="A34" s="21" t="inlineStr">
        <is>
          <t>TC-M01-019</t>
        </is>
      </c>
      <c r="B34" s="21" t="inlineStr">
        <is>
          <t>Module 01</t>
        </is>
      </c>
      <c r="C34" s="22" t="inlineStr">
        <is>
          <t>M01-F05</t>
        </is>
      </c>
      <c r="D34" s="23" t="inlineStr">
        <is>
          <t>Bulk Student Import</t>
        </is>
      </c>
      <c r="E34" s="23" t="inlineStr">
        <is>
          <t>CSV Student Import Rejects Duplicate Student Codes</t>
        </is>
      </c>
      <c r="F34" s="23" t="inlineStr">
        <is>
          <t>Verify that student bulk import via CSV rejects imports with duplicate student codes within the file.</t>
        </is>
      </c>
      <c r="G34" s="23" t="inlineStr">
        <is>
          <t>Staff user is logged in.</t>
        </is>
      </c>
      <c r="H34" s="23" t="inlineStr">
        <is>
          <t>CSV containing two rows with student code ST004</t>
        </is>
      </c>
      <c r="I34" s="23" t="inlineStr">
        <is>
          <t>1. Go to CSV Import page;
2. Upload CSV with duplicate ST004;
3. Click Import</t>
        </is>
      </c>
      <c r="J34" s="23" t="inlineStr">
        <is>
          <t>The system rejects the entire CSV file. Error message appears: "Duplicate student code: ST004.". No records are imported.</t>
        </is>
      </c>
      <c r="K34" s="23" t="inlineStr"/>
      <c r="L34" s="24" t="inlineStr">
        <is>
          <t>Not Run</t>
        </is>
      </c>
      <c r="M34" s="25" t="inlineStr">
        <is>
          <t>High</t>
        </is>
      </c>
      <c r="N34" s="23" t="inlineStr">
        <is>
          <t>Related Requirement: M01-F05, Scenario: BS-05</t>
        </is>
      </c>
    </row>
    <row r="35" ht="90" customHeight="1">
      <c r="A35" s="26" t="inlineStr">
        <is>
          <t>TC-M01-034</t>
        </is>
      </c>
      <c r="B35" s="26" t="inlineStr">
        <is>
          <t>Module 01</t>
        </is>
      </c>
      <c r="C35" s="27" t="inlineStr">
        <is>
          <t>M01-SEC</t>
        </is>
      </c>
      <c r="D35" s="28" t="inlineStr">
        <is>
          <t>Access Control &amp; Security</t>
        </is>
      </c>
      <c r="E35" s="28" t="inlineStr">
        <is>
          <t>Unknown Email Domain Access Denied</t>
        </is>
      </c>
      <c r="F35" s="28" t="inlineStr">
        <is>
          <t>Verify that users with non-permitted email domains are completely blocked from accessing the system.</t>
        </is>
      </c>
      <c r="G35" s="28" t="inlineStr">
        <is>
          <t>User is authenticated with email testuser@gmail.com.</t>
        </is>
      </c>
      <c r="H35" s="28" t="inlineStr">
        <is>
          <t>Email=testuser@gmail.com</t>
        </is>
      </c>
      <c r="I35" s="28" t="inlineStr">
        <is>
          <t>1. Enter the application URL;
2. Sign in via Google OAuth with account testuser@gmail.com;
3. Observe the system response</t>
        </is>
      </c>
      <c r="J35" s="28" t="inlineStr">
        <is>
          <t>Login fails or the screen displays an "Access Denied" message. The user is not redirected to either the Staff or Student Portal.</t>
        </is>
      </c>
      <c r="K35" s="28" t="inlineStr"/>
      <c r="L35" s="24" t="inlineStr">
        <is>
          <t>Not Run</t>
        </is>
      </c>
      <c r="M35" s="25" t="inlineStr">
        <is>
          <t>High</t>
        </is>
      </c>
      <c r="N35" s="28" t="inlineStr">
        <is>
          <t>Related Requirement: General Business Rules, Authorization</t>
        </is>
      </c>
    </row>
    <row r="36" ht="135" customHeight="1">
      <c r="A36" s="21" t="inlineStr">
        <is>
          <t>TC-M01-035</t>
        </is>
      </c>
      <c r="B36" s="21" t="inlineStr">
        <is>
          <t>Module 01</t>
        </is>
      </c>
      <c r="C36" s="22" t="inlineStr">
        <is>
          <t>M01-F04</t>
        </is>
      </c>
      <c r="D36" s="23" t="inlineStr">
        <is>
          <t>Single Student Creation</t>
        </is>
      </c>
      <c r="E36" s="23" t="inlineStr">
        <is>
          <t>Create Student Fails due to Missing Associated Batch</t>
        </is>
      </c>
      <c r="F36" s="23" t="inlineStr">
        <is>
          <t>Verify that manually creating a student requires selecting an Associated Batch.</t>
        </is>
      </c>
      <c r="G36" s="23" t="inlineStr">
        <is>
          <t>Staff user is logged in.</t>
        </is>
      </c>
      <c r="H36" s="23" t="inlineStr">
        <is>
          <t>StudentCode=ST099; StudentName=Nguyen Van Test; AssociatedBatch=Empty</t>
        </is>
      </c>
      <c r="I36" s="23" t="inlineStr">
        <is>
          <t>1. Open Batch Management;
2. Click Add Student;
3. Enter Student Code 'ST099' and Name 'Nguyen Van Test';
4. Leave Associated Batch selection empty;
5. Click Save</t>
        </is>
      </c>
      <c r="J36" s="23" t="inlineStr">
        <is>
          <t>The system blocks saving and displays a validation error "Associated Batch is required". The batch dropdown is highlighted in red.</t>
        </is>
      </c>
      <c r="K36" s="23" t="inlineStr"/>
      <c r="L36" s="24" t="inlineStr">
        <is>
          <t>Not Run</t>
        </is>
      </c>
      <c r="M36" s="25" t="inlineStr">
        <is>
          <t>High</t>
        </is>
      </c>
      <c r="N36" s="23" t="inlineStr">
        <is>
          <t>Related Requirement: M01-F04, Validation Rules</t>
        </is>
      </c>
    </row>
    <row r="37" ht="75" customHeight="1">
      <c r="A37" s="26" t="inlineStr">
        <is>
          <t>TC-M01-036</t>
        </is>
      </c>
      <c r="B37" s="26" t="inlineStr">
        <is>
          <t>Module 01</t>
        </is>
      </c>
      <c r="C37" s="27" t="inlineStr">
        <is>
          <t>M01-F05</t>
        </is>
      </c>
      <c r="D37" s="28" t="inlineStr">
        <is>
          <t>Bulk Student Import</t>
        </is>
      </c>
      <c r="E37" s="28" t="inlineStr">
        <is>
          <t>CSV Student Import Fails due to Blank Name</t>
        </is>
      </c>
      <c r="F37" s="28" t="inlineStr">
        <is>
          <t>Verify that bulk import via CSV blocks saving if student name is empty.</t>
        </is>
      </c>
      <c r="G37" s="28" t="inlineStr">
        <is>
          <t>Staff user is logged in.</t>
        </is>
      </c>
      <c r="H37" s="28" t="inlineStr">
        <is>
          <t>CSV contains row: ST006,,2006-08-20,Male,student06@student.passerellesnumeriques.org (blank name)</t>
        </is>
      </c>
      <c r="I37" s="28" t="inlineStr">
        <is>
          <t>1. Go to CSV Import page;
2. Upload the CSV file with blank name;
3. Click Import</t>
        </is>
      </c>
      <c r="J37" s="28" t="inlineStr">
        <is>
          <t>The system rejects the entire CSV file with error message "Student Name is required". No records are updated in database.</t>
        </is>
      </c>
      <c r="K37" s="28" t="inlineStr"/>
      <c r="L37" s="24" t="inlineStr">
        <is>
          <t>Not Run</t>
        </is>
      </c>
      <c r="M37" s="25" t="inlineStr">
        <is>
          <t>High</t>
        </is>
      </c>
      <c r="N37" s="28" t="inlineStr">
        <is>
          <t>Related Requirement: M01-F05, Validation Rules</t>
        </is>
      </c>
    </row>
    <row r="38" ht="75" customHeight="1">
      <c r="A38" s="21" t="inlineStr">
        <is>
          <t>TC-M01-037</t>
        </is>
      </c>
      <c r="B38" s="21" t="inlineStr">
        <is>
          <t>Module 01</t>
        </is>
      </c>
      <c r="C38" s="22" t="inlineStr">
        <is>
          <t>M01-F09</t>
        </is>
      </c>
      <c r="D38" s="23" t="inlineStr">
        <is>
          <t>Search &amp; Filter</t>
        </is>
      </c>
      <c r="E38" s="23" t="inlineStr">
        <is>
          <t>Search Student Case Insensitivity</t>
        </is>
      </c>
      <c r="F38" s="23" t="inlineStr">
        <is>
          <t>Verify that student search filters correctly regardless of character casing.</t>
        </is>
      </c>
      <c r="G38" s="23" t="inlineStr">
        <is>
          <t>Staff user is logged in. Batch PNV26A contains student 'Nguyen Van A'.</t>
        </is>
      </c>
      <c r="H38" s="23" t="inlineStr">
        <is>
          <t>SearchQuery=nguyen van a</t>
        </is>
      </c>
      <c r="I38" s="23" t="inlineStr">
        <is>
          <t>1. Open student list;
2. Enter 'nguyen van a' (all lowercase) in the search box;
3. Verify matching result</t>
        </is>
      </c>
      <c r="J38" s="23" t="inlineStr">
        <is>
          <t>The student list filters and displays 'Nguyen Van A', proving search is case-insensitive.</t>
        </is>
      </c>
      <c r="K38" s="23" t="inlineStr"/>
      <c r="L38" s="24" t="inlineStr">
        <is>
          <t>Not Run</t>
        </is>
      </c>
      <c r="M38" s="29" t="inlineStr">
        <is>
          <t>Medium</t>
        </is>
      </c>
      <c r="N38" s="23" t="inlineStr">
        <is>
          <t>Related Requirement: M01-F09, Search &amp; Filter</t>
        </is>
      </c>
    </row>
    <row r="39" ht="90" customHeight="1">
      <c r="A39" s="26" t="inlineStr">
        <is>
          <t>TC-M01-038</t>
        </is>
      </c>
      <c r="B39" s="26" t="inlineStr">
        <is>
          <t>Module 01</t>
        </is>
      </c>
      <c r="C39" s="27" t="inlineStr">
        <is>
          <t>M01-F06</t>
        </is>
      </c>
      <c r="D39" s="28" t="inlineStr">
        <is>
          <t>Student Editing</t>
        </is>
      </c>
      <c r="E39" s="28" t="inlineStr">
        <is>
          <t>Edit Student Email to Invalid Format Blocked</t>
        </is>
      </c>
      <c r="F39" s="28" t="inlineStr">
        <is>
          <t>Verify that editing a student's email to an invalid format is blocked.</t>
        </is>
      </c>
      <c r="G39" s="28" t="inlineStr">
        <is>
          <t>Staff user is logged in. Student ST001 exists.</t>
        </is>
      </c>
      <c r="H39" s="28" t="inlineStr">
        <is>
          <t>StudentCode=ST001; NewEmail=nguyenvana_invalid_email</t>
        </is>
      </c>
      <c r="I39" s="28" t="inlineStr">
        <is>
          <t>1. Open student list;
2. Select ST001 and click Edit;
3. Change email to 'nguyenvana_invalid_email';
4. Click Save</t>
        </is>
      </c>
      <c r="J39" s="28" t="inlineStr">
        <is>
          <t>The system blocks saving and displays a validation error message requiring a valid email format. The email field is highlighted in red.</t>
        </is>
      </c>
      <c r="K39" s="28" t="inlineStr"/>
      <c r="L39" s="24" t="inlineStr">
        <is>
          <t>Not Run</t>
        </is>
      </c>
      <c r="M39" s="25" t="inlineStr">
        <is>
          <t>High</t>
        </is>
      </c>
      <c r="N39" s="28" t="inlineStr">
        <is>
          <t>Related Requirement: M01-F06, Validation Rules</t>
        </is>
      </c>
    </row>
    <row r="40" ht="75" customHeight="1">
      <c r="A40" s="21" t="inlineStr">
        <is>
          <t>TC-M01-039</t>
        </is>
      </c>
      <c r="B40" s="21" t="inlineStr">
        <is>
          <t>Module 01</t>
        </is>
      </c>
      <c r="C40" s="22" t="inlineStr">
        <is>
          <t>M01-F05</t>
        </is>
      </c>
      <c r="D40" s="23" t="inlineStr">
        <is>
          <t>Bulk Student Import</t>
        </is>
      </c>
      <c r="E40" s="23" t="inlineStr">
        <is>
          <t>CSV Student Import Blocked due to Duplicate Student Code in Another Batch</t>
        </is>
      </c>
      <c r="F40" s="23" t="inlineStr">
        <is>
          <t>Verify that CSV student import rejects student codes that are already in use in other batches.</t>
        </is>
      </c>
      <c r="G40" s="23" t="inlineStr">
        <is>
          <t>Student ST001 exists in batch PNV26A. Batch PNV26B has no students.</t>
        </is>
      </c>
      <c r="H40" s="23" t="inlineStr">
        <is>
          <t>CSV file for batch PNV26B containing row: ST001,Le Van C,2006-08-20,Male,levanc.st26@student.passerellesnumeriques.org</t>
        </is>
      </c>
      <c r="I40" s="23" t="inlineStr">
        <is>
          <t>1. Go to CSV Import page for batch PNV26B;
2. Upload CSV containing student ST001;
3. Click Import</t>
        </is>
      </c>
      <c r="J40" s="23" t="inlineStr">
        <is>
          <t>The system rejects the import and displays error message "Duplicate student code: ST001.". No students are added.</t>
        </is>
      </c>
      <c r="K40" s="23" t="inlineStr"/>
      <c r="L40" s="24" t="inlineStr">
        <is>
          <t>Not Run</t>
        </is>
      </c>
      <c r="M40" s="25" t="inlineStr">
        <is>
          <t>High</t>
        </is>
      </c>
      <c r="N40" s="23" t="inlineStr">
        <is>
          <t>Related Requirement: M01-F05, Student Code Uniqueness</t>
        </is>
      </c>
    </row>
  </sheetData>
  <autoFilter ref="A1:N40"/>
  <dataValidations count="2">
    <dataValidation sqref="L2:L140" showDropDown="0" showInputMessage="0" showErrorMessage="0" allowBlank="1" errorTitle="Invalid Status" error="Please select a valid state: Passed, Failed, or Not Run" type="list">
      <formula1>"Passed,Failed,Not Run"</formula1>
    </dataValidation>
    <dataValidation sqref="M2:M140"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80" customHeight="1">
      <c r="A2" s="21" t="inlineStr">
        <is>
          <t>TC-M02-001</t>
        </is>
      </c>
      <c r="B2" s="21" t="inlineStr">
        <is>
          <t>Module 02</t>
        </is>
      </c>
      <c r="C2" s="22" t="inlineStr">
        <is>
          <t>M02-F01</t>
        </is>
      </c>
      <c r="D2" s="23" t="inlineStr">
        <is>
          <t>Single Observation Entry</t>
        </is>
      </c>
      <c r="E2" s="23" t="inlineStr">
        <is>
          <t>Record Single Student Observation with Valid Ratings</t>
        </is>
      </c>
      <c r="F2" s="23" t="inlineStr">
        <is>
          <t>Verify that staff can record observations for a single student across all four subjects with valid ratings (G, S, NI).</t>
        </is>
      </c>
      <c r="G2" s="23" t="inlineStr">
        <is>
          <t>Staff user is logged in. Batch PNV26A and student ST001 exist.</t>
        </is>
      </c>
      <c r="H2" s="23" t="inlineStr">
        <is>
          <t>Student=ST001; Date=2026-07-17; IT_Rating=G; IT_Notes=Excellent coding skills; PLT_Rating=S; PLT_Notes=Active participation; English_Rating=NI; English_Notes=Needs vocabulary practice; DA_Rating=S; DA_Notes=Good design sense</t>
        </is>
      </c>
      <c r="I2" s="23" t="inlineStr">
        <is>
          <t>1. Open Scan Management;
2. Select Batch PNV26A and Student ST001;
3. Select Observation Date: 17/07/2026;
4. For IT, select rating G and enter notes 'Excellent coding skills';
5. For PLT, select rating S and enter notes 'Active participation';
6. For English, select rating NI and enter notes 'Needs vocabulary practice';
7. For DA, select rating S and enter notes 'Good design sense';
8. Click Save</t>
        </is>
      </c>
      <c r="J2" s="23" t="inlineStr">
        <is>
          <t>Observation is saved successfully. A success message appears. The student's record is displayed in the list with correct ratings and notes.</t>
        </is>
      </c>
      <c r="K2" s="23" t="inlineStr"/>
      <c r="L2" s="24" t="inlineStr">
        <is>
          <t>Not Run</t>
        </is>
      </c>
      <c r="M2" s="25" t="inlineStr">
        <is>
          <t>High</t>
        </is>
      </c>
      <c r="N2" s="23" t="inlineStr">
        <is>
          <t>Related Requirement: M02-F01, Scenario: SC-01</t>
        </is>
      </c>
    </row>
    <row r="3" ht="135" customHeight="1">
      <c r="A3" s="26" t="inlineStr">
        <is>
          <t>TC-M02-002</t>
        </is>
      </c>
      <c r="B3" s="26" t="inlineStr">
        <is>
          <t>Module 02</t>
        </is>
      </c>
      <c r="C3" s="27" t="inlineStr">
        <is>
          <t>M02-F01</t>
        </is>
      </c>
      <c r="D3" s="28" t="inlineStr">
        <is>
          <t>Single Observation Entry</t>
        </is>
      </c>
      <c r="E3" s="28" t="inlineStr">
        <is>
          <t>Record Single Student Observation with Empty Ratings</t>
        </is>
      </c>
      <c r="F3" s="28" t="inlineStr">
        <is>
          <t>Verify that staff can record observations with ratings set to '-' (Not Yet Assessed) and notes empty.</t>
        </is>
      </c>
      <c r="G3" s="28" t="inlineStr">
        <is>
          <t>Staff user is logged in. Batch PNV26A and student ST001 exist.</t>
        </is>
      </c>
      <c r="H3" s="28" t="inlineStr">
        <is>
          <t>Student=ST001; Date=2026-07-17; Ratings='-'; Notes=''</t>
        </is>
      </c>
      <c r="I3" s="28" t="inlineStr">
        <is>
          <t>1. Open Scan Management;
2. Select Batch PNV26A and Student ST001;
3. Select Observation Date: 17/07/2026;
4. Leave all subject ratings as '-' and notes empty;
5. Click Save</t>
        </is>
      </c>
      <c r="J3" s="28" t="inlineStr">
        <is>
          <t>Observation is saved successfully. The ratings are stored as empty/unassessed in the database. No validation error occurs.</t>
        </is>
      </c>
      <c r="K3" s="28" t="inlineStr"/>
      <c r="L3" s="24" t="inlineStr">
        <is>
          <t>Not Run</t>
        </is>
      </c>
      <c r="M3" s="25" t="inlineStr">
        <is>
          <t>High</t>
        </is>
      </c>
      <c r="N3" s="28" t="inlineStr">
        <is>
          <t>Related Requirement: M02-F01, Scenario: SC-01</t>
        </is>
      </c>
    </row>
    <row r="4" ht="135" customHeight="1">
      <c r="A4" s="21" t="inlineStr">
        <is>
          <t>TC-M02-003</t>
        </is>
      </c>
      <c r="B4" s="21" t="inlineStr">
        <is>
          <t>Module 02</t>
        </is>
      </c>
      <c r="C4" s="22" t="inlineStr">
        <is>
          <t>M02-F01</t>
        </is>
      </c>
      <c r="D4" s="23" t="inlineStr">
        <is>
          <t>Single Observation Entry</t>
        </is>
      </c>
      <c r="E4" s="23" t="inlineStr">
        <is>
          <t>Record Single Student Observation with Invalid Rating</t>
        </is>
      </c>
      <c r="F4" s="23" t="inlineStr">
        <is>
          <t>Verify that entering an invalid rating (other than G, S, NI, or Empty) is blocked by validation.</t>
        </is>
      </c>
      <c r="G4" s="23" t="inlineStr">
        <is>
          <t>Staff user is logged in. Batch PNV26A and student ST001 exist.</t>
        </is>
      </c>
      <c r="H4" s="23" t="inlineStr">
        <is>
          <t>Student=ST001; Date=2026-07-17; IT_Rating=A; IT_Notes=Invalid rating value</t>
        </is>
      </c>
      <c r="I4" s="23" t="inlineStr">
        <is>
          <t>1. Open Scan Management;
2. Select Batch PNV26A and Student ST001;
3. Enter Observation Date: 17/07/2026;
4. Attempt to input invalid rating 'A' for IT;
5. Observe UI or click Save</t>
        </is>
      </c>
      <c r="J4" s="23" t="inlineStr">
        <is>
          <t>The system prevents saving. The UI dropdown restricts selection to only G, S, NI, and '-', or displays a validation error if raw data is submitted.</t>
        </is>
      </c>
      <c r="K4" s="23" t="inlineStr"/>
      <c r="L4" s="24" t="inlineStr">
        <is>
          <t>Not Run</t>
        </is>
      </c>
      <c r="M4" s="25" t="inlineStr">
        <is>
          <t>High</t>
        </is>
      </c>
      <c r="N4" s="23" t="inlineStr">
        <is>
          <t>Related Requirement: M02-F01, Scenario: SC-01, Validation Rules</t>
        </is>
      </c>
    </row>
    <row r="5" ht="135" customHeight="1">
      <c r="A5" s="26" t="inlineStr">
        <is>
          <t>TC-M02-004</t>
        </is>
      </c>
      <c r="B5" s="26" t="inlineStr">
        <is>
          <t>Module 02</t>
        </is>
      </c>
      <c r="C5" s="27" t="inlineStr">
        <is>
          <t>M02-F02</t>
        </is>
      </c>
      <c r="D5" s="28" t="inlineStr">
        <is>
          <t>Auto Rating Suggestion</t>
        </is>
      </c>
      <c r="E5" s="28" t="inlineStr">
        <is>
          <t>Auto Rating Suggestion Triggered After Typing Notes</t>
        </is>
      </c>
      <c r="F5" s="28" t="inlineStr">
        <is>
          <t>Verify that the system suggests a performance rating (G, S, or NI) approximately 400ms after user stops typing notes.</t>
        </is>
      </c>
      <c r="G5" s="28" t="inlineStr">
        <is>
          <t>Staff user is logged in.</t>
        </is>
      </c>
      <c r="H5" s="28" t="inlineStr">
        <is>
          <t>Subject=IT; Notes='The student solved all problems quickly and helped other classmates.'</t>
        </is>
      </c>
      <c r="I5" s="28" t="inlineStr">
        <is>
          <t>1. Open observation entry for IT;
2. Start typing the notes: 'The student solved all problems quickly and helped other classmates.';
3. Stop typing and wait for 400 milliseconds;
4. Observe the rating selector</t>
        </is>
      </c>
      <c r="J5" s="28" t="inlineStr">
        <is>
          <t>An auto-rating suggestion (G/excellent) is automatically selected or suggested adjacent to the rating field after 400ms of inactivity.</t>
        </is>
      </c>
      <c r="K5" s="28" t="inlineStr"/>
      <c r="L5" s="24" t="inlineStr">
        <is>
          <t>Not Run</t>
        </is>
      </c>
      <c r="M5" s="25" t="inlineStr">
        <is>
          <t>High</t>
        </is>
      </c>
      <c r="N5" s="28" t="inlineStr">
        <is>
          <t>Related Requirement: M02-F02, Scenario: SC-02</t>
        </is>
      </c>
    </row>
    <row r="6" ht="120" customHeight="1">
      <c r="A6" s="21" t="inlineStr">
        <is>
          <t>TC-M02-005</t>
        </is>
      </c>
      <c r="B6" s="21" t="inlineStr">
        <is>
          <t>Module 02</t>
        </is>
      </c>
      <c r="C6" s="22" t="inlineStr">
        <is>
          <t>M02-F02</t>
        </is>
      </c>
      <c r="D6" s="23" t="inlineStr">
        <is>
          <t>Auto Rating Suggestion</t>
        </is>
      </c>
      <c r="E6" s="23" t="inlineStr">
        <is>
          <t>Overwrite Auto Rating Suggestion</t>
        </is>
      </c>
      <c r="F6" s="23" t="inlineStr">
        <is>
          <t>Verify that staff members can manually overwrite an auto-suggested rating.</t>
        </is>
      </c>
      <c r="G6" s="23" t="inlineStr">
        <is>
          <t>Staff user is logged in. System has suggested rating 'G' after notes were typed.</t>
        </is>
      </c>
      <c r="H6" s="23" t="inlineStr">
        <is>
          <t>Subject=IT; Notes='Good work but missed classes'; SuggestedRating=G; OverwrittenRating=S</t>
        </is>
      </c>
      <c r="I6" s="23" t="inlineStr">
        <is>
          <t>1. Type notes that trigger a 'G' suggestion;
2. Wait for the suggestion to appear;
3. Click the rating dropdown and manually change the rating to 'S';
4. Click Save</t>
        </is>
      </c>
      <c r="J6" s="23" t="inlineStr">
        <is>
          <t>The manually selected rating 'S' replaces the suggestion 'G'. The record is saved successfully with rating 'S'.</t>
        </is>
      </c>
      <c r="K6" s="23" t="inlineStr"/>
      <c r="L6" s="24" t="inlineStr">
        <is>
          <t>Not Run</t>
        </is>
      </c>
      <c r="M6" s="25" t="inlineStr">
        <is>
          <t>High</t>
        </is>
      </c>
      <c r="N6" s="23" t="inlineStr">
        <is>
          <t>Related Requirement: M02-F02, Scenario: SC-02</t>
        </is>
      </c>
    </row>
    <row r="7" ht="150" customHeight="1">
      <c r="A7" s="26" t="inlineStr">
        <is>
          <t>TC-M02-006</t>
        </is>
      </c>
      <c r="B7" s="26" t="inlineStr">
        <is>
          <t>Module 02</t>
        </is>
      </c>
      <c r="C7" s="27" t="inlineStr">
        <is>
          <t>M02-F03</t>
        </is>
      </c>
      <c r="D7" s="28" t="inlineStr">
        <is>
          <t>Batch Entry – All Subjects</t>
        </is>
      </c>
      <c r="E7" s="28" t="inlineStr">
        <is>
          <t>Batch Entry for All Subjects simultaneously</t>
        </is>
      </c>
      <c r="F7" s="28" t="inlineStr">
        <is>
          <t>Verify that staff can record observations for multiple students across all subjects simultaneously using spreadsheet-style entry.</t>
        </is>
      </c>
      <c r="G7" s="28" t="inlineStr">
        <is>
          <t>Staff user is logged in. Batch PNV26A contains multiple active students (ST001, ST002).</t>
        </is>
      </c>
      <c r="H7" s="28" t="inlineStr">
        <is>
          <t>Grid of ratings and notes for ST001 and ST002.</t>
        </is>
      </c>
      <c r="I7" s="28" t="inlineStr">
        <is>
          <t>1. Open Scan Management and choose Batch Entry - All Subjects;
2. Select Batch PNV26A and Date: 17/07/2026;
3. On the grid, enter ratings and notes for ST001 (IT=G, PLT=S, English=S, DA=S) and ST002 (IT=S, PLT=NI, English=S, DA=S);
4. Click Save All</t>
        </is>
      </c>
      <c r="J7" s="28" t="inlineStr">
        <is>
          <t>Hệ thống lưu thành công toàn bộ dữ liệu nhận xét cùng một lúc. Hiển thị thông báo lưu thành công (ví dụ: "Saved 2 students"). Dữ liệu hiển thị chính xác trong danh sách.</t>
        </is>
      </c>
      <c r="K7" s="28" t="inlineStr"/>
      <c r="L7" s="24" t="inlineStr">
        <is>
          <t>Not Run</t>
        </is>
      </c>
      <c r="M7" s="25" t="inlineStr">
        <is>
          <t>High</t>
        </is>
      </c>
      <c r="N7" s="28" t="inlineStr">
        <is>
          <t>Related Requirement: M02-F03, Scenario: SC-03</t>
        </is>
      </c>
    </row>
    <row r="8" ht="135" customHeight="1">
      <c r="A8" s="21" t="inlineStr">
        <is>
          <t>TC-M02-007</t>
        </is>
      </c>
      <c r="B8" s="21" t="inlineStr">
        <is>
          <t>Module 02</t>
        </is>
      </c>
      <c r="C8" s="22" t="inlineStr">
        <is>
          <t>M02-F04</t>
        </is>
      </c>
      <c r="D8" s="23" t="inlineStr">
        <is>
          <t>Batch Entry – By Subject</t>
        </is>
      </c>
      <c r="E8" s="23" t="inlineStr">
        <is>
          <t>Batch Entry by Subject</t>
        </is>
      </c>
      <c r="F8" s="23" t="inlineStr">
        <is>
          <t>Verify that teachers can enter observations for a single subject for multiple students in batch mode.</t>
        </is>
      </c>
      <c r="G8" s="23" t="inlineStr">
        <is>
          <t>Staff user is logged in.</t>
        </is>
      </c>
      <c r="H8" s="23" t="inlineStr">
        <is>
          <t>Subject=English; Ratings and notes for ST001, ST002, ST003.</t>
        </is>
      </c>
      <c r="I8" s="23" t="inlineStr">
        <is>
          <t>1. Open Scan Management and choose Batch Entry - By Subject;
2. Select Batch PNV26A, Date: 17/07/2026, and Subject: English;
3. Fill ratings and notes for English for ST001, ST002, and ST003;
4. Click Save</t>
        </is>
      </c>
      <c r="J8" s="23" t="inlineStr">
        <is>
          <t>English observations are saved successfully for all selected students. Other subjects (IT, PLT, DA) for these students remain unaffected.</t>
        </is>
      </c>
      <c r="K8" s="23" t="inlineStr"/>
      <c r="L8" s="24" t="inlineStr">
        <is>
          <t>Not Run</t>
        </is>
      </c>
      <c r="M8" s="25" t="inlineStr">
        <is>
          <t>High</t>
        </is>
      </c>
      <c r="N8" s="23" t="inlineStr">
        <is>
          <t>Related Requirement: M02-F04, Scenario: SC-04</t>
        </is>
      </c>
    </row>
    <row r="9" ht="120" customHeight="1">
      <c r="A9" s="26" t="inlineStr">
        <is>
          <t>TC-M02-008</t>
        </is>
      </c>
      <c r="B9" s="26" t="inlineStr">
        <is>
          <t>Module 02</t>
        </is>
      </c>
      <c r="C9" s="27" t="inlineStr">
        <is>
          <t>M02-F05</t>
        </is>
      </c>
      <c r="D9" s="28" t="inlineStr">
        <is>
          <t>Observation Editing</t>
        </is>
      </c>
      <c r="E9" s="28" t="inlineStr">
        <is>
          <t>Edit Existing Observation Ratings and Notes</t>
        </is>
      </c>
      <c r="F9" s="28" t="inlineStr">
        <is>
          <t>Verify that staff can edit the ratings and notes of an existing observation record (before the session is complete).</t>
        </is>
      </c>
      <c r="G9" s="28" t="inlineStr">
        <is>
          <t>Staff user is logged in. Student ST001 has an observation on 17/07/2026.</t>
        </is>
      </c>
      <c r="H9" s="28" t="inlineStr">
        <is>
          <t>Student=ST001; Date=2026-07-17; NewITRating=S; NewITNotes=Needs some improvements.</t>
        </is>
      </c>
      <c r="I9" s="28" t="inlineStr">
        <is>
          <t>1. Open Scan Management;
2. Search for ST001 and click Edit on observation for 17/07/2026;
3. Change IT rating to 'S' and notes to 'Needs some improvements.';
4. Click Save</t>
        </is>
      </c>
      <c r="J9" s="28" t="inlineStr">
        <is>
          <t>Observation is updated successfully. A success notification is displayed. The new rating 'S' and notes display correctly.</t>
        </is>
      </c>
      <c r="K9" s="28" t="inlineStr"/>
      <c r="L9" s="24" t="inlineStr">
        <is>
          <t>Not Run</t>
        </is>
      </c>
      <c r="M9" s="25" t="inlineStr">
        <is>
          <t>High</t>
        </is>
      </c>
      <c r="N9" s="28" t="inlineStr">
        <is>
          <t>Related Requirement: M02-F05, Scenario: SC-05</t>
        </is>
      </c>
    </row>
    <row r="10" ht="105" customHeight="1">
      <c r="A10" s="21" t="inlineStr">
        <is>
          <t>TC-M02-009</t>
        </is>
      </c>
      <c r="B10" s="21" t="inlineStr">
        <is>
          <t>Module 02</t>
        </is>
      </c>
      <c r="C10" s="22" t="inlineStr">
        <is>
          <t>M02-F05</t>
        </is>
      </c>
      <c r="D10" s="23" t="inlineStr">
        <is>
          <t>Observation Editing</t>
        </is>
      </c>
      <c r="E10" s="23" t="inlineStr">
        <is>
          <t>Observation Date Locked and Cannot Be Changed</t>
        </is>
      </c>
      <c r="F10" s="23" t="inlineStr">
        <is>
          <t>Verify that the observation date of an existing record is locked and cannot be edited.</t>
        </is>
      </c>
      <c r="G10" s="23" t="inlineStr">
        <is>
          <t>Staff user is logged in. Student ST001 has an observation on 17/07/2026.</t>
        </is>
      </c>
      <c r="H10" s="23" t="inlineStr">
        <is>
          <t>Student=ST001; Date=2026-07-17</t>
        </is>
      </c>
      <c r="I10" s="23" t="inlineStr">
        <is>
          <t>1. Open Scan Management;
2. Select ST001 observation on 17/07/2026 and click Edit;
3. Check the Observation Date field;
4. Attempt to modify the date</t>
        </is>
      </c>
      <c r="J10" s="23" t="inlineStr">
        <is>
          <t>The Observation Date field is disabled (read-only) and cannot be interacted with or modified.</t>
        </is>
      </c>
      <c r="K10" s="23" t="inlineStr"/>
      <c r="L10" s="24" t="inlineStr">
        <is>
          <t>Not Run</t>
        </is>
      </c>
      <c r="M10" s="25" t="inlineStr">
        <is>
          <t>High</t>
        </is>
      </c>
      <c r="N10" s="23" t="inlineStr">
        <is>
          <t>Related Requirement: M02-F05, Scenario: SC-05, Business Rules</t>
        </is>
      </c>
    </row>
    <row r="11" ht="75" customHeight="1">
      <c r="A11" s="26" t="inlineStr">
        <is>
          <t>TC-M02-010</t>
        </is>
      </c>
      <c r="B11" s="26" t="inlineStr">
        <is>
          <t>Module 02</t>
        </is>
      </c>
      <c r="C11" s="27" t="inlineStr">
        <is>
          <t>M02-F06</t>
        </is>
      </c>
      <c r="D11" s="28" t="inlineStr">
        <is>
          <t>Duplicate Detection &amp; Merge</t>
        </is>
      </c>
      <c r="E11" s="28" t="inlineStr">
        <is>
          <t>Duplicate Observation Merged - Less Than 3 Subjects Completed</t>
        </is>
      </c>
      <c r="F11" s="28" t="inlineStr">
        <is>
          <t>Verify that a duplicate student/date observation is merged into the existing record if less than 3 subjects are completed in the existing record.</t>
        </is>
      </c>
      <c r="G11" s="28" t="inlineStr">
        <is>
          <t>Staff user is logged in. Student ST001 has an observation on 17/07/2026 with only IT and PLT completed.</t>
        </is>
      </c>
      <c r="H11" s="28" t="inlineStr">
        <is>
          <t>Student=ST001; Date=2026-07-17; English_Rating=S; English_Notes=Good English vocabulary; DA_Rating=S</t>
        </is>
      </c>
      <c r="I11" s="28" t="inlineStr">
        <is>
          <t>1. Submit a new observation for ST001 on 17/07/2026 with English rating 'S', notes 'Good English vocabulary', and DA rating 'S';
2. Click Save</t>
        </is>
      </c>
      <c r="J11" s="28" t="inlineStr">
        <is>
          <t>Save is accepted. English and DA ratings are merged into the existing ST001 row. Message displays: "Added to existing session.".</t>
        </is>
      </c>
      <c r="K11" s="28" t="inlineStr"/>
      <c r="L11" s="24" t="inlineStr">
        <is>
          <t>Not Run</t>
        </is>
      </c>
      <c r="M11" s="25" t="inlineStr">
        <is>
          <t>High</t>
        </is>
      </c>
      <c r="N11" s="28" t="inlineStr">
        <is>
          <t>Related Requirement: M02-F06, Scenario: SC-06, Rule 1</t>
        </is>
      </c>
    </row>
    <row r="12" ht="60" customHeight="1">
      <c r="A12" s="21" t="inlineStr">
        <is>
          <t>TC-M02-011</t>
        </is>
      </c>
      <c r="B12" s="21" t="inlineStr">
        <is>
          <t>Module 02</t>
        </is>
      </c>
      <c r="C12" s="22" t="inlineStr">
        <is>
          <t>M02-F06</t>
        </is>
      </c>
      <c r="D12" s="23" t="inlineStr">
        <is>
          <t>Duplicate Detection &amp; Merge</t>
        </is>
      </c>
      <c r="E12" s="23" t="inlineStr">
        <is>
          <t>Duplicate Observation Rejected - 3 or More Subjects Completed</t>
        </is>
      </c>
      <c r="F12" s="23" t="inlineStr">
        <is>
          <t>Verify that a duplicate student/date observation is rejected if 3 or more subjects are already completed in the existing record.</t>
        </is>
      </c>
      <c r="G12" s="23" t="inlineStr">
        <is>
          <t>Staff user is logged in. Student ST001 has an observation on 17/07/2026 with IT, PLT, and English completed.</t>
        </is>
      </c>
      <c r="H12" s="23" t="inlineStr">
        <is>
          <t>Student=ST001; Date=2026-07-17; DA_Rating=G; DA_Notes=Excellent design work</t>
        </is>
      </c>
      <c r="I12" s="23" t="inlineStr">
        <is>
          <t>1. Attempt to save a new observation for ST001 on 17/07/2026 containing DA rating 'G';
2. Click Save</t>
        </is>
      </c>
      <c r="J12" s="23" t="inlineStr">
        <is>
          <t>Save is rejected. Error message displays: "A feedback record for this date already exists.". New record is not saved.</t>
        </is>
      </c>
      <c r="K12" s="23" t="inlineStr"/>
      <c r="L12" s="24" t="inlineStr">
        <is>
          <t>Not Run</t>
        </is>
      </c>
      <c r="M12" s="25" t="inlineStr">
        <is>
          <t>High</t>
        </is>
      </c>
      <c r="N12" s="23" t="inlineStr">
        <is>
          <t>Related Requirement: M02-F06, Scenario: SC-07, Rule 2</t>
        </is>
      </c>
    </row>
    <row r="13" ht="90" customHeight="1">
      <c r="A13" s="26" t="inlineStr">
        <is>
          <t>TC-M02-012</t>
        </is>
      </c>
      <c r="B13" s="26" t="inlineStr">
        <is>
          <t>Module 02</t>
        </is>
      </c>
      <c r="C13" s="27" t="inlineStr">
        <is>
          <t>M02-F07</t>
        </is>
      </c>
      <c r="D13" s="28" t="inlineStr">
        <is>
          <t>Session Management</t>
        </is>
      </c>
      <c r="E13" s="28" t="inlineStr">
        <is>
          <t>Mark Session Complete - Auto-fill N/A for Unassessed Students</t>
        </is>
      </c>
      <c r="F13" s="28" t="inlineStr">
        <is>
          <t>Verify that marking a session complete automatically fills ratings for unassessed students with N/A and closes the session.</t>
        </is>
      </c>
      <c r="G13" s="28" t="inlineStr">
        <is>
          <t>Staff user is logged in. Batch PNV26A session on 17/07/2026 is complete for ST001 but ST002 has no observations.</t>
        </is>
      </c>
      <c r="H13" s="28" t="inlineStr">
        <is>
          <t>Batch=PNV26A; Date=2026-07-17</t>
        </is>
      </c>
      <c r="I13" s="28" t="inlineStr">
        <is>
          <t>1. Open progress dashboard for PNV26A on 17/07/2026;
2. Click Mark Session Complete;
3. Check session status and ST002 record</t>
        </is>
      </c>
      <c r="J13" s="28" t="inlineStr">
        <is>
          <t>Session status becomes 'Complete'. Student ST002 is automatically filled with 'N/A' for all subjects. No unassessed students remain.</t>
        </is>
      </c>
      <c r="K13" s="28" t="inlineStr"/>
      <c r="L13" s="24" t="inlineStr">
        <is>
          <t>Not Run</t>
        </is>
      </c>
      <c r="M13" s="25" t="inlineStr">
        <is>
          <t>High</t>
        </is>
      </c>
      <c r="N13" s="28" t="inlineStr">
        <is>
          <t>Related Requirement: M02-F07, Scenario: SC-08</t>
        </is>
      </c>
    </row>
    <row r="14" ht="90" customHeight="1">
      <c r="A14" s="21" t="inlineStr">
        <is>
          <t>TC-M02-013</t>
        </is>
      </c>
      <c r="B14" s="21" t="inlineStr">
        <is>
          <t>Module 02</t>
        </is>
      </c>
      <c r="C14" s="22" t="inlineStr">
        <is>
          <t>M02-F07</t>
        </is>
      </c>
      <c r="D14" s="23" t="inlineStr">
        <is>
          <t>Session Management</t>
        </is>
      </c>
      <c r="E14" s="23" t="inlineStr">
        <is>
          <t>Block Edits on Completed Session</t>
        </is>
      </c>
      <c r="F14" s="23" t="inlineStr">
        <is>
          <t>Verify that staff cannot edit or create observations once a session is marked Complete.</t>
        </is>
      </c>
      <c r="G14" s="23" t="inlineStr">
        <is>
          <t>Staff user is logged in. Batch PNV26A session on 17/07/2026 is marked Complete.</t>
        </is>
      </c>
      <c r="H14" s="23" t="inlineStr">
        <is>
          <t>Batch=PNV26A; Date=2026-07-17</t>
        </is>
      </c>
      <c r="I14" s="23" t="inlineStr">
        <is>
          <t>1. Open completed session for PNV26A on 17/07/2026;
2. Try clicking Edit or Add Observation for this date;
3. Observe UI and server response if save is sent</t>
        </is>
      </c>
      <c r="J14" s="23" t="inlineStr">
        <is>
          <t>Edit/Add buttons are hidden or disabled. Server rejects any manual save attempts with error "Form may be outdated." or "Session outdated.".</t>
        </is>
      </c>
      <c r="K14" s="23" t="inlineStr"/>
      <c r="L14" s="24" t="inlineStr">
        <is>
          <t>Not Run</t>
        </is>
      </c>
      <c r="M14" s="25" t="inlineStr">
        <is>
          <t>High</t>
        </is>
      </c>
      <c r="N14" s="23" t="inlineStr">
        <is>
          <t>Related Requirement: M02-F07, Scenario: SC-08, Business Rules</t>
        </is>
      </c>
    </row>
    <row r="15" ht="90" customHeight="1">
      <c r="A15" s="26" t="inlineStr">
        <is>
          <t>TC-M02-014</t>
        </is>
      </c>
      <c r="B15" s="26" t="inlineStr">
        <is>
          <t>Module 02</t>
        </is>
      </c>
      <c r="C15" s="27" t="inlineStr">
        <is>
          <t>M02-F08</t>
        </is>
      </c>
      <c r="D15" s="28" t="inlineStr">
        <is>
          <t>Session Progress</t>
        </is>
      </c>
      <c r="E15" s="28" t="inlineStr">
        <is>
          <t>Verify Session Progress Dashboard Indicators</t>
        </is>
      </c>
      <c r="F15" s="28" t="inlineStr">
        <is>
          <t>Verify that the progress dashboard shows accurate completion rate and lists unassessed students.</t>
        </is>
      </c>
      <c r="G15" s="28" t="inlineStr">
        <is>
          <t>Staff user is logged in. Batch PNV26A has 10 students; 4 have observations, 6 do not.</t>
        </is>
      </c>
      <c r="H15" s="28" t="inlineStr">
        <is>
          <t>Batch=PNV26A; Date=2026-07-17</t>
        </is>
      </c>
      <c r="I15" s="28" t="inlineStr">
        <is>
          <t>1. Open Scan Management;
2. Navigate to progress details for PNV26A on 17/07/2026;
3. Check percentage and unassessed student list</t>
        </is>
      </c>
      <c r="J15" s="28" t="inlineStr">
        <is>
          <t>Dashboard displays '40% Complete' (or '4/10 students assessed'). Status is 'Incomplete'. Names of the 6 unassessed students are listed.</t>
        </is>
      </c>
      <c r="K15" s="28" t="inlineStr"/>
      <c r="L15" s="24" t="inlineStr">
        <is>
          <t>Not Run</t>
        </is>
      </c>
      <c r="M15" s="29" t="inlineStr">
        <is>
          <t>Medium</t>
        </is>
      </c>
      <c r="N15" s="28" t="inlineStr">
        <is>
          <t>Related Requirement: M02-F08, Scenario: SC-09</t>
        </is>
      </c>
    </row>
    <row r="16" ht="150" customHeight="1">
      <c r="A16" s="21" t="inlineStr">
        <is>
          <t>TC-M02-015</t>
        </is>
      </c>
      <c r="B16" s="21" t="inlineStr">
        <is>
          <t>Module 02</t>
        </is>
      </c>
      <c r="C16" s="22" t="inlineStr">
        <is>
          <t>M02-F09</t>
        </is>
      </c>
      <c r="D16" s="23" t="inlineStr">
        <is>
          <t>Concurrent Edit Handling</t>
        </is>
      </c>
      <c r="E16" s="23" t="inlineStr">
        <is>
          <t>Three-Way Merge - Non-conflicting Concurrent Edits</t>
        </is>
      </c>
      <c r="F16" s="23" t="inlineStr">
        <is>
          <t>Verify that when two staff members edit different subjects on the same observation record simultaneously, changes are merged.</t>
        </is>
      </c>
      <c r="G16" s="23" t="inlineStr">
        <is>
          <t>Staff Teacher A and Teacher B are logged in. Student ST001 has IT Comment 'Good performance', English is blank.</t>
        </is>
      </c>
      <c r="H16" s="23" t="inlineStr">
        <is>
          <t>ST001 observation details on 17/07/2026</t>
        </is>
      </c>
      <c r="I16" s="23" t="inlineStr">
        <is>
          <t>1. Teacher A opens ST001 edit form;
2. Teacher B opens ST001 edit form;
3. Teacher B updates IT Comment to 'Excellent performance' and clicks Save first;
4. Teacher A updates English Comment to 'Good English speaking' (keeping IT comment original) and clicks Save</t>
        </is>
      </c>
      <c r="J16" s="23" t="inlineStr">
        <is>
          <t>Three-way merge is successful. Saved record has IT Comment 'Excellent performance' and English Comment 'Good English speaking'. Teacher A receives warning: "Saved, but some fields were updated by another teacher."</t>
        </is>
      </c>
      <c r="K16" s="23" t="inlineStr"/>
      <c r="L16" s="24" t="inlineStr">
        <is>
          <t>Not Run</t>
        </is>
      </c>
      <c r="M16" s="25" t="inlineStr">
        <is>
          <t>High</t>
        </is>
      </c>
      <c r="N16" s="23" t="inlineStr">
        <is>
          <t>Related Requirement: M02-F09, Scenario: SC-10, Three-Way Merge</t>
        </is>
      </c>
    </row>
    <row r="17" ht="135" customHeight="1">
      <c r="A17" s="26" t="inlineStr">
        <is>
          <t>TC-M02-016</t>
        </is>
      </c>
      <c r="B17" s="26" t="inlineStr">
        <is>
          <t>Module 02</t>
        </is>
      </c>
      <c r="C17" s="27" t="inlineStr">
        <is>
          <t>M02-F09</t>
        </is>
      </c>
      <c r="D17" s="28" t="inlineStr">
        <is>
          <t>Concurrent Edit Handling</t>
        </is>
      </c>
      <c r="E17" s="28" t="inlineStr">
        <is>
          <t>Three-Way Merge - Conflicting Concurrent Edits</t>
        </is>
      </c>
      <c r="F17" s="28" t="inlineStr">
        <is>
          <t>Verify that when two staff members edit the same field of an observation record simultaneously, the system flags a conflict and alerts the user.</t>
        </is>
      </c>
      <c r="G17" s="28" t="inlineStr">
        <is>
          <t>Teacher A and Teacher B are logged in. Student ST001 has IT Comment 'Good performance'.</t>
        </is>
      </c>
      <c r="H17" s="28" t="inlineStr">
        <is>
          <t>ST001 observation details on 17/07/2026</t>
        </is>
      </c>
      <c r="I17" s="28" t="inlineStr">
        <is>
          <t>1. Teacher A opens ST001 edit form;
2. Teacher B opens ST001 edit form;
3. Teacher B updates IT Comment to 'Excellent performance' and clicks Save;
4. Teacher A updates IT Comment to 'Very good performance' and clicks Save after Teacher B</t>
        </is>
      </c>
      <c r="J17" s="28" t="inlineStr">
        <is>
          <t>Teacher A's save triggers a conflict warning. The system flags that the IT Comment field has a conflict. Teacher A receives warning message: "Saved, but some fields were updated by another teacher." or "Form may be outdated.", and Teacher B's value 'Excellent performance' is kept (or conflict resolution UI is shown).</t>
        </is>
      </c>
      <c r="K17" s="28" t="inlineStr"/>
      <c r="L17" s="24" t="inlineStr">
        <is>
          <t>Not Run</t>
        </is>
      </c>
      <c r="M17" s="25" t="inlineStr">
        <is>
          <t>High</t>
        </is>
      </c>
      <c r="N17" s="28" t="inlineStr">
        <is>
          <t>Related Requirement: M02-F09, Scenario: SC-10, Three-Way Merge</t>
        </is>
      </c>
    </row>
    <row r="18" ht="105" customHeight="1">
      <c r="A18" s="21" t="inlineStr">
        <is>
          <t>TC-M02-017</t>
        </is>
      </c>
      <c r="B18" s="21" t="inlineStr">
        <is>
          <t>Module 02</t>
        </is>
      </c>
      <c r="C18" s="22" t="inlineStr">
        <is>
          <t>M02-F10</t>
        </is>
      </c>
      <c r="D18" s="23" t="inlineStr">
        <is>
          <t>Search, Filter &amp; Sorting</t>
        </is>
      </c>
      <c r="E18" s="23" t="inlineStr">
        <is>
          <t>Search Student by Full or Partial Name</t>
        </is>
      </c>
      <c r="F18" s="23" t="inlineStr">
        <is>
          <t>Verify that searching student list by full or partial name correctly filters the observation records.</t>
        </is>
      </c>
      <c r="G18" s="23" t="inlineStr">
        <is>
          <t>Staff user is logged in. Student list contains 'Nguyen Van A' and 'Tran Thi B'.</t>
        </is>
      </c>
      <c r="H18" s="23" t="inlineStr">
        <is>
          <t>SearchQuery1=Nguyen Van A; SearchQuery2=Thi</t>
        </is>
      </c>
      <c r="I18" s="23" t="inlineStr">
        <is>
          <t>1. Open Scan Management;
2. Enter 'Nguyen Van A' in the Search box and observe the student list;
3. Clear the search and enter 'Thi' in the search box; 4. Observe the student list</t>
        </is>
      </c>
      <c r="J18" s="23" t="inlineStr">
        <is>
          <t>Searching 'Nguyen Van A' displays only Nguyen Van A. Searching 'Thi' displays only Tran Thi B (matching partial name 'Thi'). List updates in real-time.</t>
        </is>
      </c>
      <c r="K18" s="23" t="inlineStr"/>
      <c r="L18" s="24" t="inlineStr">
        <is>
          <t>Not Run</t>
        </is>
      </c>
      <c r="M18" s="29" t="inlineStr">
        <is>
          <t>Medium</t>
        </is>
      </c>
      <c r="N18" s="23" t="inlineStr">
        <is>
          <t>Related Requirement: M02-F10, Scenario: SC-11</t>
        </is>
      </c>
    </row>
    <row r="19" ht="105" customHeight="1">
      <c r="A19" s="26" t="inlineStr">
        <is>
          <t>TC-M02-018</t>
        </is>
      </c>
      <c r="B19" s="26" t="inlineStr">
        <is>
          <t>Module 02</t>
        </is>
      </c>
      <c r="C19" s="27" t="inlineStr">
        <is>
          <t>M02-F10</t>
        </is>
      </c>
      <c r="D19" s="28" t="inlineStr">
        <is>
          <t>Search, Filter &amp; Sorting</t>
        </is>
      </c>
      <c r="E19" s="28" t="inlineStr">
        <is>
          <t>Filter Observations by Status</t>
        </is>
      </c>
      <c r="F19" s="28" t="inlineStr">
        <is>
          <t>Verify that staff can filter the student list by observation status (Complete / Incomplete).</t>
        </is>
      </c>
      <c r="G19" s="28" t="inlineStr">
        <is>
          <t>Staff user is logged in. Batch PNV26A contains some students with complete observations and others incomplete.</t>
        </is>
      </c>
      <c r="H19" s="28" t="inlineStr">
        <is>
          <t>StatusFilter=Incomplete</t>
        </is>
      </c>
      <c r="I19" s="28" t="inlineStr">
        <is>
          <t>1. Open Scan Management;
2. Select Batch PNV26A;
3. In the Status filter dropdown, select Incomplete;
4. Observe the filtered list</t>
        </is>
      </c>
      <c r="J19" s="28" t="inlineStr">
        <is>
          <t>The student list displays only students who do not have all 4 subjects completed. Students with fully completed observations are hidden.</t>
        </is>
      </c>
      <c r="K19" s="28" t="inlineStr"/>
      <c r="L19" s="24" t="inlineStr">
        <is>
          <t>Not Run</t>
        </is>
      </c>
      <c r="M19" s="29" t="inlineStr">
        <is>
          <t>Medium</t>
        </is>
      </c>
      <c r="N19" s="28" t="inlineStr">
        <is>
          <t>Related Requirement: M02-F10, Scenario: SC-11</t>
        </is>
      </c>
    </row>
    <row r="20" ht="150" customHeight="1">
      <c r="A20" s="21" t="inlineStr">
        <is>
          <t>TC-M02-019</t>
        </is>
      </c>
      <c r="B20" s="21" t="inlineStr">
        <is>
          <t>Module 02</t>
        </is>
      </c>
      <c r="C20" s="22" t="inlineStr">
        <is>
          <t>M02-F10</t>
        </is>
      </c>
      <c r="D20" s="23" t="inlineStr">
        <is>
          <t>Search, Filter &amp; Sorting</t>
        </is>
      </c>
      <c r="E20" s="23" t="inlineStr">
        <is>
          <t>Sort Students Alphabetically and by Completion Progress</t>
        </is>
      </c>
      <c r="F20" s="23" t="inlineStr">
        <is>
          <t>Verify that the student list can be sorted alphabetically or by observation completion progress.</t>
        </is>
      </c>
      <c r="G20" s="23" t="inlineStr">
        <is>
          <t>Staff user is logged in. Batch PNV26A exists.</t>
        </is>
      </c>
      <c r="H20" s="23" t="inlineStr">
        <is>
          <t>SortOptions=Alphabetical, CompletionProgress</t>
        </is>
      </c>
      <c r="I20" s="23" t="inlineStr">
        <is>
          <t>1. Open Scan Management;
2. Click the Sort dropdown and select Alphabetical (A-Z);
3. Verify list sorting;
4. Click Sort dropdown and select Completion Progress (Lowest to Highest);
5. Verify list sorting</t>
        </is>
      </c>
      <c r="J20" s="23" t="inlineStr">
        <is>
          <t>The student list rearranges correctly. Alphabetical sorting orders students by name A-Z. Completion sorting displays students with fewer completed subjects first.</t>
        </is>
      </c>
      <c r="K20" s="23" t="inlineStr"/>
      <c r="L20" s="24" t="inlineStr">
        <is>
          <t>Not Run</t>
        </is>
      </c>
      <c r="M20" s="29" t="inlineStr">
        <is>
          <t>Medium</t>
        </is>
      </c>
      <c r="N20" s="23" t="inlineStr">
        <is>
          <t>Related Requirement: M02-F10, Scenario: SC-11</t>
        </is>
      </c>
    </row>
    <row r="21" ht="75" customHeight="1">
      <c r="A21" s="26" t="inlineStr">
        <is>
          <t>TC-M02-020</t>
        </is>
      </c>
      <c r="B21" s="26" t="inlineStr">
        <is>
          <t>Module 02</t>
        </is>
      </c>
      <c r="C21" s="27" t="inlineStr">
        <is>
          <t>M02-F11</t>
        </is>
      </c>
      <c r="D21" s="28" t="inlineStr">
        <is>
          <t>Dashboard Overview</t>
        </is>
      </c>
      <c r="E21" s="28" t="inlineStr">
        <is>
          <t>Verify Dashboard Stats and Observation Completion Rate</t>
        </is>
      </c>
      <c r="F21" s="28" t="inlineStr">
        <is>
          <t>Verify that the dashboard displays correct metrics for active sessions, completed sessions, and completion rate.</t>
        </is>
      </c>
      <c r="G21" s="28" t="inlineStr">
        <is>
          <t>Staff user is logged in. System has 3 active sessions (2 complete, 1 incomplete). Total 30 observation records possible, 24 completed.</t>
        </is>
      </c>
      <c r="H21" s="28" t="inlineStr">
        <is>
          <t>None</t>
        </is>
      </c>
      <c r="I21" s="28" t="inlineStr">
        <is>
          <t>1. Navigate to the Dashboard Overview page;
2. Observe the observation-related statistics cards</t>
        </is>
      </c>
      <c r="J21" s="28" t="inlineStr">
        <is>
          <t>The dashboard displays: Active Observation Sessions = 3, Completed Sessions = 2, Incomplete Sessions = 1, Observation Completion Rate = 80% (24/30). Metrics are calculated accurately.</t>
        </is>
      </c>
      <c r="K21" s="28" t="inlineStr"/>
      <c r="L21" s="24" t="inlineStr">
        <is>
          <t>Not Run</t>
        </is>
      </c>
      <c r="M21" s="29" t="inlineStr">
        <is>
          <t>Medium</t>
        </is>
      </c>
      <c r="N21" s="28" t="inlineStr">
        <is>
          <t>Related Requirement: M02-F11, Scenario: SC-12</t>
        </is>
      </c>
    </row>
    <row r="22" ht="105" customHeight="1">
      <c r="A22" s="21" t="inlineStr">
        <is>
          <t>TC-M02-021</t>
        </is>
      </c>
      <c r="B22" s="21" t="inlineStr">
        <is>
          <t>Module 02</t>
        </is>
      </c>
      <c r="C22" s="22" t="inlineStr">
        <is>
          <t>M02-F11</t>
        </is>
      </c>
      <c r="D22" s="23" t="inlineStr">
        <is>
          <t>Dashboard Overview</t>
        </is>
      </c>
      <c r="E22" s="23" t="inlineStr">
        <is>
          <t>Verify Dashboard Auto-refresh after Observation Data Updates</t>
        </is>
      </c>
      <c r="F22" s="23" t="inlineStr">
        <is>
          <t>Verify that observation dashboard statistics update immediately when observations are completed or edited.</t>
        </is>
      </c>
      <c r="G22" s="23" t="inlineStr">
        <is>
          <t>Staff user is logged in. Dashboard currently displays Completion Rate = 80%.</t>
        </is>
      </c>
      <c r="H22" s="23" t="inlineStr">
        <is>
          <t>New observation saved for ST005.</t>
        </is>
      </c>
      <c r="I22" s="23" t="inlineStr">
        <is>
          <t>1. Open Scan Management and record a new observation for ST005 (completing all remaining subjects for that day);
2. Go to Dashboard immediately;
3. Observe the Completion Rate statistic</t>
        </is>
      </c>
      <c r="J22" s="23" t="inlineStr">
        <is>
          <t>The Completion Rate percentage card on the dashboard updates immediately to a higher percentage (e.g. 83%) without requiring a browser refresh.</t>
        </is>
      </c>
      <c r="K22" s="23" t="inlineStr"/>
      <c r="L22" s="24" t="inlineStr">
        <is>
          <t>Not Run</t>
        </is>
      </c>
      <c r="M22" s="29" t="inlineStr">
        <is>
          <t>Medium</t>
        </is>
      </c>
      <c r="N22" s="23" t="inlineStr">
        <is>
          <t>Related Requirement: M02-F11, Scenario: SC-12</t>
        </is>
      </c>
    </row>
    <row r="23" ht="120" customHeight="1">
      <c r="A23" s="26" t="inlineStr">
        <is>
          <t>TC-M02-022</t>
        </is>
      </c>
      <c r="B23" s="26" t="inlineStr">
        <is>
          <t>Module 02</t>
        </is>
      </c>
      <c r="C23" s="27" t="inlineStr">
        <is>
          <t>M02-F01</t>
        </is>
      </c>
      <c r="D23" s="28" t="inlineStr">
        <is>
          <t>Single Observation Entry</t>
        </is>
      </c>
      <c r="E23" s="28" t="inlineStr">
        <is>
          <t>Record Observation Blocked with Empty Date</t>
        </is>
      </c>
      <c r="F23" s="28" t="inlineStr">
        <is>
          <t>Verify that the system blocks saving an observation if the date field is empty.</t>
        </is>
      </c>
      <c r="G23" s="28" t="inlineStr">
        <is>
          <t>Staff user is logged in.</t>
        </is>
      </c>
      <c r="H23" s="28" t="inlineStr">
        <is>
          <t>Student=ST001; Date=Empty; IT_Rating=S; IT_Notes=Good progress</t>
        </is>
      </c>
      <c r="I23" s="28" t="inlineStr">
        <is>
          <t>1. Open Scan Management;
2. Select Student ST001;
3. Leave Observation Date empty;
4. Enter IT rating 'S' and notes 'Good progress';
5. Click Save</t>
        </is>
      </c>
      <c r="J23" s="28" t="inlineStr">
        <is>
          <t>Saving is blocked. A validation error message requires Observation Date to be selected. No record is saved.</t>
        </is>
      </c>
      <c r="K23" s="28" t="inlineStr"/>
      <c r="L23" s="24" t="inlineStr">
        <is>
          <t>Not Run</t>
        </is>
      </c>
      <c r="M23" s="25" t="inlineStr">
        <is>
          <t>High</t>
        </is>
      </c>
      <c r="N23" s="28" t="inlineStr">
        <is>
          <t>Related Requirement: M02-F01, Scenario: SC-01, Validation Rules</t>
        </is>
      </c>
    </row>
    <row r="24" ht="120" customHeight="1">
      <c r="A24" s="21" t="inlineStr">
        <is>
          <t>TC-M02-023</t>
        </is>
      </c>
      <c r="B24" s="21" t="inlineStr">
        <is>
          <t>Module 02</t>
        </is>
      </c>
      <c r="C24" s="22" t="inlineStr">
        <is>
          <t>M02-F01</t>
        </is>
      </c>
      <c r="D24" s="23" t="inlineStr">
        <is>
          <t>Single Observation Entry</t>
        </is>
      </c>
      <c r="E24" s="23" t="inlineStr">
        <is>
          <t>Record Observation Blocked with Empty Student</t>
        </is>
      </c>
      <c r="F24" s="23" t="inlineStr">
        <is>
          <t>Verify that the system blocks saving an observation if no student is selected.</t>
        </is>
      </c>
      <c r="G24" s="23" t="inlineStr">
        <is>
          <t>Staff user is logged in.</t>
        </is>
      </c>
      <c r="H24" s="23" t="inlineStr">
        <is>
          <t>Student=Empty; Date=2026-07-17; IT_Rating=S; IT_Notes=Good progress</t>
        </is>
      </c>
      <c r="I24" s="23" t="inlineStr">
        <is>
          <t>1. Open Scan Management;
2. Select Date: 17/07/2026;
3. Leave Student dropdown empty;
4. Enter IT rating 'S' and notes 'Good progress';
5. Click Save</t>
        </is>
      </c>
      <c r="J24" s="23" t="inlineStr">
        <is>
          <t>Saving is blocked. A validation error message requires a student to be selected. No record is saved.</t>
        </is>
      </c>
      <c r="K24" s="23" t="inlineStr"/>
      <c r="L24" s="24" t="inlineStr">
        <is>
          <t>Not Run</t>
        </is>
      </c>
      <c r="M24" s="25" t="inlineStr">
        <is>
          <t>High</t>
        </is>
      </c>
      <c r="N24" s="23" t="inlineStr">
        <is>
          <t>Related Requirement: M02-F01, Scenario: SC-01, Validation Rules</t>
        </is>
      </c>
    </row>
    <row r="25" ht="150" customHeight="1">
      <c r="A25" s="26" t="inlineStr">
        <is>
          <t>TC-M02-024</t>
        </is>
      </c>
      <c r="B25" s="26" t="inlineStr">
        <is>
          <t>Module 02</t>
        </is>
      </c>
      <c r="C25" s="27" t="inlineStr">
        <is>
          <t>M02-F03</t>
        </is>
      </c>
      <c r="D25" s="28" t="inlineStr">
        <is>
          <t>Batch Entry – All Subjects</t>
        </is>
      </c>
      <c r="E25" s="28" t="inlineStr">
        <is>
          <t>Batch Entry All Subjects Skips Empty Student Rows</t>
        </is>
      </c>
      <c r="F25" s="28" t="inlineStr">
        <is>
          <t>Verify that batch entry for all subjects skips students with completely empty inputs and reports skipped counts.</t>
        </is>
      </c>
      <c r="G25" s="28" t="inlineStr">
        <is>
          <t>Staff user is logged in. Batch PNV26A contains active students ST001 to ST005.</t>
        </is>
      </c>
      <c r="H25" s="28" t="inlineStr">
        <is>
          <t>Batch=PNV26A; Date=2026-07-17; Inputs for ST001, ST002, ST003; ST004 and ST005 are left blank.</t>
        </is>
      </c>
      <c r="I25" s="28" t="inlineStr">
        <is>
          <t>1. Open Scan Management and choose Batch Entry - All Subjects;
2. Select Batch PNV26A and Date 17/07/2026;
3. Enter ratings and notes for ST001, ST002, and ST003;
4. Leave rows for ST004 and ST005 completely empty;
5. Click Save All</t>
        </is>
      </c>
      <c r="J25" s="28" t="inlineStr">
        <is>
          <t>Records are saved successfully for ST001, ST002, and ST003. A message displays: "Saved 3 students, Skipped 2 students". No empty records are created for ST004 and ST005.</t>
        </is>
      </c>
      <c r="K25" s="28" t="inlineStr"/>
      <c r="L25" s="24" t="inlineStr">
        <is>
          <t>Not Run</t>
        </is>
      </c>
      <c r="M25" s="25" t="inlineStr">
        <is>
          <t>High</t>
        </is>
      </c>
      <c r="N25" s="28" t="inlineStr">
        <is>
          <t>Related Requirement: M02-F03, Scenario: SC-03, Batch Entry</t>
        </is>
      </c>
    </row>
    <row r="26" ht="135" customHeight="1">
      <c r="A26" s="21" t="inlineStr">
        <is>
          <t>TC-M02-025</t>
        </is>
      </c>
      <c r="B26" s="21" t="inlineStr">
        <is>
          <t>Module 02</t>
        </is>
      </c>
      <c r="C26" s="22" t="inlineStr">
        <is>
          <t>M02-F02</t>
        </is>
      </c>
      <c r="D26" s="23" t="inlineStr">
        <is>
          <t>Auto Rating Suggestion</t>
        </is>
      </c>
      <c r="E26" s="23" t="inlineStr">
        <is>
          <t>Auto Rating Cleared When Notes Are Erased</t>
        </is>
      </c>
      <c r="F26" s="23" t="inlineStr">
        <is>
          <t>Verify that if a user types notes to trigger a rating, then erases the notes, the suggested rating is reset.</t>
        </is>
      </c>
      <c r="G26" s="23" t="inlineStr">
        <is>
          <t>Staff user is logged in. System has suggested rating 'G' after notes were typed.</t>
        </is>
      </c>
      <c r="H26" s="23" t="inlineStr">
        <is>
          <t>Subject=PLT; Initial Notes='Excellent student'; Erased Notes=''</t>
        </is>
      </c>
      <c r="I26" s="23" t="inlineStr">
        <is>
          <t>1. Open observation entry for PLT;
2. Type notes: 'Excellent student';
3. Wait 400ms for suggestion 'G' to appear;
4. Clear the notes text area completely;
5. Observe rating dropdown</t>
        </is>
      </c>
      <c r="J26" s="23" t="inlineStr">
        <is>
          <t>The suggested rating 'G' is cleared, and the rating dropdown resets to the default '-' (Not Yet Assessed).</t>
        </is>
      </c>
      <c r="K26" s="23" t="inlineStr"/>
      <c r="L26" s="24" t="inlineStr">
        <is>
          <t>Not Run</t>
        </is>
      </c>
      <c r="M26" s="29" t="inlineStr">
        <is>
          <t>Medium</t>
        </is>
      </c>
      <c r="N26" s="23" t="inlineStr">
        <is>
          <t>Related Requirement: M02-F02, Scenario: SC-02, Auto Rating Suggestion</t>
        </is>
      </c>
    </row>
    <row r="27" ht="120" customHeight="1">
      <c r="A27" s="26" t="inlineStr">
        <is>
          <t>TC-M02-026</t>
        </is>
      </c>
      <c r="B27" s="26" t="inlineStr">
        <is>
          <t>Module 02</t>
        </is>
      </c>
      <c r="C27" s="27" t="inlineStr">
        <is>
          <t>M02-F02</t>
        </is>
      </c>
      <c r="D27" s="28" t="inlineStr">
        <is>
          <t>Auto Rating Suggestion</t>
        </is>
      </c>
      <c r="E27" s="28" t="inlineStr">
        <is>
          <t>Auto Rating Suggestion Debounced During Continuous Typing</t>
        </is>
      </c>
      <c r="F27" s="28" t="inlineStr">
        <is>
          <t>Verify that the 400ms auto-rating suggestion timer is reset (debounced) as long as typing continues.</t>
        </is>
      </c>
      <c r="G27" s="28" t="inlineStr">
        <is>
          <t>Staff user is logged in.</t>
        </is>
      </c>
      <c r="H27" s="28" t="inlineStr">
        <is>
          <t>Subject=IT; Notes='The student is trying very hard to solve the logic problems' typed with 200ms key pauses.</t>
        </is>
      </c>
      <c r="I27" s="28" t="inlineStr">
        <is>
          <t>1. Open observation entry for IT;
2. Type notes continuously, pausing only 200ms between words;
3. Observe the rating dropdown during typing;
4. Stop typing completely and wait 400ms</t>
        </is>
      </c>
      <c r="J27" s="28" t="inlineStr">
        <is>
          <t>No rating suggestion is selected or triggered while the user is actively typing. The suggestion only triggers 400ms after the user stops typing completely.</t>
        </is>
      </c>
      <c r="K27" s="28" t="inlineStr"/>
      <c r="L27" s="24" t="inlineStr">
        <is>
          <t>Not Run</t>
        </is>
      </c>
      <c r="M27" s="29" t="inlineStr">
        <is>
          <t>Medium</t>
        </is>
      </c>
      <c r="N27" s="28" t="inlineStr">
        <is>
          <t>Related Requirement: M02-F02, Scenario: SC-02, Auto Rating Suggestion</t>
        </is>
      </c>
    </row>
    <row r="28" ht="105" customHeight="1">
      <c r="A28" s="21" t="inlineStr">
        <is>
          <t>TC-M02-027</t>
        </is>
      </c>
      <c r="B28" s="21" t="inlineStr">
        <is>
          <t>Module 02</t>
        </is>
      </c>
      <c r="C28" s="22" t="inlineStr">
        <is>
          <t>M02-F04</t>
        </is>
      </c>
      <c r="D28" s="23" t="inlineStr">
        <is>
          <t>Batch Entry – By Subject</t>
        </is>
      </c>
      <c r="E28" s="23" t="inlineStr">
        <is>
          <t>Batch Entry By Subject Blocks Save for Students Exceeding Merge Limit</t>
        </is>
      </c>
      <c r="F28" s="23" t="inlineStr">
        <is>
          <t>Verify that Batch Entry by Subject rejects saving a student's observation if that student already has 3 or more completed subjects, while saving other students.</t>
        </is>
      </c>
      <c r="G28" s="23" t="inlineStr">
        <is>
          <t>Staff user is logged in. Student ST001 has 3 completed subjects (IT, PLT, English) for date 17/07/2026. ST002 has 1 completed subject.</t>
        </is>
      </c>
      <c r="H28" s="23" t="inlineStr">
        <is>
          <t>Batch=PNV26A; Subject=English; Date=2026-07-17; ST001 English=G; ST002 English=S</t>
        </is>
      </c>
      <c r="I28" s="23" t="inlineStr">
        <is>
          <t>1. Open Batch Entry - By Subject;
2. Select Batch PNV26A, Date: 17/07/2026, and Subject: English;
3. Enter ratings/notes for ST001 and ST002;
4. Click Save</t>
        </is>
      </c>
      <c r="J28" s="23" t="inlineStr">
        <is>
          <t>ST002 English observation is saved. ST001 save is rejected with a warning/error that a record for this date already exists/exceeds merge limit. The existing ST001 record is preserved.</t>
        </is>
      </c>
      <c r="K28" s="23" t="inlineStr"/>
      <c r="L28" s="24" t="inlineStr">
        <is>
          <t>Not Run</t>
        </is>
      </c>
      <c r="M28" s="25" t="inlineStr">
        <is>
          <t>High</t>
        </is>
      </c>
      <c r="N28" s="23" t="inlineStr">
        <is>
          <t>Related Requirement: M02-F04, Scenario: SC-04, Rule 2</t>
        </is>
      </c>
    </row>
    <row r="29" ht="90" customHeight="1">
      <c r="A29" s="26" t="inlineStr">
        <is>
          <t>TC-M02-028</t>
        </is>
      </c>
      <c r="B29" s="26" t="inlineStr">
        <is>
          <t>Module 02</t>
        </is>
      </c>
      <c r="C29" s="27" t="inlineStr">
        <is>
          <t>M02-SEC</t>
        </is>
      </c>
      <c r="D29" s="28" t="inlineStr">
        <is>
          <t>Access Control &amp; Security</t>
        </is>
      </c>
      <c r="E29" s="28" t="inlineStr">
        <is>
          <t>Block Student Access to Scan Management</t>
        </is>
      </c>
      <c r="F29" s="28" t="inlineStr">
        <is>
          <t>Verify that a user logged in with a Student email cannot access the Scan Management page or endpoints.</t>
        </is>
      </c>
      <c r="G29" s="28" t="inlineStr">
        <is>
          <t>User has student email account student01@student.passerellesnumeriques.org.</t>
        </is>
      </c>
      <c r="H29" s="28" t="inlineStr">
        <is>
          <t>Email=student01@student.passerellesnumeriques.org</t>
        </is>
      </c>
      <c r="I29" s="28" t="inlineStr">
        <is>
          <t>1. Log in to the application as student;
2. Attempt to navigate to the Scan Management page directly via URL;
3. Observe the system response</t>
        </is>
      </c>
      <c r="J29" s="28" t="inlineStr">
        <is>
          <t>The Scan Management option is not available in the menu. Direct URL access is blocked, displaying "Access Denied" or redirecting to the Student Portal home page.</t>
        </is>
      </c>
      <c r="K29" s="28" t="inlineStr"/>
      <c r="L29" s="24" t="inlineStr">
        <is>
          <t>Not Run</t>
        </is>
      </c>
      <c r="M29" s="25" t="inlineStr">
        <is>
          <t>High</t>
        </is>
      </c>
      <c r="N29" s="28" t="inlineStr">
        <is>
          <t>Related Requirement: General Rules, Scenario: SC-01, User Roles</t>
        </is>
      </c>
    </row>
    <row r="30" ht="105" customHeight="1">
      <c r="A30" s="21" t="inlineStr">
        <is>
          <t>TC-M02-029</t>
        </is>
      </c>
      <c r="B30" s="21" t="inlineStr">
        <is>
          <t>Module 02</t>
        </is>
      </c>
      <c r="C30" s="22" t="inlineStr">
        <is>
          <t>M02-F09</t>
        </is>
      </c>
      <c r="D30" s="23" t="inlineStr">
        <is>
          <t>Concurrent Edit Handling</t>
        </is>
      </c>
      <c r="E30" s="23" t="inlineStr">
        <is>
          <t>Concurrent Edit Saving Blocked When Session Closed</t>
        </is>
      </c>
      <c r="F30" s="23" t="inlineStr">
        <is>
          <t>Verify that if a staff member attempts to save a student observation while another staff member completes the session, the save is blocked.</t>
        </is>
      </c>
      <c r="G30" s="23" t="inlineStr">
        <is>
          <t>Staff Teacher A and Teacher B are logged in. Batch PNV26A session on 17/07/2026 is Incomplete. Student ST001 has an observation.</t>
        </is>
      </c>
      <c r="H30" s="23" t="inlineStr">
        <is>
          <t>Session on 17/07/2026</t>
        </is>
      </c>
      <c r="I30" s="23" t="inlineStr">
        <is>
          <t>1. Teacher A opens ST001 edit form;
2. Teacher B goes to progress dashboard and clicks Mark Session Complete (session status becomes Complete);
3. Teacher A edits ST001 PLT comment and clicks Save</t>
        </is>
      </c>
      <c r="J30" s="23" t="inlineStr">
        <is>
          <t>Teacher A's save is rejected by the server because the session has been closed. An error message "Form may be outdated." or "Session outdated." is displayed. Changes are not saved.</t>
        </is>
      </c>
      <c r="K30" s="23" t="inlineStr"/>
      <c r="L30" s="24" t="inlineStr">
        <is>
          <t>Not Run</t>
        </is>
      </c>
      <c r="M30" s="25" t="inlineStr">
        <is>
          <t>High</t>
        </is>
      </c>
      <c r="N30" s="23" t="inlineStr">
        <is>
          <t>Related Requirement: M02-F09, Scenario: SC-10, Session Completion &amp; Concurrency</t>
        </is>
      </c>
    </row>
    <row r="31" ht="105" customHeight="1">
      <c r="A31" s="26" t="inlineStr">
        <is>
          <t>TC-M02-030</t>
        </is>
      </c>
      <c r="B31" s="26" t="inlineStr">
        <is>
          <t>Module 02</t>
        </is>
      </c>
      <c r="C31" s="27" t="inlineStr">
        <is>
          <t>M02-F07</t>
        </is>
      </c>
      <c r="D31" s="28" t="inlineStr">
        <is>
          <t>Session Management</t>
        </is>
      </c>
      <c r="E31" s="28" t="inlineStr">
        <is>
          <t>Mark Session Complete with Empty Student List</t>
        </is>
      </c>
      <c r="F31" s="28" t="inlineStr">
        <is>
          <t>Verify that marking a session complete on a batch with no active students behaves gracefully and completes.</t>
        </is>
      </c>
      <c r="G31" s="28" t="inlineStr">
        <is>
          <t>Staff user is logged in. Batch PNV26B is active but has no active students.</t>
        </is>
      </c>
      <c r="H31" s="28" t="inlineStr">
        <is>
          <t>Batch=PNV26B; Date=2026-07-17</t>
        </is>
      </c>
      <c r="I31" s="28" t="inlineStr">
        <is>
          <t>1. Navigate to progress dashboard of PNV26B on 17/07/2026;
2. Verify student list is empty;
3. Click Mark Session Complete;
4. Observe the session status</t>
        </is>
      </c>
      <c r="J31" s="28" t="inlineStr">
        <is>
          <t>Session status transitions to Complete successfully. Auto-filled N/A count is 0. No errors or crashes occur.</t>
        </is>
      </c>
      <c r="K31" s="28" t="inlineStr"/>
      <c r="L31" s="24" t="inlineStr">
        <is>
          <t>Not Run</t>
        </is>
      </c>
      <c r="M31" s="29" t="inlineStr">
        <is>
          <t>Medium</t>
        </is>
      </c>
      <c r="N31" s="28" t="inlineStr">
        <is>
          <t>Related Requirement: M02-F07, Scenario: SC-08, Session Completion</t>
        </is>
      </c>
    </row>
    <row r="32" ht="120" customHeight="1">
      <c r="A32" s="21" t="inlineStr">
        <is>
          <t>TC-M02-031</t>
        </is>
      </c>
      <c r="B32" s="21" t="inlineStr">
        <is>
          <t>Module 02</t>
        </is>
      </c>
      <c r="C32" s="22" t="inlineStr">
        <is>
          <t>M02-F07</t>
        </is>
      </c>
      <c r="D32" s="23" t="inlineStr">
        <is>
          <t>Session Management</t>
        </is>
      </c>
      <c r="E32" s="23" t="inlineStr">
        <is>
          <t>Block Editing of Auto-filled N/A Observations</t>
        </is>
      </c>
      <c r="F32" s="23" t="inlineStr">
        <is>
          <t>Verify that once a session is completed, the auto-filled N/A observations are locked and cannot be edited.</t>
        </is>
      </c>
      <c r="G32" s="23" t="inlineStr">
        <is>
          <t>Staff user is logged in. Batch PNV26A session on 17/07/2026 has been completed. Student ST002 was auto-filled with N/A.</t>
        </is>
      </c>
      <c r="H32" s="23" t="inlineStr">
        <is>
          <t>Student=ST002; Date=2026-07-17</t>
        </is>
      </c>
      <c r="I32" s="23" t="inlineStr">
        <is>
          <t>1. Open observation list for PNV26A on 17/07/2026;
2. Select ST002 (showing N/A for all subjects);
3. Search for Edit button or click fields to modify rating/notes;
4. Attempt to save modifications</t>
        </is>
      </c>
      <c r="J32" s="23" t="inlineStr">
        <is>
          <t>Rating select boxes and comments are read-only. Edit controls are hidden or disabled. No changes can be saved.</t>
        </is>
      </c>
      <c r="K32" s="23" t="inlineStr"/>
      <c r="L32" s="24" t="inlineStr">
        <is>
          <t>Not Run</t>
        </is>
      </c>
      <c r="M32" s="25" t="inlineStr">
        <is>
          <t>High</t>
        </is>
      </c>
      <c r="N32" s="23" t="inlineStr">
        <is>
          <t>Related Requirement: M02-F07, Scenario: SC-08, Session Completion</t>
        </is>
      </c>
    </row>
  </sheetData>
  <autoFilter ref="A1:N32"/>
  <dataValidations count="2">
    <dataValidation sqref="L2:L132" showDropDown="0" showInputMessage="0" showErrorMessage="0" allowBlank="1" errorTitle="Invalid Status" error="Please select a valid state: Passed, Failed, or Not Run" type="list">
      <formula1>"Passed,Failed,Not Run"</formula1>
    </dataValidation>
    <dataValidation sqref="M2:M13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3"/>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35" customHeight="1">
      <c r="A2" s="21" t="inlineStr">
        <is>
          <t>TC-M03-001</t>
        </is>
      </c>
      <c r="B2" s="21" t="inlineStr">
        <is>
          <t>Module 03</t>
        </is>
      </c>
      <c r="C2" s="22" t="inlineStr">
        <is>
          <t>M03-F01</t>
        </is>
      </c>
      <c r="D2" s="23" t="inlineStr">
        <is>
          <t>Course / Subject Creation</t>
        </is>
      </c>
      <c r="E2" s="23" t="inlineStr">
        <is>
          <t>Create New Subject Manually</t>
        </is>
      </c>
      <c r="F2" s="23" t="inlineStr">
        <is>
          <t>Verify that staff can create a new subject manually by choosing a batch and semester.</t>
        </is>
      </c>
      <c r="G2" s="23" t="inlineStr">
        <is>
          <t>Staff user is logged in. Batch PNV26A and Semester 1 exist.</t>
        </is>
      </c>
      <c r="H2" s="23" t="inlineStr">
        <is>
          <t>SubjectName=Programming; Batch=PNV26A; Semester=Semester 1</t>
        </is>
      </c>
      <c r="I2" s="23" t="inlineStr">
        <is>
          <t>1. Navigate to Academic Management;
2. Click Create Subject;
3. Enter subject name 'Programming';
4. Select Batch 'PNV26A' and Semester 'Semester 1';
5. Click Save</t>
        </is>
      </c>
      <c r="J2" s="23" t="inlineStr">
        <is>
          <t>Subject is created successfully. Success notification appears. 'Programming' belongs to PNV26A, Semester 1 in subject list.</t>
        </is>
      </c>
      <c r="K2" s="23" t="inlineStr"/>
      <c r="L2" s="24" t="inlineStr">
        <is>
          <t>Not Run</t>
        </is>
      </c>
      <c r="M2" s="25" t="inlineStr">
        <is>
          <t>High</t>
        </is>
      </c>
      <c r="N2" s="23" t="inlineStr">
        <is>
          <t>Related Requirement: M03-F01</t>
        </is>
      </c>
    </row>
    <row r="3" ht="90" customHeight="1">
      <c r="A3" s="26" t="inlineStr">
        <is>
          <t>TC-M03-002</t>
        </is>
      </c>
      <c r="B3" s="26" t="inlineStr">
        <is>
          <t>Module 03</t>
        </is>
      </c>
      <c r="C3" s="27" t="inlineStr">
        <is>
          <t>M03-F01</t>
        </is>
      </c>
      <c r="D3" s="28" t="inlineStr">
        <is>
          <t>Course / Subject Creation</t>
        </is>
      </c>
      <c r="E3" s="28" t="inlineStr">
        <is>
          <t>Bulk Subject Creation via Valid CSV</t>
        </is>
      </c>
      <c r="F3" s="28" t="inlineStr">
        <is>
          <t>Verify that staff can create multiple subjects simultaneously by importing a valid CSV file.</t>
        </is>
      </c>
      <c r="G3" s="28" t="inlineStr">
        <is>
          <t>Staff user is logged in. Batch PNV26A and Semester 1 exist.</t>
        </is>
      </c>
      <c r="H3" s="28" t="inlineStr">
        <is>
          <t>CSV containing: SubjectName, Batch, Semester columns with 'Programming,PNV26A,Semester 1' and 'English,PNV26A,Semester 1'</t>
        </is>
      </c>
      <c r="I3" s="28" t="inlineStr">
        <is>
          <t>1. Navigate to Academic Management;
2. Click Import Subjects via CSV;
3. Select valid CSV file;
4. Click Import</t>
        </is>
      </c>
      <c r="J3" s="28" t="inlineStr">
        <is>
          <t>Subjects are imported successfully. Message displays 'Imported 2 subjects'. Programming and English appear in subject list.</t>
        </is>
      </c>
      <c r="K3" s="28" t="inlineStr"/>
      <c r="L3" s="24" t="inlineStr">
        <is>
          <t>Not Run</t>
        </is>
      </c>
      <c r="M3" s="25" t="inlineStr">
        <is>
          <t>High</t>
        </is>
      </c>
      <c r="N3" s="28" t="inlineStr">
        <is>
          <t>Related Requirement: M03-F01</t>
        </is>
      </c>
    </row>
    <row r="4" ht="120" customHeight="1">
      <c r="A4" s="21" t="inlineStr">
        <is>
          <t>TC-M03-003</t>
        </is>
      </c>
      <c r="B4" s="21" t="inlineStr">
        <is>
          <t>Module 03</t>
        </is>
      </c>
      <c r="C4" s="22" t="inlineStr">
        <is>
          <t>M03-F01</t>
        </is>
      </c>
      <c r="D4" s="23" t="inlineStr">
        <is>
          <t>Course / Subject Creation</t>
        </is>
      </c>
      <c r="E4" s="23" t="inlineStr">
        <is>
          <t>Create Subject Fails due to Empty Subject Name</t>
        </is>
      </c>
      <c r="F4" s="23" t="inlineStr">
        <is>
          <t>Verify that the system blocks subject creation and warns if the subject name is empty.</t>
        </is>
      </c>
      <c r="G4" s="23" t="inlineStr">
        <is>
          <t>Staff user is logged in.</t>
        </is>
      </c>
      <c r="H4" s="23" t="inlineStr">
        <is>
          <t>SubjectName=Empty; Batch=PNV26A; Semester=Semester 1</t>
        </is>
      </c>
      <c r="I4" s="23" t="inlineStr">
        <is>
          <t>1. Navigate to Academic Management;
2. Click Create Subject;
3. Leave Subject Name blank;
4. Select Batch PNV26A and Semester 1;
5. Click Save</t>
        </is>
      </c>
      <c r="J4" s="23" t="inlineStr">
        <is>
          <t>Saving is blocked. Error message 'Subject Name is required' displays. Name field is highlighted in red.</t>
        </is>
      </c>
      <c r="K4" s="23" t="inlineStr"/>
      <c r="L4" s="24" t="inlineStr">
        <is>
          <t>Not Run</t>
        </is>
      </c>
      <c r="M4" s="25" t="inlineStr">
        <is>
          <t>High</t>
        </is>
      </c>
      <c r="N4" s="23" t="inlineStr">
        <is>
          <t>Related Requirement: M03-F01, Validation Rules</t>
        </is>
      </c>
    </row>
    <row r="5" ht="135" customHeight="1">
      <c r="A5" s="26" t="inlineStr">
        <is>
          <t>TC-M03-004</t>
        </is>
      </c>
      <c r="B5" s="26" t="inlineStr">
        <is>
          <t>Module 03</t>
        </is>
      </c>
      <c r="C5" s="27" t="inlineStr">
        <is>
          <t>M03-F02</t>
        </is>
      </c>
      <c r="D5" s="28" t="inlineStr">
        <is>
          <t>Grade Entry Structure</t>
        </is>
      </c>
      <c r="E5" s="28" t="inlineStr">
        <is>
          <t>Single Student Grade Entry</t>
        </is>
      </c>
      <c r="F5" s="28" t="inlineStr">
        <is>
          <t>Verify that staff can input periodic and regular test grades for a specific student in a subject.</t>
        </is>
      </c>
      <c r="G5" s="28" t="inlineStr">
        <is>
          <t>Programming subject of batch PNV26A exists. Student ST001 belongs to batch PNV26A.</t>
        </is>
      </c>
      <c r="H5" s="28" t="inlineStr">
        <is>
          <t>StudentID=ST001; Subject=Programming; KT_TX=7.5; DK1=8.0</t>
        </is>
      </c>
      <c r="I5" s="28" t="inlineStr">
        <is>
          <t>1. Open Academic Management and select subject 'Programming';
2. Find student ST001 in grade list;
3. Click KT TX cell and enter '7.5';
4. Click DK1 cell and enter '8.0';
5. Click Save</t>
        </is>
      </c>
      <c r="J5" s="28" t="inlineStr">
        <is>
          <t>Grades are saved successfully. Success message displays. '7.5' and '8.0' appear on ST001's grade row.</t>
        </is>
      </c>
      <c r="K5" s="28" t="inlineStr"/>
      <c r="L5" s="24" t="inlineStr">
        <is>
          <t>Not Run</t>
        </is>
      </c>
      <c r="M5" s="25" t="inlineStr">
        <is>
          <t>High</t>
        </is>
      </c>
      <c r="N5" s="28" t="inlineStr">
        <is>
          <t>Related Requirement: M03-F02</t>
        </is>
      </c>
    </row>
    <row r="6" ht="105" customHeight="1">
      <c r="A6" s="21" t="inlineStr">
        <is>
          <t>TC-M03-005</t>
        </is>
      </c>
      <c r="B6" s="21" t="inlineStr">
        <is>
          <t>Module 03</t>
        </is>
      </c>
      <c r="C6" s="22" t="inlineStr">
        <is>
          <t>M03-F03</t>
        </is>
      </c>
      <c r="D6" s="23" t="inlineStr">
        <is>
          <t>Automatic TBKT Calculation</t>
        </is>
      </c>
      <c r="E6" s="23" t="inlineStr">
        <is>
          <t>Auto TBKT Calculation and Exam Eligibility (TBKT &gt;= 5.0)</t>
        </is>
      </c>
      <c r="F6" s="23" t="inlineStr">
        <is>
          <t>Verify that the system automatically calculates average grade (TBKT) based on weighted formula and grants exam eligibility (Eligible = YES) if TBKT &gt;= 5.0.</t>
        </is>
      </c>
      <c r="G6" s="23" t="inlineStr">
        <is>
          <t>Programming subject has 1 periodic test weight. Student ST001 has grades.</t>
        </is>
      </c>
      <c r="H6" s="23" t="inlineStr">
        <is>
          <t>KT_TX=7.0; DK1=8.0</t>
        </is>
      </c>
      <c r="I6" s="23" t="inlineStr">
        <is>
          <t>1. Select subject 'Programming';
2. Input KT_TX=7.0 and DK1=8.0 for ST001;
3. Click Save;
4. Observe TBKT column and Eligible status for ST001</t>
        </is>
      </c>
      <c r="J6" s="23" t="inlineStr">
        <is>
          <t>TBKT is calculated as 7.67 (formula: (7.0*1 + 8.0*2)/3 = 7.67). Exam eligibility displays 'YES'.</t>
        </is>
      </c>
      <c r="K6" s="23" t="inlineStr"/>
      <c r="L6" s="24" t="inlineStr">
        <is>
          <t>Not Run</t>
        </is>
      </c>
      <c r="M6" s="25" t="inlineStr">
        <is>
          <t>High</t>
        </is>
      </c>
      <c r="N6" s="23" t="inlineStr">
        <is>
          <t>Related Requirement: M03-F03</t>
        </is>
      </c>
    </row>
    <row r="7" ht="105" customHeight="1">
      <c r="A7" s="26" t="inlineStr">
        <is>
          <t>TC-M03-006</t>
        </is>
      </c>
      <c r="B7" s="26" t="inlineStr">
        <is>
          <t>Module 03</t>
        </is>
      </c>
      <c r="C7" s="27" t="inlineStr">
        <is>
          <t>M03-F03</t>
        </is>
      </c>
      <c r="D7" s="28" t="inlineStr">
        <is>
          <t>Automatic TBKT Calculation</t>
        </is>
      </c>
      <c r="E7" s="28" t="inlineStr">
        <is>
          <t>Auto TBKT Calculation and Exam Ineligibility (TBKT &lt; 5.0)</t>
        </is>
      </c>
      <c r="F7" s="28" t="inlineStr">
        <is>
          <t>Verify that the system automatically calculates TBKT and blocks exam eligibility (Eligible = NO) if TBKT &lt; 5.0.</t>
        </is>
      </c>
      <c r="G7" s="28" t="inlineStr">
        <is>
          <t>Programming subject has 1 periodic test weight. Student ST002 has grades.</t>
        </is>
      </c>
      <c r="H7" s="28" t="inlineStr">
        <is>
          <t>KT_TX=3.0; DK1=5.0</t>
        </is>
      </c>
      <c r="I7" s="28" t="inlineStr">
        <is>
          <t>1. Select subject 'Programming';
2. Input KT_TX=3.0 and DK1=5.0 for ST002;
3. Click Save;
4. Observe TBKT column and Eligible status for ST002</t>
        </is>
      </c>
      <c r="J7" s="28" t="inlineStr">
        <is>
          <t>TBKT is calculated as 4.33 (formula: (3.0*1 + 5.0*2)/3 = 4.33). Exam eligibility displays 'NO'.</t>
        </is>
      </c>
      <c r="K7" s="28" t="inlineStr"/>
      <c r="L7" s="24" t="inlineStr">
        <is>
          <t>Not Run</t>
        </is>
      </c>
      <c r="M7" s="25" t="inlineStr">
        <is>
          <t>High</t>
        </is>
      </c>
      <c r="N7" s="28" t="inlineStr">
        <is>
          <t>Related Requirement: M03-F03</t>
        </is>
      </c>
    </row>
    <row r="8" ht="105" customHeight="1">
      <c r="A8" s="21" t="inlineStr">
        <is>
          <t>TC-M03-007</t>
        </is>
      </c>
      <c r="B8" s="21" t="inlineStr">
        <is>
          <t>Module 03</t>
        </is>
      </c>
      <c r="C8" s="22" t="inlineStr">
        <is>
          <t>M03-F03</t>
        </is>
      </c>
      <c r="D8" s="23" t="inlineStr">
        <is>
          <t>Automatic TBKT Calculation</t>
        </is>
      </c>
      <c r="E8" s="23" t="inlineStr">
        <is>
          <t>Block Final Exam Grade Entry When Ineligible (TBKT &lt; 5.0)</t>
        </is>
      </c>
      <c r="F8" s="23" t="inlineStr">
        <is>
          <t>Verify that final exam grade input is disabled and blocked for students with status Eligible = NO.</t>
        </is>
      </c>
      <c r="G8" s="23" t="inlineStr">
        <is>
          <t>Student ST002 has TBKT = 4.33 (Eligible = NO) in Programming.</t>
        </is>
      </c>
      <c r="H8" s="23" t="inlineStr">
        <is>
          <t>TCK=6.0</t>
        </is>
      </c>
      <c r="I8" s="23" t="inlineStr">
        <is>
          <t>1. Open Programming grade list;
2. Locate final exam grade (TCK) cell for ST002;
3. Try clicking or typing '6.0' in the TCK cell;
4. Observe the UI</t>
        </is>
      </c>
      <c r="J8" s="23" t="inlineStr">
        <is>
          <t>The TCK cell for ST002 is disabled (read-only). Hovering displays 'Not eligible for final exam'. Any backend save attempt returns validation error.</t>
        </is>
      </c>
      <c r="K8" s="23" t="inlineStr"/>
      <c r="L8" s="24" t="inlineStr">
        <is>
          <t>Not Run</t>
        </is>
      </c>
      <c r="M8" s="25" t="inlineStr">
        <is>
          <t>High</t>
        </is>
      </c>
      <c r="N8" s="23" t="inlineStr">
        <is>
          <t>Related Requirement: M03-F03, Business Rules 7.4</t>
        </is>
      </c>
    </row>
    <row r="9" ht="105" customHeight="1">
      <c r="A9" s="26" t="inlineStr">
        <is>
          <t>TC-M03-008</t>
        </is>
      </c>
      <c r="B9" s="26" t="inlineStr">
        <is>
          <t>Module 03</t>
        </is>
      </c>
      <c r="C9" s="27" t="inlineStr">
        <is>
          <t>M03-F03</t>
        </is>
      </c>
      <c r="D9" s="28" t="inlineStr">
        <is>
          <t>Automatic TBKT Calculation</t>
        </is>
      </c>
      <c r="E9" s="28" t="inlineStr">
        <is>
          <t>Allow Final Exam Grade Entry When Eligible (TBKT &gt;= 5.0)</t>
        </is>
      </c>
      <c r="F9" s="28" t="inlineStr">
        <is>
          <t>Verify that final exam grade input is enabled and saved successfully for students with status Eligible = YES.</t>
        </is>
      </c>
      <c r="G9" s="28" t="inlineStr">
        <is>
          <t>Student ST001 has TBKT = 7.67 (Eligible = YES) in Programming.</t>
        </is>
      </c>
      <c r="H9" s="28" t="inlineStr">
        <is>
          <t>TCK=8.5</t>
        </is>
      </c>
      <c r="I9" s="28" t="inlineStr">
        <is>
          <t>1. Open Programming grade list;
2. Locate final exam grade (TCK) cell for ST001;
3. Click the cell and enter '8.5';
4. Click Save</t>
        </is>
      </c>
      <c r="J9" s="28" t="inlineStr">
        <is>
          <t>Grade input behaves normally. Final exam grade '8.5' is saved successfully in database and displayed in UI.</t>
        </is>
      </c>
      <c r="K9" s="28" t="inlineStr"/>
      <c r="L9" s="24" t="inlineStr">
        <is>
          <t>Not Run</t>
        </is>
      </c>
      <c r="M9" s="25" t="inlineStr">
        <is>
          <t>High</t>
        </is>
      </c>
      <c r="N9" s="28" t="inlineStr">
        <is>
          <t>Related Requirement: M03-F03, Business Rules 7.4</t>
        </is>
      </c>
    </row>
    <row r="10" ht="75" customHeight="1">
      <c r="A10" s="21" t="inlineStr">
        <is>
          <t>TC-M03-009</t>
        </is>
      </c>
      <c r="B10" s="21" t="inlineStr">
        <is>
          <t>Module 03</t>
        </is>
      </c>
      <c r="C10" s="22" t="inlineStr">
        <is>
          <t>M03-F03</t>
        </is>
      </c>
      <c r="D10" s="23" t="inlineStr">
        <is>
          <t>Automatic TBKT Calculation</t>
        </is>
      </c>
      <c r="E10" s="23" t="inlineStr">
        <is>
          <t>Input Retake Exam Grade for Student</t>
        </is>
      </c>
      <c r="F10" s="23" t="inlineStr">
        <is>
          <t>Verify that staff can enter a retake exam grade (TLCK) manually and optionally for a student.</t>
        </is>
      </c>
      <c r="G10" s="23" t="inlineStr">
        <is>
          <t>Student ST001 has a final exam grade (TCK) recorded.</t>
        </is>
      </c>
      <c r="H10" s="23" t="inlineStr">
        <is>
          <t>TLCK=7.0</t>
        </is>
      </c>
      <c r="I10" s="23" t="inlineStr">
        <is>
          <t>1. Open Programming grade list;
2. Click the retake exam grade (TLCK) cell for ST001;
3. Enter '7.0' and click Save</t>
        </is>
      </c>
      <c r="J10" s="23" t="inlineStr">
        <is>
          <t>Retake grade is recorded successfully and displayed in student's grade row. Other grades remain intact.</t>
        </is>
      </c>
      <c r="K10" s="23" t="inlineStr"/>
      <c r="L10" s="24" t="inlineStr">
        <is>
          <t>Not Run</t>
        </is>
      </c>
      <c r="M10" s="25" t="inlineStr">
        <is>
          <t>High</t>
        </is>
      </c>
      <c r="N10" s="23" t="inlineStr">
        <is>
          <t>Related Requirement: M03-F03, Business Rules 7.2</t>
        </is>
      </c>
    </row>
    <row r="11" ht="105" customHeight="1">
      <c r="A11" s="26" t="inlineStr">
        <is>
          <t>TC-M03-010</t>
        </is>
      </c>
      <c r="B11" s="26" t="inlineStr">
        <is>
          <t>Module 03</t>
        </is>
      </c>
      <c r="C11" s="27" t="inlineStr">
        <is>
          <t>M03-F04</t>
        </is>
      </c>
      <c r="D11" s="28" t="inlineStr">
        <is>
          <t>Grade Upload via CSV</t>
        </is>
      </c>
      <c r="E11" s="28" t="inlineStr">
        <is>
          <t>Bulk Grade Upload via CSV (Overwrite Mode)</t>
        </is>
      </c>
      <c r="F11" s="28" t="inlineStr">
        <is>
          <t>Verify that CSV grade import overwrites all existing grades of students in the subject with the new values.</t>
        </is>
      </c>
      <c r="G11" s="28" t="inlineStr">
        <is>
          <t>Subject English has existing grades for ST001 (KT_TX=5.0) and ST002 (KT_TX=6.0).</t>
        </is>
      </c>
      <c r="H11" s="28" t="inlineStr">
        <is>
          <t>CSV containing: StudentID, KT_TX, DK1. Rows: 'ST001,8.0,9.0' and 'ST002,7.5,8.0'</t>
        </is>
      </c>
      <c r="I11" s="28" t="inlineStr">
        <is>
          <t>1. Select subject 'English';
2. Click Upload Grades via CSV;
3. Select new CSV file and confirm upload;
4. Observe grade list</t>
        </is>
      </c>
      <c r="J11" s="28" t="inlineStr">
        <is>
          <t>Upload succeeds. Grades for ST001 update to KT_TX=8.0, DK1=9.0 (TBKT=8.67), and ST002 update to KT_TX=7.5, DK1=8.0 (TBKT=7.83). Old grades are overwritten.</t>
        </is>
      </c>
      <c r="K11" s="28" t="inlineStr"/>
      <c r="L11" s="24" t="inlineStr">
        <is>
          <t>Not Run</t>
        </is>
      </c>
      <c r="M11" s="25" t="inlineStr">
        <is>
          <t>High</t>
        </is>
      </c>
      <c r="N11" s="28" t="inlineStr">
        <is>
          <t>Related Requirement: M03-F04, Business Rules 7.5</t>
        </is>
      </c>
    </row>
    <row r="12" ht="75" customHeight="1">
      <c r="A12" s="21" t="inlineStr">
        <is>
          <t>TC-M03-011</t>
        </is>
      </c>
      <c r="B12" s="21" t="inlineStr">
        <is>
          <t>Module 03</t>
        </is>
      </c>
      <c r="C12" s="22" t="inlineStr">
        <is>
          <t>M03-F04</t>
        </is>
      </c>
      <c r="D12" s="23" t="inlineStr">
        <is>
          <t>Grade Upload via CSV</t>
        </is>
      </c>
      <c r="E12" s="23" t="inlineStr">
        <is>
          <t>CSV Grade Upload with Blank Cells Clears Existing Grades</t>
        </is>
      </c>
      <c r="F12" s="23" t="inlineStr">
        <is>
          <t>Verify that blank cells in CSV file are interpreted as NULL/Empty and clear corresponding old grades.</t>
        </is>
      </c>
      <c r="G12" s="23" t="inlineStr">
        <is>
          <t>Student ST001 has grades (KT_TX=8.0, DK1=9.0).</t>
        </is>
      </c>
      <c r="H12" s="23" t="inlineStr">
        <is>
          <t>CSV row: ST001,,9.0 (empty KT_TX value between commas)</t>
        </is>
      </c>
      <c r="I12" s="23" t="inlineStr">
        <is>
          <t>1. Select subject, click Upload Grades via CSV;
2. Select CSV containing empty KT_TX for ST001;
3. Confirm import</t>
        </is>
      </c>
      <c r="J12" s="23" t="inlineStr">
        <is>
          <t>Grade list is updated. Regular test grade (KT_TX) for ST001 (previously 8.0) is cleared/empty. DK1 remains 9.0.</t>
        </is>
      </c>
      <c r="K12" s="23" t="inlineStr"/>
      <c r="L12" s="24" t="inlineStr">
        <is>
          <t>Not Run</t>
        </is>
      </c>
      <c r="M12" s="25" t="inlineStr">
        <is>
          <t>High</t>
        </is>
      </c>
      <c r="N12" s="23" t="inlineStr">
        <is>
          <t>Related Requirement: M03-F04, CSV Import Rules 8</t>
        </is>
      </c>
    </row>
    <row r="13" ht="90" customHeight="1">
      <c r="A13" s="26" t="inlineStr">
        <is>
          <t>TC-M03-012</t>
        </is>
      </c>
      <c r="B13" s="26" t="inlineStr">
        <is>
          <t>Module 03</t>
        </is>
      </c>
      <c r="C13" s="27" t="inlineStr">
        <is>
          <t>M03-F04</t>
        </is>
      </c>
      <c r="D13" s="28" t="inlineStr">
        <is>
          <t>Grade Upload via CSV</t>
        </is>
      </c>
      <c r="E13" s="28" t="inlineStr">
        <is>
          <t>CSV Grade Upload Fails due to Missing StudentID Column</t>
        </is>
      </c>
      <c r="F13" s="28" t="inlineStr">
        <is>
          <t>Verify that CSV grade import rejects files missing the StudentID column and does not modify any data.</t>
        </is>
      </c>
      <c r="G13" s="28" t="inlineStr">
        <is>
          <t>Staff user is logged in.</t>
        </is>
      </c>
      <c r="H13" s="28" t="inlineStr">
        <is>
          <t>CSV with KT_TX, DK1, TCK columns (no StudentID column)</t>
        </is>
      </c>
      <c r="I13" s="28" t="inlineStr">
        <is>
          <t>1. Select subject, click Upload Grades via CSV;
2. Select CSV missing StudentID column and upload;
3. Observe error message</t>
        </is>
      </c>
      <c r="J13" s="28" t="inlineStr">
        <is>
          <t>System rejects the CSV file and displays error: 'Missing required column StudentID'. No grades are modified.</t>
        </is>
      </c>
      <c r="K13" s="28" t="inlineStr"/>
      <c r="L13" s="24" t="inlineStr">
        <is>
          <t>Not Run</t>
        </is>
      </c>
      <c r="M13" s="25" t="inlineStr">
        <is>
          <t>High</t>
        </is>
      </c>
      <c r="N13" s="28" t="inlineStr">
        <is>
          <t>Related Requirement: M03-F04, Error Handling 10</t>
        </is>
      </c>
    </row>
    <row r="14" ht="75" customHeight="1">
      <c r="A14" s="21" t="inlineStr">
        <is>
          <t>TC-M03-013</t>
        </is>
      </c>
      <c r="B14" s="21" t="inlineStr">
        <is>
          <t>Module 03</t>
        </is>
      </c>
      <c r="C14" s="22" t="inlineStr">
        <is>
          <t>M03-F04</t>
        </is>
      </c>
      <c r="D14" s="23" t="inlineStr">
        <is>
          <t>Grade Upload via CSV</t>
        </is>
      </c>
      <c r="E14" s="23" t="inlineStr">
        <is>
          <t>CSV Grade Upload Fails due to Decimal Comma Format (8,5)</t>
        </is>
      </c>
      <c r="F14" s="23" t="inlineStr">
        <is>
          <t>Verify that decimal grades formatted with commas (e.g. 8,5) instead of dots (8.5) trigger error.</t>
        </is>
      </c>
      <c r="G14" s="23" t="inlineStr">
        <is>
          <t>Staff user is logged in.</t>
        </is>
      </c>
      <c r="H14" s="23" t="inlineStr">
        <is>
          <t>CSV row: ST001,8,5,9.0 (or double quoted ST001,\8</t>
        </is>
      </c>
      <c r="I14" s="23" t="inlineStr">
        <is>
          <t>5\"</t>
        </is>
      </c>
      <c r="J14" s="23" t="inlineStr">
        <is>
          <t>9.0)"</t>
        </is>
      </c>
      <c r="K14" s="23" t="inlineStr"/>
      <c r="L14" s="24" t="inlineStr">
        <is>
          <t>Not Run</t>
        </is>
      </c>
      <c r="M14" s="21" t="inlineStr">
        <is>
          <t>1. Click Upload Grades via CSV;
2. Select CSV containing '8,5' for ST001;
3. Observe response</t>
        </is>
      </c>
      <c r="N14" s="23" t="inlineStr">
        <is>
          <t>System blocks import or warns of invalid decimal format requiring dot '.'. Grade is not saved incorrectly.</t>
        </is>
      </c>
    </row>
    <row r="15" ht="75" customHeight="1">
      <c r="A15" s="26" t="inlineStr">
        <is>
          <t>TC-M03-014</t>
        </is>
      </c>
      <c r="B15" s="26" t="inlineStr">
        <is>
          <t>Module 03</t>
        </is>
      </c>
      <c r="C15" s="27" t="inlineStr">
        <is>
          <t>M03-F04</t>
        </is>
      </c>
      <c r="D15" s="28" t="inlineStr">
        <is>
          <t>Grade Upload via CSV</t>
        </is>
      </c>
      <c r="E15" s="28" t="inlineStr">
        <is>
          <t>CSV Grade Upload Fails due to Out of Range Grades (0-10)</t>
        </is>
      </c>
      <c r="F15" s="28" t="inlineStr">
        <is>
          <t>Verify that grades outside the 0-10 scale in CSV are rejected.</t>
        </is>
      </c>
      <c r="G15" s="28" t="inlineStr">
        <is>
          <t>Staff user is logged in.</t>
        </is>
      </c>
      <c r="H15" s="28" t="inlineStr">
        <is>
          <t>CSV row: ST001,11.0,8.0 (KT_TX = 11.0)</t>
        </is>
      </c>
      <c r="I15" s="28" t="inlineStr">
        <is>
          <t>1. Click Upload Grades via CSV;
2. Select CSV with invalid grade '11.0';
3. Observe error message</t>
        </is>
      </c>
      <c r="J15" s="28" t="inlineStr">
        <is>
          <t>System blocks import and displays validation error: 'Grade must be between 0 and 10.' at the corresponding row. No grades are saved.</t>
        </is>
      </c>
      <c r="K15" s="28" t="inlineStr"/>
      <c r="L15" s="24" t="inlineStr">
        <is>
          <t>Not Run</t>
        </is>
      </c>
      <c r="M15" s="25" t="inlineStr">
        <is>
          <t>High</t>
        </is>
      </c>
      <c r="N15" s="28" t="inlineStr">
        <is>
          <t>Related Requirement: M03-F04, Validation Rules 9</t>
        </is>
      </c>
    </row>
    <row r="16" ht="90" customHeight="1">
      <c r="A16" s="21" t="inlineStr">
        <is>
          <t>TC-M03-015</t>
        </is>
      </c>
      <c r="B16" s="21" t="inlineStr">
        <is>
          <t>Module 03</t>
        </is>
      </c>
      <c r="C16" s="22" t="inlineStr">
        <is>
          <t>M03-F07</t>
        </is>
      </c>
      <c r="D16" s="23" t="inlineStr">
        <is>
          <t>Manual GPA &amp; Letter Grade Entry</t>
        </is>
      </c>
      <c r="E16" s="23" t="inlineStr">
        <is>
          <t>Manually Upload Semester GPA and Letter Grade via CSV</t>
        </is>
      </c>
      <c r="F16" s="23" t="inlineStr">
        <is>
          <t>Verify that final score, GPA, and letter grades can be manually imported from CSV and preserved without automatic recalculation.</t>
        </is>
      </c>
      <c r="G16" s="23" t="inlineStr">
        <is>
          <t>Student ST001 has semester grade record.</t>
        </is>
      </c>
      <c r="H16" s="23" t="inlineStr">
        <is>
          <t>CSV with StudentID, FinalScore, GPA, LetterGrade. Row: ST001,8.5,3.6,A</t>
        </is>
      </c>
      <c r="I16" s="23" t="inlineStr">
        <is>
          <t>1. Navigate to GPA &amp; Letter Grade CSV import;
2. Select CSV containing GPA=3.6 and LetterGrade=A for ST001;
3. View ST001 semester transcript details</t>
        </is>
      </c>
      <c r="J16" s="23" t="inlineStr">
        <is>
          <t>GPA=3.6 and LetterGrade=A are saved and displayed exactly. No auto-recalculations are performed on these fields.</t>
        </is>
      </c>
      <c r="K16" s="23" t="inlineStr"/>
      <c r="L16" s="24" t="inlineStr">
        <is>
          <t>Not Run</t>
        </is>
      </c>
      <c r="M16" s="25" t="inlineStr">
        <is>
          <t>High</t>
        </is>
      </c>
      <c r="N16" s="23" t="inlineStr">
        <is>
          <t>Related Requirement: M03-F07, Business Rules 7.7</t>
        </is>
      </c>
    </row>
    <row r="17" ht="120" customHeight="1">
      <c r="A17" s="26" t="inlineStr">
        <is>
          <t>TC-M03-016</t>
        </is>
      </c>
      <c r="B17" s="26" t="inlineStr">
        <is>
          <t>Module 03</t>
        </is>
      </c>
      <c r="C17" s="27" t="inlineStr">
        <is>
          <t>M03-F05</t>
        </is>
      </c>
      <c r="D17" s="28" t="inlineStr">
        <is>
          <t>Subject Deletion</t>
        </is>
      </c>
      <c r="E17" s="28" t="inlineStr">
        <is>
          <t>Subject Deletion Confirmation and Grade Cleanup</t>
        </is>
      </c>
      <c r="F17" s="28" t="inlineStr">
        <is>
          <t>Verify that subject deletion requires confirmation and permanently purges all associated grades.</t>
        </is>
      </c>
      <c r="G17" s="28" t="inlineStr">
        <is>
          <t>English subject exists with grades entered for students.</t>
        </is>
      </c>
      <c r="H17" s="28" t="inlineStr">
        <is>
          <t>None</t>
        </is>
      </c>
      <c r="I17" s="28" t="inlineStr">
        <is>
          <t>1. Navigate to subject list;
2. Click Delete icon next to English;
3. Click Cancel on confirmation popup; verify subject exists;
4. Click Delete again, click Confirm/Delete; verify list and DB</t>
        </is>
      </c>
      <c r="J17" s="28" t="inlineStr">
        <is>
          <t>Cancel keeps subject and grades intact. Confirm deletes English from subject list. All associated student grades for English are permanently purged from database.</t>
        </is>
      </c>
      <c r="K17" s="28" t="inlineStr"/>
      <c r="L17" s="24" t="inlineStr">
        <is>
          <t>Not Run</t>
        </is>
      </c>
      <c r="M17" s="25" t="inlineStr">
        <is>
          <t>High</t>
        </is>
      </c>
      <c r="N17" s="28" t="inlineStr">
        <is>
          <t>Related Requirement: M03-F05, Subject Deletion 7.8</t>
        </is>
      </c>
    </row>
    <row r="18" ht="105" customHeight="1">
      <c r="A18" s="21" t="inlineStr">
        <is>
          <t>TC-M03-017</t>
        </is>
      </c>
      <c r="B18" s="21" t="inlineStr">
        <is>
          <t>Module 03</t>
        </is>
      </c>
      <c r="C18" s="22" t="inlineStr">
        <is>
          <t>M03-F06</t>
        </is>
      </c>
      <c r="D18" s="23" t="inlineStr">
        <is>
          <t>PDF Transcript Export</t>
        </is>
      </c>
      <c r="E18" s="23" t="inlineStr">
        <is>
          <t>Export Single Student PDF Transcript</t>
        </is>
      </c>
      <c r="F18" s="23" t="inlineStr">
        <is>
          <t>Verify that staff can generate and download a formal PDF transcript containing academic info for a specific student.</t>
        </is>
      </c>
      <c r="G18" s="23" t="inlineStr">
        <is>
          <t>Student ST001 has grades, GPA, and letter grades entered.</t>
        </is>
      </c>
      <c r="H18" s="23" t="inlineStr">
        <is>
          <t>StudentID=ST001</t>
        </is>
      </c>
      <c r="I18" s="23" t="inlineStr">
        <is>
          <t>1. Open Student list or Export Transcripts page;
2. Find student ST001;
3. Click Export PDF Transcript for ST001;
4. Open the downloaded PDF file</t>
        </is>
      </c>
      <c r="J18" s="23" t="inlineStr">
        <is>
          <t>PDF downloaded successfully. Content displays ST001 info, list of subjects, grades, TBKT, GPA, and Letter Grade.</t>
        </is>
      </c>
      <c r="K18" s="23" t="inlineStr"/>
      <c r="L18" s="24" t="inlineStr">
        <is>
          <t>Not Run</t>
        </is>
      </c>
      <c r="M18" s="25" t="inlineStr">
        <is>
          <t>High</t>
        </is>
      </c>
      <c r="N18" s="23" t="inlineStr">
        <is>
          <t>Related Requirement: M03-F06</t>
        </is>
      </c>
    </row>
    <row r="19" ht="105" customHeight="1">
      <c r="A19" s="26" t="inlineStr">
        <is>
          <t>TC-M03-018</t>
        </is>
      </c>
      <c r="B19" s="26" t="inlineStr">
        <is>
          <t>Module 03</t>
        </is>
      </c>
      <c r="C19" s="27" t="inlineStr">
        <is>
          <t>M03-F06</t>
        </is>
      </c>
      <c r="D19" s="28" t="inlineStr">
        <is>
          <t>PDF Transcript Export</t>
        </is>
      </c>
      <c r="E19" s="28" t="inlineStr">
        <is>
          <t>Bulk Export PDF Transcripts for Multiple Students</t>
        </is>
      </c>
      <c r="F19" s="28" t="inlineStr">
        <is>
          <t>Verify that staff can export transcripts in batch for selected students.</t>
        </is>
      </c>
      <c r="G19" s="28" t="inlineStr">
        <is>
          <t>Multiple students in batch PNV26A have grades.</t>
        </is>
      </c>
      <c r="H19" s="28" t="inlineStr">
        <is>
          <t>Batch=PNV26A; Selected: ST001, ST002, ST003</t>
        </is>
      </c>
      <c r="I19" s="28" t="inlineStr">
        <is>
          <t>1. Open Export Transcripts page;
2. Select Batch PNV26A;
3. Check checkboxes for ST001, ST002, and ST003;
4. Click Export Selected transcripts to PDF</t>
        </is>
      </c>
      <c r="J19" s="28" t="inlineStr">
        <is>
          <t>Export succeeds. A combined PDF file or ZIP file containing individual PDFs is downloaded.</t>
        </is>
      </c>
      <c r="K19" s="28" t="inlineStr"/>
      <c r="L19" s="24" t="inlineStr">
        <is>
          <t>Not Run</t>
        </is>
      </c>
      <c r="M19" s="25" t="inlineStr">
        <is>
          <t>High</t>
        </is>
      </c>
      <c r="N19" s="28" t="inlineStr">
        <is>
          <t>Related Requirement: M03-F06</t>
        </is>
      </c>
    </row>
    <row r="20" ht="75" customHeight="1">
      <c r="A20" s="21" t="inlineStr">
        <is>
          <t>TC-M03-019</t>
        </is>
      </c>
      <c r="B20" s="21" t="inlineStr">
        <is>
          <t>Module 03</t>
        </is>
      </c>
      <c r="C20" s="22" t="inlineStr">
        <is>
          <t>M03-F06</t>
        </is>
      </c>
      <c r="D20" s="23" t="inlineStr">
        <is>
          <t>PDF Transcript Export</t>
        </is>
      </c>
      <c r="E20" s="23" t="inlineStr">
        <is>
          <t>Verify Grade Color Rules on Reports (Green, Orange, Red)</t>
        </is>
      </c>
      <c r="F20" s="23" t="inlineStr">
        <is>
          <t>Verify that final grades (/10) are colored dynamically on reports according to specified ranges.</t>
        </is>
      </c>
      <c r="G20" s="23" t="inlineStr">
        <is>
          <t>ST001 final grade is 8.5; ST002 is 7.0; ST003 is 4.5.</t>
        </is>
      </c>
      <c r="H20" s="23" t="inlineStr">
        <is>
          <t>None</t>
        </is>
      </c>
      <c r="I20" s="23" t="inlineStr">
        <is>
          <t>1. Open Batch Transcript report;
2. Locate final grades for ST001, ST002, and ST003;
3. Observe color of grades</t>
        </is>
      </c>
      <c r="J20" s="23" t="inlineStr">
        <is>
          <t>ST001 final grade (8.5) is Green (🟢) (grade &gt;= 8.0). ST002 final grade (7.0) is Orange (🟡) (grade 5.5 - 7.9). ST003 final grade (4.5) is Red (🔴) (grade &lt; 5.5).</t>
        </is>
      </c>
      <c r="K20" s="23" t="inlineStr"/>
      <c r="L20" s="24" t="inlineStr">
        <is>
          <t>Not Run</t>
        </is>
      </c>
      <c r="M20" s="29" t="inlineStr">
        <is>
          <t>Medium</t>
        </is>
      </c>
      <c r="N20" s="23" t="inlineStr">
        <is>
          <t>Related Requirement: Grade Color Rules 5</t>
        </is>
      </c>
    </row>
    <row r="21" ht="75" customHeight="1">
      <c r="A21" s="26" t="inlineStr">
        <is>
          <t>TC-M03-020</t>
        </is>
      </c>
      <c r="B21" s="26" t="inlineStr">
        <is>
          <t>Module 03</t>
        </is>
      </c>
      <c r="C21" s="27" t="inlineStr">
        <is>
          <t>M03-F06</t>
        </is>
      </c>
      <c r="D21" s="28" t="inlineStr">
        <is>
          <t>PDF Transcript Export</t>
        </is>
      </c>
      <c r="E21" s="28" t="inlineStr">
        <is>
          <t>Verify GPA Color Rules on Reports (Green, Orange, Red)</t>
        </is>
      </c>
      <c r="F21" s="28" t="inlineStr">
        <is>
          <t>Verify that GPA scores (/4) are colored dynamically on reports according to specified ranges.</t>
        </is>
      </c>
      <c r="G21" s="28" t="inlineStr">
        <is>
          <t>ST001 GPA is 3.6; ST002 GPA is 3.0; ST003 GPA is 1.8.</t>
        </is>
      </c>
      <c r="H21" s="28" t="inlineStr">
        <is>
          <t>None</t>
        </is>
      </c>
      <c r="I21" s="28" t="inlineStr">
        <is>
          <t>1. Open Batch Transcript report;
2. Locate GPA scores for ST001, ST002, and ST003;
3. Observe color of GPA</t>
        </is>
      </c>
      <c r="J21" s="28" t="inlineStr">
        <is>
          <t>ST001 GPA (3.6) is Green (🟢) (GPA &gt;= 3.5). ST002 GPA (3.0) is Orange (🟡) (GPA 2.0 - 3.4). ST003 GPA (1.8) is Red (🔴) (GPA &lt; 2.0).</t>
        </is>
      </c>
      <c r="K21" s="28" t="inlineStr"/>
      <c r="L21" s="24" t="inlineStr">
        <is>
          <t>Not Run</t>
        </is>
      </c>
      <c r="M21" s="29" t="inlineStr">
        <is>
          <t>Medium</t>
        </is>
      </c>
      <c r="N21" s="28" t="inlineStr">
        <is>
          <t>Related Requirement: Grade Color Rules 5</t>
        </is>
      </c>
    </row>
    <row r="22" ht="90" customHeight="1">
      <c r="A22" s="21" t="inlineStr">
        <is>
          <t>TC-M03-021</t>
        </is>
      </c>
      <c r="B22" s="21" t="inlineStr">
        <is>
          <t>Module 03</t>
        </is>
      </c>
      <c r="C22" s="22" t="inlineStr">
        <is>
          <t>M03-SEC</t>
        </is>
      </c>
      <c r="D22" s="23" t="inlineStr">
        <is>
          <t>Access Control &amp; Security</t>
        </is>
      </c>
      <c r="E22" s="23" t="inlineStr">
        <is>
          <t>Block Student Access to Academic Management</t>
        </is>
      </c>
      <c r="F22" s="23" t="inlineStr">
        <is>
          <t>Verify that a student user cannot access Academic Management features.</t>
        </is>
      </c>
      <c r="G22" s="23" t="inlineStr">
        <is>
          <t>User logged in with student email student01@student.passerellesnumeriques.org.</t>
        </is>
      </c>
      <c r="H22" s="23" t="inlineStr">
        <is>
          <t>Email=student01@student.passerellesnumeriques.org</t>
        </is>
      </c>
      <c r="I22" s="23" t="inlineStr">
        <is>
          <t>1. Sign in via Google OAuth with student account;
2. Attempt direct URL navigation to Academic Management page;
3. Observe result</t>
        </is>
      </c>
      <c r="J22" s="23" t="inlineStr">
        <is>
          <t>Access is blocked. 'Access Denied' message displays or user is redirected to student home page. Academic Management menu is hidden.</t>
        </is>
      </c>
      <c r="K22" s="23" t="inlineStr"/>
      <c r="L22" s="24" t="inlineStr">
        <is>
          <t>Not Run</t>
        </is>
      </c>
      <c r="M22" s="25" t="inlineStr">
        <is>
          <t>High</t>
        </is>
      </c>
      <c r="N22" s="23" t="inlineStr">
        <is>
          <t>Related Requirement: User Roles</t>
        </is>
      </c>
    </row>
    <row r="23" ht="105" customHeight="1">
      <c r="A23" s="26" t="inlineStr">
        <is>
          <t>TC-M03-022</t>
        </is>
      </c>
      <c r="B23" s="26" t="inlineStr">
        <is>
          <t>Module 03</t>
        </is>
      </c>
      <c r="C23" s="27" t="inlineStr">
        <is>
          <t>M03-F03</t>
        </is>
      </c>
      <c r="D23" s="28" t="inlineStr">
        <is>
          <t>Automatic TBKT Calculation</t>
        </is>
      </c>
      <c r="E23" s="28" t="inlineStr">
        <is>
          <t>TBKT Calculation Independence with Varying Periodic Test Counts (n)</t>
        </is>
      </c>
      <c r="F23" s="28" t="inlineStr">
        <is>
          <t>Verify that TBKT formula calculates correctly for subjects with different numbers of periodic tests (n from 1 to 6).</t>
        </is>
      </c>
      <c r="G23" s="28" t="inlineStr">
        <is>
          <t>Subject A has 1 periodic test (DK1); Subject B has 3 periodic tests (DK1, DK2, DK3).</t>
        </is>
      </c>
      <c r="H23" s="28" t="inlineStr">
        <is>
          <t>Subject A: KT_TX=6.0; DK1=7.0. Subject B: KT_TX=6.0; DK1=7.0; DK2=8.0; DK3=9.0.</t>
        </is>
      </c>
      <c r="I23" s="28" t="inlineStr">
        <is>
          <t>1. Under Subject A, enter KT_TX=6.0 and DK1=7.0 for ST001, save;
2. Under Subject B, enter KT_TX=6.0, DK1=7.0, DK2=8.0, DK3=9.0 for ST001, save;
3. Compare TBKT scores for ST001</t>
        </is>
      </c>
      <c r="J23" s="28" t="inlineStr">
        <is>
          <t>Subject A TBKT is 6.67 (formula: (6.0*1 + 7.0*2)/3 = 6.67). Subject B TBKT is 7.71 (formula: (6.0*1 + 7.0*2 + 8.0*2 + 9.0*2)/7 = 7.71). Both are calculated independently and correctly.</t>
        </is>
      </c>
      <c r="K23" s="28" t="inlineStr"/>
      <c r="L23" s="24" t="inlineStr">
        <is>
          <t>Not Run</t>
        </is>
      </c>
      <c r="M23" s="25" t="inlineStr">
        <is>
          <t>High</t>
        </is>
      </c>
      <c r="N23" s="28" t="inlineStr">
        <is>
          <t>Related Requirement: TBKT Calculation Formula</t>
        </is>
      </c>
    </row>
  </sheetData>
  <autoFilter ref="A1:N23"/>
  <dataValidations count="2">
    <dataValidation sqref="L2:L123" showDropDown="0" showInputMessage="0" showErrorMessage="0" allowBlank="1" errorTitle="Invalid Status" error="Please select a valid state: Passed, Failed, or Not Run" type="list">
      <formula1>"Passed,Failed,Not Run"</formula1>
    </dataValidation>
    <dataValidation sqref="M2:M123"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80" customHeight="1">
      <c r="A2" s="21" t="inlineStr">
        <is>
          <t>TC-M04-001</t>
        </is>
      </c>
      <c r="B2" s="21" t="inlineStr">
        <is>
          <t>Module 04</t>
        </is>
      </c>
      <c r="C2" s="22" t="inlineStr">
        <is>
          <t>M04-F01</t>
        </is>
      </c>
      <c r="D2" s="23" t="inlineStr">
        <is>
          <t>Council Feedback Record</t>
        </is>
      </c>
      <c r="E2" s="23" t="inlineStr">
        <is>
          <t>Record Council Feedback Successful</t>
        </is>
      </c>
      <c r="F2" s="23" t="inlineStr">
        <is>
          <t>Verify that staff can successfully record a Class Council record with comments from all departments.</t>
        </is>
      </c>
      <c r="G2" s="23" t="inlineStr">
        <is>
          <t>Staff user is logged in. Student ST001 and Semester 1 exist. No council record exists for ST001 in Semester 1.</t>
        </is>
      </c>
      <c r="H2" s="23" t="inlineStr">
        <is>
          <t>Student=ST001; Semester=Semester 1; GeneralComment=Strong learning attitude; ITComment=Excellent coding skills; EnglishComment=Fluent communicator; PLTComment=Highly cooperative; EducatorComment=Good behavior</t>
        </is>
      </c>
      <c r="I2" s="23" t="inlineStr">
        <is>
          <t>1. Navigate to Class Council Management;
2. Click Create Council Record;
3. Select Student ST001 and Semester 'Semester 1';
4. Enter General Comment 'Strong learning attitude';
5. Enter IT Comment 'Excellent coding skills';
6. Enter English Comment 'Fluent communicator';
7. Enter PLT Comment 'Highly cooperative';
8. Enter Educator Comment 'Good behavior';
9. Click Save</t>
        </is>
      </c>
      <c r="J2" s="23" t="inlineStr">
        <is>
          <t>The record is saved successfully. A success message appears. The student's record is displayed in the list with all comments.</t>
        </is>
      </c>
      <c r="K2" s="23" t="inlineStr"/>
      <c r="L2" s="24" t="inlineStr">
        <is>
          <t>Not Run</t>
        </is>
      </c>
      <c r="M2" s="25" t="inlineStr">
        <is>
          <t>High</t>
        </is>
      </c>
      <c r="N2" s="23" t="inlineStr">
        <is>
          <t>Related Requirement: M04-F01</t>
        </is>
      </c>
    </row>
    <row r="3" ht="165" customHeight="1">
      <c r="A3" s="26" t="inlineStr">
        <is>
          <t>TC-M04-002</t>
        </is>
      </c>
      <c r="B3" s="26" t="inlineStr">
        <is>
          <t>Module 04</t>
        </is>
      </c>
      <c r="C3" s="27" t="inlineStr">
        <is>
          <t>M04-F01</t>
        </is>
      </c>
      <c r="D3" s="28" t="inlineStr">
        <is>
          <t>Council Feedback Record</t>
        </is>
      </c>
      <c r="E3" s="28" t="inlineStr">
        <is>
          <t>Record Council Feedback with Empty Optional Fields</t>
        </is>
      </c>
      <c r="F3" s="28" t="inlineStr">
        <is>
          <t>Verify that saving a completely empty council feedback record is allowed without validation errors.</t>
        </is>
      </c>
      <c r="G3" s="28" t="inlineStr">
        <is>
          <t>Staff user is logged in. Student ST002 and Semester 1 exist. No record exists for ST002 in Semester 1.</t>
        </is>
      </c>
      <c r="H3" s="28" t="inlineStr">
        <is>
          <t>Student=ST002; Semester=Semester 1; AllComments=Empty; Warning=False; WarningReason=Empty</t>
        </is>
      </c>
      <c r="I3" s="28" t="inlineStr">
        <is>
          <t>1. Navigate to Class Council Management;
2. Click Create Council Record;
3. Select Student ST002 and Semester 'Semester 1';
4. Leave all comment fields empty;
5. Ensure Warning is unchecked and Warning Reason is blank;
6. Click Save</t>
        </is>
      </c>
      <c r="J3" s="28" t="inlineStr">
        <is>
          <t>The record is saved successfully. No validation errors occur. No badges appear on the list for student ST002.</t>
        </is>
      </c>
      <c r="K3" s="28" t="inlineStr"/>
      <c r="L3" s="24" t="inlineStr">
        <is>
          <t>Not Run</t>
        </is>
      </c>
      <c r="M3" s="25" t="inlineStr">
        <is>
          <t>High</t>
        </is>
      </c>
      <c r="N3" s="28" t="inlineStr">
        <is>
          <t>Related Requirement: M04-F01, Optional Fields 6.2</t>
        </is>
      </c>
    </row>
    <row r="4" ht="120" customHeight="1">
      <c r="A4" s="21" t="inlineStr">
        <is>
          <t>TC-M04-003</t>
        </is>
      </c>
      <c r="B4" s="21" t="inlineStr">
        <is>
          <t>Module 04</t>
        </is>
      </c>
      <c r="C4" s="22" t="inlineStr">
        <is>
          <t>M04-F02</t>
        </is>
      </c>
      <c r="D4" s="23" t="inlineStr">
        <is>
          <t>Academic Warning Flag</t>
        </is>
      </c>
      <c r="E4" s="23" t="inlineStr">
        <is>
          <t>Set Academic Warning Flag and Warning Reason</t>
        </is>
      </c>
      <c r="F4" s="23" t="inlineStr">
        <is>
          <t>Verify that staff can set an academic warning flag and input a warning reason.</t>
        </is>
      </c>
      <c r="G4" s="23" t="inlineStr">
        <is>
          <t>Staff user is logged in. Student ST001 and Semester 1 exist.</t>
        </is>
      </c>
      <c r="H4" s="23" t="inlineStr">
        <is>
          <t>Student=ST001; Semester=Semester 1; Warning=True; WarningReason=Attendance below required level</t>
        </is>
      </c>
      <c r="I4" s="23" t="inlineStr">
        <is>
          <t>1. Open the council record for ST001 in Semester 1;
2. Check the 'Academic Warning' checkbox;
3. Enter Warning Reason: 'Attendance below required level';
4. Click Save</t>
        </is>
      </c>
      <c r="J4" s="23" t="inlineStr">
        <is>
          <t>The record is saved successfully. The warning badge (⚠) appears next to the student's name in the list.</t>
        </is>
      </c>
      <c r="K4" s="23" t="inlineStr"/>
      <c r="L4" s="24" t="inlineStr">
        <is>
          <t>Not Run</t>
        </is>
      </c>
      <c r="M4" s="25" t="inlineStr">
        <is>
          <t>High</t>
        </is>
      </c>
      <c r="N4" s="23" t="inlineStr">
        <is>
          <t>Related Requirement: M04-F02, Academic Warning 6.3</t>
        </is>
      </c>
    </row>
    <row r="5" ht="105" customHeight="1">
      <c r="A5" s="26" t="inlineStr">
        <is>
          <t>TC-M04-004</t>
        </is>
      </c>
      <c r="B5" s="26" t="inlineStr">
        <is>
          <t>Module 04</t>
        </is>
      </c>
      <c r="C5" s="27" t="inlineStr">
        <is>
          <t>M04-F02</t>
        </is>
      </c>
      <c r="D5" s="28" t="inlineStr">
        <is>
          <t>Academic Warning Flag</t>
        </is>
      </c>
      <c r="E5" s="28" t="inlineStr">
        <is>
          <t>Set Academic Warning Flag with Empty Warning Reason</t>
        </is>
      </c>
      <c r="F5" s="28" t="inlineStr">
        <is>
          <t>Verify that warning reason is optional and saving warning flag without a reason is allowed.</t>
        </is>
      </c>
      <c r="G5" s="28" t="inlineStr">
        <is>
          <t>Staff user is logged in.</t>
        </is>
      </c>
      <c r="H5" s="28" t="inlineStr">
        <is>
          <t>Student=ST001; Semester=Semester 1; Warning=True; WarningReason=Empty</t>
        </is>
      </c>
      <c r="I5" s="28" t="inlineStr">
        <is>
          <t>1. Open the council record for ST001 in Semester 1;
2. Check the 'Academic Warning' checkbox;
3. Leave 'Warning Reason' empty;
4. Click Save</t>
        </is>
      </c>
      <c r="J5" s="28" t="inlineStr">
        <is>
          <t>The record is saved successfully. No validation errors occur. The warning badge (⚠) is displayed on the student list.</t>
        </is>
      </c>
      <c r="K5" s="28" t="inlineStr"/>
      <c r="L5" s="24" t="inlineStr">
        <is>
          <t>Not Run</t>
        </is>
      </c>
      <c r="M5" s="25" t="inlineStr">
        <is>
          <t>High</t>
        </is>
      </c>
      <c r="N5" s="28" t="inlineStr">
        <is>
          <t>Related Requirement: M04-F02, Optional Fields 6.2, Validation Rules 7</t>
        </is>
      </c>
    </row>
    <row r="6" ht="75" customHeight="1">
      <c r="A6" s="21" t="inlineStr">
        <is>
          <t>TC-M04-005</t>
        </is>
      </c>
      <c r="B6" s="21" t="inlineStr">
        <is>
          <t>Module 04</t>
        </is>
      </c>
      <c r="C6" s="22" t="inlineStr">
        <is>
          <t>M04-F03</t>
        </is>
      </c>
      <c r="D6" s="23" t="inlineStr">
        <is>
          <t>Duplicate Record Prevention</t>
        </is>
      </c>
      <c r="E6" s="23" t="inlineStr">
        <is>
          <t>Block Duplicate Council Record for Same Student and Semester</t>
        </is>
      </c>
      <c r="F6" s="23" t="inlineStr">
        <is>
          <t>Verify that the system blocks creating a second Class Council record for the same student in the same semester.</t>
        </is>
      </c>
      <c r="G6" s="23" t="inlineStr">
        <is>
          <t>Staff user is logged in. A Class Council record already exists for ST001 in Semester 1.</t>
        </is>
      </c>
      <c r="H6" s="23" t="inlineStr">
        <is>
          <t>Student=ST001; Semester=Semester 1</t>
        </is>
      </c>
      <c r="I6" s="23" t="inlineStr">
        <is>
          <t>1. Open Create Council Record;
2. Select Student ST001 and Semester 'Semester 1';
3. Enter any comment and click Save</t>
        </is>
      </c>
      <c r="J6" s="23" t="inlineStr">
        <is>
          <t>The system rejects saving and displays error: 'Duplicate record error'. No duplicate record is created.</t>
        </is>
      </c>
      <c r="K6" s="23" t="inlineStr"/>
      <c r="L6" s="24" t="inlineStr">
        <is>
          <t>Not Run</t>
        </is>
      </c>
      <c r="M6" s="25" t="inlineStr">
        <is>
          <t>High</t>
        </is>
      </c>
      <c r="N6" s="23" t="inlineStr">
        <is>
          <t>Related Requirement: M04-F03, One Record per Student per Semester 6.1</t>
        </is>
      </c>
    </row>
    <row r="7" ht="120" customHeight="1">
      <c r="A7" s="26" t="inlineStr">
        <is>
          <t>TC-M04-006</t>
        </is>
      </c>
      <c r="B7" s="26" t="inlineStr">
        <is>
          <t>Module 04</t>
        </is>
      </c>
      <c r="C7" s="27" t="inlineStr">
        <is>
          <t>M04-F04</t>
        </is>
      </c>
      <c r="D7" s="28" t="inlineStr">
        <is>
          <t>Auto Draft Saving</t>
        </is>
      </c>
      <c r="E7" s="28" t="inlineStr">
        <is>
          <t>Verify Automatic Draft Saving in Browser Local Storage</t>
        </is>
      </c>
      <c r="F7" s="28" t="inlineStr">
        <is>
          <t>Verify that the system automatically saves typed comments into local storage in the background.</t>
        </is>
      </c>
      <c r="G7" s="28" t="inlineStr">
        <is>
          <t>Staff user is logged in. Bi-directional sync/save has not been initiated.</t>
        </is>
      </c>
      <c r="H7" s="28" t="inlineStr">
        <is>
          <t>Student=ST003; Semester=Semester 1; ITComment=Draft comment for IT department</t>
        </is>
      </c>
      <c r="I7" s="28" t="inlineStr">
        <is>
          <t>1. Open the council record for ST003 in Semester 1;
2. Type IT Comment 'Draft comment for IT department';
3. Do NOT click Save;
4. Open Developer Tools -&gt; Application -&gt; Local Storage</t>
        </is>
      </c>
      <c r="J7" s="28" t="inlineStr">
        <is>
          <t>The text 'Draft comment for IT department' is saved automatically to browser Local Storage under a key representing ST003/Semester 1 as typing occurs.</t>
        </is>
      </c>
      <c r="K7" s="28" t="inlineStr"/>
      <c r="L7" s="24" t="inlineStr">
        <is>
          <t>Not Run</t>
        </is>
      </c>
      <c r="M7" s="25" t="inlineStr">
        <is>
          <t>High</t>
        </is>
      </c>
      <c r="N7" s="28" t="inlineStr">
        <is>
          <t>Related Requirement: M04-F04, Automatic Draft Saving 6.5</t>
        </is>
      </c>
    </row>
    <row r="8" ht="120" customHeight="1">
      <c r="A8" s="21" t="inlineStr">
        <is>
          <t>TC-M04-007</t>
        </is>
      </c>
      <c r="B8" s="21" t="inlineStr">
        <is>
          <t>Module 04</t>
        </is>
      </c>
      <c r="C8" s="22" t="inlineStr">
        <is>
          <t>M04-F05</t>
        </is>
      </c>
      <c r="D8" s="23" t="inlineStr">
        <is>
          <t>Draft Recovery / Discard</t>
        </is>
      </c>
      <c r="E8" s="23" t="inlineStr">
        <is>
          <t>Recover Unsaved Draft after Unexpected Browser Closure</t>
        </is>
      </c>
      <c r="F8" s="23" t="inlineStr">
        <is>
          <t>Verify that the system detects unsaved local drafts and displays a prompt to restore them.</t>
        </is>
      </c>
      <c r="G8" s="23" t="inlineStr">
        <is>
          <t>Unsaved draft for ST003 with ITComment='Draft comment for IT department' exists in Local Storage. Sheets database does not have this comment.</t>
        </is>
      </c>
      <c r="H8" s="23" t="inlineStr">
        <is>
          <t>Student=ST003; Semester=Semester 1</t>
        </is>
      </c>
      <c r="I8" s="23" t="inlineStr">
        <is>
          <t>1. Close browser and reopen it (simulating crash);
2. Navigate back to the council record for ST003 in Semester 1;
3. Verify prompt;
4. Select 'Continue editing'</t>
        </is>
      </c>
      <c r="J8" s="23" t="inlineStr">
        <is>
          <t>An 'Unsaved Draft' warning/prompt is shown. Selecting 'Continue editing' restores the draft text 'Draft comment for IT department' to the IT Comment text box.</t>
        </is>
      </c>
      <c r="K8" s="23" t="inlineStr"/>
      <c r="L8" s="24" t="inlineStr">
        <is>
          <t>Not Run</t>
        </is>
      </c>
      <c r="M8" s="25" t="inlineStr">
        <is>
          <t>High</t>
        </is>
      </c>
      <c r="N8" s="23" t="inlineStr">
        <is>
          <t>Related Requirement: M04-F05, Draft Recovery 6.6</t>
        </is>
      </c>
    </row>
    <row r="9" ht="90" customHeight="1">
      <c r="A9" s="26" t="inlineStr">
        <is>
          <t>TC-M04-008</t>
        </is>
      </c>
      <c r="B9" s="26" t="inlineStr">
        <is>
          <t>Module 04</t>
        </is>
      </c>
      <c r="C9" s="27" t="inlineStr">
        <is>
          <t>M04-F05</t>
        </is>
      </c>
      <c r="D9" s="28" t="inlineStr">
        <is>
          <t>Draft Recovery / Discard</t>
        </is>
      </c>
      <c r="E9" s="28" t="inlineStr">
        <is>
          <t>Discard Unsaved Draft to Restore Last Saved Data</t>
        </is>
      </c>
      <c r="F9" s="28" t="inlineStr">
        <is>
          <t>Verify that choosing to discard an unsaved draft removes it and restores the last saved data from database.</t>
        </is>
      </c>
      <c r="G9" s="28" t="inlineStr">
        <is>
          <t>Official database record for ST003 has ITComment='Good student'. Unsaved draft in Local Storage has ITComment='Draft edit'.</t>
        </is>
      </c>
      <c r="H9" s="28" t="inlineStr">
        <is>
          <t>Student=ST003; Semester=Semester 1</t>
        </is>
      </c>
      <c r="I9" s="28" t="inlineStr">
        <is>
          <t>1. Open council record for ST003 in Semester 1;
2. When 'Unsaved Draft' prompt appears, select 'Discard draft';
3. Check the IT Comment text box</t>
        </is>
      </c>
      <c r="J9" s="28" t="inlineStr">
        <is>
          <t>Local Storage draft is cleared. The IT Comment reverts to the database value 'Good student'. Draft edits are discarded.</t>
        </is>
      </c>
      <c r="K9" s="28" t="inlineStr"/>
      <c r="L9" s="24" t="inlineStr">
        <is>
          <t>Not Run</t>
        </is>
      </c>
      <c r="M9" s="25" t="inlineStr">
        <is>
          <t>High</t>
        </is>
      </c>
      <c r="N9" s="28" t="inlineStr">
        <is>
          <t>Related Requirement: M04-F05, Draft Recovery 6.6</t>
        </is>
      </c>
    </row>
    <row r="10" ht="135" customHeight="1">
      <c r="A10" s="21" t="inlineStr">
        <is>
          <t>TC-M04-009</t>
        </is>
      </c>
      <c r="B10" s="21" t="inlineStr">
        <is>
          <t>Module 04</t>
        </is>
      </c>
      <c r="C10" s="22" t="inlineStr">
        <is>
          <t>M04-F06</t>
        </is>
      </c>
      <c r="D10" s="23" t="inlineStr">
        <is>
          <t>Batch Feedback Entry</t>
        </is>
      </c>
      <c r="E10" s="23" t="inlineStr">
        <is>
          <t>Batch Feedback Entry by Comment Type</t>
        </is>
      </c>
      <c r="F10" s="23" t="inlineStr">
        <is>
          <t>Verify that staff can enter the same feedback type for multiple students simultaneously in batch mode.</t>
        </is>
      </c>
      <c r="G10" s="23" t="inlineStr">
        <is>
          <t>Staff user is logged in. Students ST001, ST002, and ST003 exist in Batch PNV26A.</t>
        </is>
      </c>
      <c r="H10" s="23" t="inlineStr">
        <is>
          <t>Batch=PNV26A; Semester=Semester 1; FeedbackType=IT Comment; Comments='Active performance in programming project' for ST001, ST002, and ST003</t>
        </is>
      </c>
      <c r="I10" s="23" t="inlineStr">
        <is>
          <t>1. Open Batch Feedback page;
2. Select Batch PNV26A, Semester 'Semester 1', and Feedback Type 'IT Comment';
3. In the grid, type 'Active performance in programming project' for ST001, ST002, and ST003;
4. Click Save All</t>
        </is>
      </c>
      <c r="J10" s="23" t="inlineStr">
        <is>
          <t>All three records are saved successfully. Success message 'Saved 3 students' is shown. Selected students have the new IT comment.</t>
        </is>
      </c>
      <c r="K10" s="23" t="inlineStr"/>
      <c r="L10" s="24" t="inlineStr">
        <is>
          <t>Not Run</t>
        </is>
      </c>
      <c r="M10" s="25" t="inlineStr">
        <is>
          <t>High</t>
        </is>
      </c>
      <c r="N10" s="23" t="inlineStr">
        <is>
          <t>Related Requirement: M04-F06, Batch Feedback 6.7</t>
        </is>
      </c>
    </row>
    <row r="11" ht="120" customHeight="1">
      <c r="A11" s="26" t="inlineStr">
        <is>
          <t>TC-M04-010</t>
        </is>
      </c>
      <c r="B11" s="26" t="inlineStr">
        <is>
          <t>Module 04</t>
        </is>
      </c>
      <c r="C11" s="27" t="inlineStr">
        <is>
          <t>M04-F06</t>
        </is>
      </c>
      <c r="D11" s="28" t="inlineStr">
        <is>
          <t>Batch Feedback Entry</t>
        </is>
      </c>
      <c r="E11" s="28" t="inlineStr">
        <is>
          <t>Batch Feedback Entry Does Not Overwrite Other Comment Fields</t>
        </is>
      </c>
      <c r="F11" s="28" t="inlineStr">
        <is>
          <t>Verify that entering batch feedback for one field does not erase other existing comment fields for that student.</t>
        </is>
      </c>
      <c r="G11" s="28" t="inlineStr">
        <is>
          <t>Student ST001 has existing ITComment='Excellent coding' and EnglishComment='Good speaking'.</t>
        </is>
      </c>
      <c r="H11" s="28" t="inlineStr">
        <is>
          <t>FeedbackType=English Comment; NewEnglishComment='Excellent communication'</t>
        </is>
      </c>
      <c r="I11" s="28" t="inlineStr">
        <is>
          <t>1. Open Batch Feedback page;
2. Select Feedback Type 'English Comment';
3. Input 'Excellent communication' for ST001 and click Save;
4. Navigate to ST001's council record details</t>
        </is>
      </c>
      <c r="J11" s="28" t="inlineStr">
        <is>
          <t>English Comment is updated to 'Excellent communication'. The existing IT Comment is preserved as 'Excellent coding' (not cleared).</t>
        </is>
      </c>
      <c r="K11" s="28" t="inlineStr"/>
      <c r="L11" s="24" t="inlineStr">
        <is>
          <t>Not Run</t>
        </is>
      </c>
      <c r="M11" s="25" t="inlineStr">
        <is>
          <t>High</t>
        </is>
      </c>
      <c r="N11" s="28" t="inlineStr">
        <is>
          <t>Related Requirement: M04-F06, Batch Feedback 6.7</t>
        </is>
      </c>
    </row>
    <row r="12" ht="150" customHeight="1">
      <c r="A12" s="21" t="inlineStr">
        <is>
          <t>TC-M04-011</t>
        </is>
      </c>
      <c r="B12" s="21" t="inlineStr">
        <is>
          <t>Module 04</t>
        </is>
      </c>
      <c r="C12" s="22" t="inlineStr">
        <is>
          <t>M04-F07</t>
        </is>
      </c>
      <c r="D12" s="23" t="inlineStr">
        <is>
          <t>Concurrent Edit Conflict Handling</t>
        </is>
      </c>
      <c r="E12" s="23" t="inlineStr">
        <is>
          <t>Three-Way Merge for Non-conflicting Concurrent Edits</t>
        </is>
      </c>
      <c r="F12" s="23" t="inlineStr">
        <is>
          <t>Verify that concurrent edits on different fields of the same record are merged successfully using 3-way merge.</t>
        </is>
      </c>
      <c r="G12" s="23" t="inlineStr">
        <is>
          <t>Teacher A and Teacher B are logged in. The database record for ST001 has GeneralComment='Good student', other fields are empty.</t>
        </is>
      </c>
      <c r="H12" s="23" t="inlineStr">
        <is>
          <t>ST001 record in Semester 1; Teacher B saves ITComment='Excellent'; Teacher A saves EnglishComment='Fluent'</t>
        </is>
      </c>
      <c r="I12" s="23" t="inlineStr">
        <is>
          <t>1. Teacher A opens ST001 council edit form;
2. Teacher B opens ST001 council edit form;
3. Teacher B updates IT Comment to 'Excellent' and clicks Save first;
4. Teacher A updates English Comment to 'Fluent' (IT Comment remains empty on their screen) and clicks Save</t>
        </is>
      </c>
      <c r="J12" s="23" t="inlineStr">
        <is>
          <t>Save succeeds. The final record on Sheets is merged: GeneralComment='Good student', ITComment='Excellent', and EnglishComment='Fluent'. Teacher A receives notification of updates by another teacher.</t>
        </is>
      </c>
      <c r="K12" s="23" t="inlineStr"/>
      <c r="L12" s="24" t="inlineStr">
        <is>
          <t>Not Run</t>
        </is>
      </c>
      <c r="M12" s="25" t="inlineStr">
        <is>
          <t>High</t>
        </is>
      </c>
      <c r="N12" s="23" t="inlineStr">
        <is>
          <t>Related Requirement: M04-F07, Concurrent Editing 6.8</t>
        </is>
      </c>
    </row>
    <row r="13" ht="135" customHeight="1">
      <c r="A13" s="26" t="inlineStr">
        <is>
          <t>TC-M04-012</t>
        </is>
      </c>
      <c r="B13" s="26" t="inlineStr">
        <is>
          <t>Module 04</t>
        </is>
      </c>
      <c r="C13" s="27" t="inlineStr">
        <is>
          <t>M04-F07</t>
        </is>
      </c>
      <c r="D13" s="28" t="inlineStr">
        <is>
          <t>Concurrent Edit Conflict Handling</t>
        </is>
      </c>
      <c r="E13" s="28" t="inlineStr">
        <is>
          <t>Flag Conflict on Concurrent Edits of Same Field</t>
        </is>
      </c>
      <c r="F13" s="28" t="inlineStr">
        <is>
          <t>Verify that concurrent edits on the same field block the second user from overwriting first user's saved data and flag a conflict.</t>
        </is>
      </c>
      <c r="G13" s="28" t="inlineStr">
        <is>
          <t>Teacher A and Teacher B are logged in. ST001 has ITComment='Good'.</t>
        </is>
      </c>
      <c r="H13" s="28" t="inlineStr">
        <is>
          <t>ST001 record in Semester 1; Teacher B saves ITComment='Excellent'; Teacher A saves ITComment='Very Good'</t>
        </is>
      </c>
      <c r="I13" s="28" t="inlineStr">
        <is>
          <t>1. Teacher A opens ST001 edit form;
2. Teacher B opens ST001 edit form;
3. Teacher B changes IT Comment to 'Excellent' and clicks Save;
4. Teacher A changes IT Comment to 'Very Good' and clicks Save after Teacher B</t>
        </is>
      </c>
      <c r="J13" s="28" t="inlineStr">
        <is>
          <t>Teacher A's save is blocked or triggers a conflict. An error 'Saved, but these fields were updated by another teacher: IT Comment' is shown. Teacher B's value 'Excellent' is preserved in database.</t>
        </is>
      </c>
      <c r="K13" s="28" t="inlineStr"/>
      <c r="L13" s="24" t="inlineStr">
        <is>
          <t>Not Run</t>
        </is>
      </c>
      <c r="M13" s="25" t="inlineStr">
        <is>
          <t>High</t>
        </is>
      </c>
      <c r="N13" s="28" t="inlineStr">
        <is>
          <t>Related Requirement: M04-F07, Concurrent Editing 6.8</t>
        </is>
      </c>
    </row>
    <row r="14" ht="75" customHeight="1">
      <c r="A14" s="21" t="inlineStr">
        <is>
          <t>TC-M04-013</t>
        </is>
      </c>
      <c r="B14" s="21" t="inlineStr">
        <is>
          <t>Module 04</t>
        </is>
      </c>
      <c r="C14" s="22" t="inlineStr">
        <is>
          <t>M04-F08</t>
        </is>
      </c>
      <c r="D14" s="23" t="inlineStr">
        <is>
          <t>PDF Report Export</t>
        </is>
      </c>
      <c r="E14" s="23" t="inlineStr">
        <is>
          <t>Export Class Council Report to PDF</t>
        </is>
      </c>
      <c r="F14" s="23" t="inlineStr">
        <is>
          <t>Verify that staff can generate and download a PDF report containing student info, semester, comments, and warnings.</t>
        </is>
      </c>
      <c r="G14" s="23" t="inlineStr">
        <is>
          <t>Student ST001 has a complete council record in Semester 1.</t>
        </is>
      </c>
      <c r="H14" s="23" t="inlineStr">
        <is>
          <t>Student=ST001; Semester=Semester 1</t>
        </is>
      </c>
      <c r="I14" s="23" t="inlineStr">
        <is>
          <t>1. Open ST001's council record details page;
2. Click Export PDF;
3. Open the downloaded PDF file</t>
        </is>
      </c>
      <c r="J14" s="23" t="inlineStr">
        <is>
          <t>The PDF report downloads successfully. It contains student details, Semester 1, all teacher comments, and warning details formatted correctly.</t>
        </is>
      </c>
      <c r="K14" s="23" t="inlineStr"/>
      <c r="L14" s="24" t="inlineStr">
        <is>
          <t>Not Run</t>
        </is>
      </c>
      <c r="M14" s="25" t="inlineStr">
        <is>
          <t>High</t>
        </is>
      </c>
      <c r="N14" s="23" t="inlineStr">
        <is>
          <t>Related Requirement: M04-F08, PDF Export 6.9</t>
        </is>
      </c>
    </row>
    <row r="15" ht="60" customHeight="1">
      <c r="A15" s="26" t="inlineStr">
        <is>
          <t>TC-M04-014</t>
        </is>
      </c>
      <c r="B15" s="26" t="inlineStr">
        <is>
          <t>Module 04</t>
        </is>
      </c>
      <c r="C15" s="27" t="inlineStr">
        <is>
          <t>M04-F01</t>
        </is>
      </c>
      <c r="D15" s="28" t="inlineStr">
        <is>
          <t>Council Feedback Record</t>
        </is>
      </c>
      <c r="E15" s="28" t="inlineStr">
        <is>
          <t>Trend Chart Hidden for Semester 1</t>
        </is>
      </c>
      <c r="F15" s="28" t="inlineStr">
        <is>
          <t>Verify that the trend chart is hidden on the report when viewing/exporting Semester 1 results.</t>
        </is>
      </c>
      <c r="G15" s="28" t="inlineStr">
        <is>
          <t>Student ST001 has a council record in Semester 1.</t>
        </is>
      </c>
      <c r="H15" s="28" t="inlineStr">
        <is>
          <t>Student=ST001; Semester=Semester 1</t>
        </is>
      </c>
      <c r="I15" s="28" t="inlineStr">
        <is>
          <t>1. Open or export PDF report for ST001 in Semester 1;
2. Check the Trend Chart section</t>
        </is>
      </c>
      <c r="J15" s="28" t="inlineStr">
        <is>
          <t>No trend chart is displayed on the UI or PDF report for Semester 1 (since no prior semester history exists).</t>
        </is>
      </c>
      <c r="K15" s="28" t="inlineStr"/>
      <c r="L15" s="24" t="inlineStr">
        <is>
          <t>Not Run</t>
        </is>
      </c>
      <c r="M15" s="29" t="inlineStr">
        <is>
          <t>Medium</t>
        </is>
      </c>
      <c r="N15" s="28" t="inlineStr">
        <is>
          <t>Related Requirement: Business Rules, Trend Chart 6.10</t>
        </is>
      </c>
    </row>
    <row r="16" ht="60" customHeight="1">
      <c r="A16" s="21" t="inlineStr">
        <is>
          <t>TC-M04-015</t>
        </is>
      </c>
      <c r="B16" s="21" t="inlineStr">
        <is>
          <t>Module 04</t>
        </is>
      </c>
      <c r="C16" s="22" t="inlineStr">
        <is>
          <t>M04-F01</t>
        </is>
      </c>
      <c r="D16" s="23" t="inlineStr">
        <is>
          <t>Council Feedback Record</t>
        </is>
      </c>
      <c r="E16" s="23" t="inlineStr">
        <is>
          <t>Trend Chart Displayed for Semester 2 or Later</t>
        </is>
      </c>
      <c r="F16" s="23" t="inlineStr">
        <is>
          <t>Verify that the trend chart is shown when viewing/exporting results for Semester 2 or later.</t>
        </is>
      </c>
      <c r="G16" s="23" t="inlineStr">
        <is>
          <t>Student ST001 has council records and grade history in both Semester 1 and Semester 2.</t>
        </is>
      </c>
      <c r="H16" s="23" t="inlineStr">
        <is>
          <t>Student=ST001; Semester=Semester 2</t>
        </is>
      </c>
      <c r="I16" s="23" t="inlineStr">
        <is>
          <t>1. Open or export PDF report for ST001 in Semester 2;
2. Check the Trend Chart section</t>
        </is>
      </c>
      <c r="J16" s="23" t="inlineStr">
        <is>
          <t>The trend chart is displayed successfully in the UI and PDF, depicting ST001's performance trend from Semester 1 to Semester 2.</t>
        </is>
      </c>
      <c r="K16" s="23" t="inlineStr"/>
      <c r="L16" s="24" t="inlineStr">
        <is>
          <t>Not Run</t>
        </is>
      </c>
      <c r="M16" s="29" t="inlineStr">
        <is>
          <t>Medium</t>
        </is>
      </c>
      <c r="N16" s="23" t="inlineStr">
        <is>
          <t>Related Requirement: Business Rules, Trend Chart 6.10</t>
        </is>
      </c>
    </row>
    <row r="17" ht="120" customHeight="1">
      <c r="A17" s="26" t="inlineStr">
        <is>
          <t>TC-M04-016</t>
        </is>
      </c>
      <c r="B17" s="26" t="inlineStr">
        <is>
          <t>Module 04</t>
        </is>
      </c>
      <c r="C17" s="27" t="inlineStr">
        <is>
          <t>M04-F02</t>
        </is>
      </c>
      <c r="D17" s="28" t="inlineStr">
        <is>
          <t>Academic Warning Flag</t>
        </is>
      </c>
      <c r="E17" s="28" t="inlineStr">
        <is>
          <t>Badge Display Activation on Content Entry</t>
        </is>
      </c>
      <c r="F17" s="28" t="inlineStr">
        <is>
          <t>Verify that saving comments activates their corresponding badges (G, IT, EN, PLT, ED) on the student list.</t>
        </is>
      </c>
      <c r="G17" s="28" t="inlineStr">
        <is>
          <t>Staff user is logged in. ST001 has no comments in Semester 1.</t>
        </is>
      </c>
      <c r="H17" s="28" t="inlineStr">
        <is>
          <t>Student=ST001; Semester=Semester 1; ITComment='Good'; EducatorComment='Active'</t>
        </is>
      </c>
      <c r="I17" s="28" t="inlineStr">
        <is>
          <t>1. Create council record for ST001 in Semester 1;
2. Input IT Comment 'Good' and Educator Comment 'Active' (others left empty);
3. Click Save;
4. Go to student list and observe ST001 row</t>
        </is>
      </c>
      <c r="J17" s="28" t="inlineStr">
        <is>
          <t>Only 'IT' and 'ED' badges are activated/displayed next to ST001's name. Other badges (G, EN, PLT, ⚠) are hidden.</t>
        </is>
      </c>
      <c r="K17" s="28" t="inlineStr"/>
      <c r="L17" s="24" t="inlineStr">
        <is>
          <t>Not Run</t>
        </is>
      </c>
      <c r="M17" s="29" t="inlineStr">
        <is>
          <t>Medium</t>
        </is>
      </c>
      <c r="N17" s="28" t="inlineStr">
        <is>
          <t>Related Requirement: Business Rules, Badge Display 6.4</t>
        </is>
      </c>
    </row>
    <row r="18" ht="105" customHeight="1">
      <c r="A18" s="21" t="inlineStr">
        <is>
          <t>TC-M04-017</t>
        </is>
      </c>
      <c r="B18" s="21" t="inlineStr">
        <is>
          <t>Module 04</t>
        </is>
      </c>
      <c r="C18" s="22" t="inlineStr">
        <is>
          <t>M04-F02</t>
        </is>
      </c>
      <c r="D18" s="23" t="inlineStr">
        <is>
          <t>Academic Warning Flag</t>
        </is>
      </c>
      <c r="E18" s="23" t="inlineStr">
        <is>
          <t>Badge Display Deactivation on Content Removal</t>
        </is>
      </c>
      <c r="F18" s="23" t="inlineStr">
        <is>
          <t>Verify that removing comment content deactivates the corresponding badge on save.</t>
        </is>
      </c>
      <c r="G18" s="23" t="inlineStr">
        <is>
          <t>Student ST001 has an IT comment and the 'IT' badge is active.</t>
        </is>
      </c>
      <c r="H18" s="23" t="inlineStr">
        <is>
          <t>Student=ST001; Semester=Semester 1; ITComment=''</t>
        </is>
      </c>
      <c r="I18" s="23" t="inlineStr">
        <is>
          <t>1. Open ST001's Semester 1 council record;
2. Clear the IT Comment field completely;
3. Click Save;
4. Go to student list and observe badges</t>
        </is>
      </c>
      <c r="J18" s="23" t="inlineStr">
        <is>
          <t>The record is updated. The 'IT' badge disappears from ST001's name on the list since its comment was removed.</t>
        </is>
      </c>
      <c r="K18" s="23" t="inlineStr"/>
      <c r="L18" s="24" t="inlineStr">
        <is>
          <t>Not Run</t>
        </is>
      </c>
      <c r="M18" s="29" t="inlineStr">
        <is>
          <t>Medium</t>
        </is>
      </c>
      <c r="N18" s="23" t="inlineStr">
        <is>
          <t>Related Requirement: Business Rules, Badge Display 6.4</t>
        </is>
      </c>
    </row>
    <row r="19" ht="105" customHeight="1">
      <c r="A19" s="26" t="inlineStr">
        <is>
          <t>TC-M04-018</t>
        </is>
      </c>
      <c r="B19" s="26" t="inlineStr">
        <is>
          <t>Module 04</t>
        </is>
      </c>
      <c r="C19" s="27" t="inlineStr">
        <is>
          <t>M04-F01</t>
        </is>
      </c>
      <c r="D19" s="28" t="inlineStr">
        <is>
          <t>Council Feedback Record</t>
        </is>
      </c>
      <c r="E19" s="28" t="inlineStr">
        <is>
          <t>Record Saving Fails with Missing Student Selection</t>
        </is>
      </c>
      <c r="F19" s="28" t="inlineStr">
        <is>
          <t>Verify that the system blocks saving if the student selection is missing.</t>
        </is>
      </c>
      <c r="G19" s="28" t="inlineStr">
        <is>
          <t>Staff user is logged in.</t>
        </is>
      </c>
      <c r="H19" s="28" t="inlineStr">
        <is>
          <t>Student=Empty; Semester=Semester 1; GeneralComment=Good</t>
        </is>
      </c>
      <c r="I19" s="28" t="inlineStr">
        <is>
          <t>1. Navigate to Create Council Record;
2. Leave Student selection empty;
3. Select Semester 'Semester 1';
4. Enter General Comment 'Good' and click Save</t>
        </is>
      </c>
      <c r="J19" s="28" t="inlineStr">
        <is>
          <t>Saving is blocked. Validation error message requires student selection. The student field is highlighted in red.</t>
        </is>
      </c>
      <c r="K19" s="28" t="inlineStr"/>
      <c r="L19" s="24" t="inlineStr">
        <is>
          <t>Not Run</t>
        </is>
      </c>
      <c r="M19" s="25" t="inlineStr">
        <is>
          <t>High</t>
        </is>
      </c>
      <c r="N19" s="28" t="inlineStr">
        <is>
          <t>Related Requirement: Validation Rules 7</t>
        </is>
      </c>
    </row>
    <row r="20" ht="105" customHeight="1">
      <c r="A20" s="21" t="inlineStr">
        <is>
          <t>TC-M04-019</t>
        </is>
      </c>
      <c r="B20" s="21" t="inlineStr">
        <is>
          <t>Module 04</t>
        </is>
      </c>
      <c r="C20" s="22" t="inlineStr">
        <is>
          <t>M04-F01</t>
        </is>
      </c>
      <c r="D20" s="23" t="inlineStr">
        <is>
          <t>Council Feedback Record</t>
        </is>
      </c>
      <c r="E20" s="23" t="inlineStr">
        <is>
          <t>Record Saving Fails with Missing Semester Selection</t>
        </is>
      </c>
      <c r="F20" s="23" t="inlineStr">
        <is>
          <t>Verify that the system blocks saving if the semester selection is missing.</t>
        </is>
      </c>
      <c r="G20" s="23" t="inlineStr">
        <is>
          <t>Staff user is logged in.</t>
        </is>
      </c>
      <c r="H20" s="23" t="inlineStr">
        <is>
          <t>Student=ST001; Semester=Empty; GeneralComment=Good</t>
        </is>
      </c>
      <c r="I20" s="23" t="inlineStr">
        <is>
          <t>1. Navigate to Create Council Record;
2. Select Student ST001;
3. Leave Semester selection empty;
4. Enter General Comment 'Good' and click Save</t>
        </is>
      </c>
      <c r="J20" s="23" t="inlineStr">
        <is>
          <t>Saving is blocked. Validation error message requires semester selection. The semester field is highlighted in red.</t>
        </is>
      </c>
      <c r="K20" s="23" t="inlineStr"/>
      <c r="L20" s="24" t="inlineStr">
        <is>
          <t>Not Run</t>
        </is>
      </c>
      <c r="M20" s="25" t="inlineStr">
        <is>
          <t>High</t>
        </is>
      </c>
      <c r="N20" s="23" t="inlineStr">
        <is>
          <t>Related Requirement: Validation Rules 7</t>
        </is>
      </c>
    </row>
    <row r="21" ht="75" customHeight="1">
      <c r="A21" s="26" t="inlineStr">
        <is>
          <t>TC-M04-020</t>
        </is>
      </c>
      <c r="B21" s="26" t="inlineStr">
        <is>
          <t>Module 04</t>
        </is>
      </c>
      <c r="C21" s="27" t="inlineStr">
        <is>
          <t>M04-SEC</t>
        </is>
      </c>
      <c r="D21" s="28" t="inlineStr">
        <is>
          <t>Access Control &amp; Security</t>
        </is>
      </c>
      <c r="E21" s="28" t="inlineStr">
        <is>
          <t>Block Student Access to Class Council Management</t>
        </is>
      </c>
      <c r="F21" s="28" t="inlineStr">
        <is>
          <t>Verify that a user logged in with a Student email domain cannot access Class Council Management.</t>
        </is>
      </c>
      <c r="G21" s="28" t="inlineStr">
        <is>
          <t>User logged in with student email student01@student.passerellesnumeriques.org.</t>
        </is>
      </c>
      <c r="H21" s="28" t="inlineStr">
        <is>
          <t>Email=student01@student.passerellesnumeriques.org</t>
        </is>
      </c>
      <c r="I21" s="28" t="inlineStr">
        <is>
          <t>1. Log in with student account;
2. Attempt direct URL navigation to Class Council Management page;
3. Observe UI</t>
        </is>
      </c>
      <c r="J21" s="28" t="inlineStr">
        <is>
          <t>Access is denied. An 'Access Denied' message is shown, or user is redirected to student home page. Management menu is hidden.</t>
        </is>
      </c>
      <c r="K21" s="28" t="inlineStr"/>
      <c r="L21" s="24" t="inlineStr">
        <is>
          <t>Not Run</t>
        </is>
      </c>
      <c r="M21" s="25" t="inlineStr">
        <is>
          <t>High</t>
        </is>
      </c>
      <c r="N21" s="28" t="inlineStr">
        <is>
          <t>Related Requirement: General Rules, User Roles</t>
        </is>
      </c>
    </row>
    <row r="22" ht="45" customHeight="1">
      <c r="A22" s="21" t="inlineStr">
        <is>
          <t>TC-M04-021</t>
        </is>
      </c>
      <c r="B22" s="21" t="inlineStr">
        <is>
          <t>Module 04</t>
        </is>
      </c>
      <c r="C22" s="22" t="inlineStr">
        <is>
          <t>M04-SEC</t>
        </is>
      </c>
      <c r="D22" s="23" t="inlineStr">
        <is>
          <t>Access Control &amp; Security</t>
        </is>
      </c>
      <c r="E22" s="23" t="inlineStr">
        <is>
          <t>Block Unknown Email Domain Access</t>
        </is>
      </c>
      <c r="F22" s="23" t="inlineStr">
        <is>
          <t>Verify that users with unauthorized email domains (non-PNV/non-student) are completely blocked.</t>
        </is>
      </c>
      <c r="G22" s="23" t="inlineStr">
        <is>
          <t>User is authenticated with email testuser@gmail.com.</t>
        </is>
      </c>
      <c r="H22" s="23" t="inlineStr">
        <is>
          <t>Email=testuser@gmail.com</t>
        </is>
      </c>
      <c r="I22" s="23" t="inlineStr">
        <is>
          <t>1. Enter application URL;
2. Sign in via Google OAuth with testuser@gmail.com</t>
        </is>
      </c>
      <c r="J22" s="23" t="inlineStr">
        <is>
          <t>Login fails or 'Access Denied' message displays. User is blocked from accessing any management features.</t>
        </is>
      </c>
      <c r="K22" s="23" t="inlineStr"/>
      <c r="L22" s="24" t="inlineStr">
        <is>
          <t>Not Run</t>
        </is>
      </c>
      <c r="M22" s="25" t="inlineStr">
        <is>
          <t>High</t>
        </is>
      </c>
      <c r="N22" s="23" t="inlineStr">
        <is>
          <t>Related Requirement: General Rules, User Roles</t>
        </is>
      </c>
    </row>
    <row r="23" ht="135" customHeight="1">
      <c r="A23" s="26" t="inlineStr">
        <is>
          <t>TC-M04-022</t>
        </is>
      </c>
      <c r="B23" s="26" t="inlineStr">
        <is>
          <t>Module 04</t>
        </is>
      </c>
      <c r="C23" s="27" t="inlineStr">
        <is>
          <t>M04-F04</t>
        </is>
      </c>
      <c r="D23" s="28" t="inlineStr">
        <is>
          <t>Auto Draft Saving</t>
        </is>
      </c>
      <c r="E23" s="28" t="inlineStr">
        <is>
          <t>Verify Draft Storage Device Specificity</t>
        </is>
      </c>
      <c r="F23" s="28" t="inlineStr">
        <is>
          <t>Verify that local drafts are device-specific and not synchronized to other computers.</t>
        </is>
      </c>
      <c r="G23" s="28" t="inlineStr">
        <is>
          <t>Staff user logged in on Computer X and Computer Y.</t>
        </is>
      </c>
      <c r="H23" s="28" t="inlineStr">
        <is>
          <t>Computer X: input IT Comment 'Draft text on Computer X' for ST003.</t>
        </is>
      </c>
      <c r="I23" s="28" t="inlineStr">
        <is>
          <t>1. On Computer X, open ST003 council form and type IT comment 'Draft text on Computer X' (wait for auto-save, do NOT click Save);
2. On Computer Y, log in to same account and open ST003 Semester 1 council form;
3. Verify if draft warning appears</t>
        </is>
      </c>
      <c r="J23" s="28" t="inlineStr">
        <is>
          <t>No 'Unsaved Draft' warning appears on Computer Y, and the IT comment field is empty (or displays the saved Sheets value). Draft is device-specific.</t>
        </is>
      </c>
      <c r="K23" s="28" t="inlineStr"/>
      <c r="L23" s="24" t="inlineStr">
        <is>
          <t>Not Run</t>
        </is>
      </c>
      <c r="M23" s="29" t="inlineStr">
        <is>
          <t>Medium</t>
        </is>
      </c>
      <c r="N23" s="28" t="inlineStr">
        <is>
          <t>Related Requirement: M04-F04, Automatic Draft Saving 6.5, Out of Scope 12</t>
        </is>
      </c>
    </row>
    <row r="24" ht="105" customHeight="1">
      <c r="A24" s="21" t="inlineStr">
        <is>
          <t>TC-M04-023</t>
        </is>
      </c>
      <c r="B24" s="21" t="inlineStr">
        <is>
          <t>Module 04</t>
        </is>
      </c>
      <c r="C24" s="22" t="inlineStr">
        <is>
          <t>M04-F06</t>
        </is>
      </c>
      <c r="D24" s="23" t="inlineStr">
        <is>
          <t>Batch Feedback Entry</t>
        </is>
      </c>
      <c r="E24" s="23" t="inlineStr">
        <is>
          <t>Batch Feedback Entry with Empty Student List</t>
        </is>
      </c>
      <c r="F24" s="23" t="inlineStr">
        <is>
          <t>Verify that batch feedback entry behaves gracefully when the selected batch has no active students.</t>
        </is>
      </c>
      <c r="G24" s="23" t="inlineStr">
        <is>
          <t>Batch PNV26B is active but has no active students.</t>
        </is>
      </c>
      <c r="H24" s="23" t="inlineStr">
        <is>
          <t>Batch=PNV26B; Semester=Semester 1; FeedbackType=IT Comment</t>
        </is>
      </c>
      <c r="I24" s="23" t="inlineStr">
        <is>
          <t>1. Open Batch Feedback page;
2. Select Batch PNV26B, Semester 'Semester 1', and Feedback Type 'IT Comment';
3. Verify student list;
4. Click Save All</t>
        </is>
      </c>
      <c r="J24" s="23" t="inlineStr">
        <is>
          <t>The student grid is empty or shows 'No students in this batch'. Clicking Save All shows 'Saved 0 students' successfully with no crashes or errors.</t>
        </is>
      </c>
      <c r="K24" s="23" t="inlineStr"/>
      <c r="L24" s="24" t="inlineStr">
        <is>
          <t>Not Run</t>
        </is>
      </c>
      <c r="M24" s="29" t="inlineStr">
        <is>
          <t>Medium</t>
        </is>
      </c>
      <c r="N24" s="23" t="inlineStr">
        <is>
          <t>Related Requirement: M04-F06</t>
        </is>
      </c>
    </row>
  </sheetData>
  <autoFilter ref="A1:N24"/>
  <dataValidations count="2">
    <dataValidation sqref="L2:L124" showDropDown="0" showInputMessage="0" showErrorMessage="0" allowBlank="1" errorTitle="Invalid Status" error="Please select a valid state: Passed, Failed, or Not Run" type="list">
      <formula1>"Passed,Failed,Not Run"</formula1>
    </dataValidation>
    <dataValidation sqref="M2:M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8"/>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65" customHeight="1">
      <c r="A2" s="21" t="inlineStr">
        <is>
          <t>TC-M05-001</t>
        </is>
      </c>
      <c r="B2" s="21" t="inlineStr">
        <is>
          <t>Module 5 – Internship Management</t>
        </is>
      </c>
      <c r="C2" s="22" t="inlineStr">
        <is>
          <t>M05-F01</t>
        </is>
      </c>
      <c r="D2" s="23" t="inlineStr">
        <is>
          <t>Internship Group Creation</t>
        </is>
      </c>
      <c r="E2" s="23" t="inlineStr">
        <is>
          <t>Tạo nhóm thực tập mới với thông tin hợp lệ</t>
        </is>
      </c>
      <c r="F2" s="23" t="inlineStr">
        <is>
          <t>Kiểm tra chức năng tạo nhóm thực tập mới khi nhập đầy đủ các thông tin bắt buộc và hợp lệ.</t>
        </is>
      </c>
      <c r="G2" s="23" t="inlineStr">
        <is>
          <t>Người dùng đã đăng nhập với quyền Staff.
Đang ở giao diện Quản lý Thực tập.
Các lớp học "PNV26A" và "PNV26B" đã tồn tại trong hệ thống và chưa được gán vào bất kỳ nhóm thực tập nào trong cùng năm học.</t>
        </is>
      </c>
      <c r="H2" s="23" t="inlineStr">
        <is>
          <t>GroupName="Nhóm Thực tập 2026 - Năm 2"; InternshipYear="Second Year"; Batches="PNV26A", "PNV26B"; StartDate="2026-08-01"</t>
        </is>
      </c>
      <c r="I2" s="23" t="inlineStr">
        <is>
          <t>1. Nhấn nút "Tạo nhóm thực tập mới".
2. Nhập Tên nhóm là "Nhóm Thực tập 2026 - Năm 2".
3. Chọn Năm thực tập là "Second Year".
4. Tích chọn các lớp học "PNV26A" và "PNV26B".
5. Chọn Ngày bắt đầu là "2026-08-01".
6. Nhấn nút "Lưu".</t>
        </is>
      </c>
      <c r="J2" s="23" t="inlineStr">
        <is>
          <t>Hệ thống hiển thị thông báo tạo nhóm thành công.
Nhóm thực tập mới xuất hiện trong danh sách hiển thị với trạng thái là "On-going".
Các lớp học đã chọn được liên kết chính xác với nhóm này.</t>
        </is>
      </c>
      <c r="K2" s="23" t="inlineStr"/>
      <c r="L2" s="24" t="inlineStr">
        <is>
          <t>Not Run</t>
        </is>
      </c>
      <c r="M2" s="25" t="inlineStr">
        <is>
          <t>High</t>
        </is>
      </c>
      <c r="N2" s="23" t="inlineStr">
        <is>
          <t>Liên quan đến M05-F01, Rule 6.1</t>
        </is>
      </c>
    </row>
    <row r="3" ht="120" customHeight="1">
      <c r="A3" s="26" t="inlineStr">
        <is>
          <t>TC-M05-002</t>
        </is>
      </c>
      <c r="B3" s="26" t="inlineStr">
        <is>
          <t>Module 5 – Internship Management</t>
        </is>
      </c>
      <c r="C3" s="27" t="inlineStr">
        <is>
          <t>M05-F01</t>
        </is>
      </c>
      <c r="D3" s="28" t="inlineStr">
        <is>
          <t>Internship Group Creation</t>
        </is>
      </c>
      <c r="E3" s="28" t="inlineStr">
        <is>
          <t>Tạo nhóm thực tập thất bại do để trống tên nhóm</t>
        </is>
      </c>
      <c r="F3" s="28" t="inlineStr">
        <is>
          <t>Kiểm tra hệ thống báo lỗi và ngăn chặn tạo nhóm thực tập nếu để trống tên nhóm.</t>
        </is>
      </c>
      <c r="G3" s="28" t="inlineStr">
        <is>
          <t>Người dùng đã đăng nhập với quyền Staff.
Đang ở giao diện Tạo nhóm thực tập mới.
Lớp học "PNV26A" chưa được gán cho nhóm thực tập nào trong năm học.</t>
        </is>
      </c>
      <c r="H3" s="28" t="inlineStr">
        <is>
          <t>GroupName=""; InternshipYear="Second Year"; Batches="PNV26A"; StartDate="2026-08-01"</t>
        </is>
      </c>
      <c r="I3" s="28" t="inlineStr">
        <is>
          <t>1. Để trống trường Tên nhóm.
2. Chọn Năm thực tập là "Second Year".
3. Tích chọn lớp học "PNV26A".
4. Chọn Ngày bắt đầu là "2026-08-01".
5. Nhấn nút "Lưu".</t>
        </is>
      </c>
      <c r="J3" s="28" t="inlineStr">
        <is>
          <t>Hệ thống hiển thị thông báo lỗi yêu cầu nhập Tên nhóm (ví dụ: "Group Name is required.").
Nhóm thực tập mới không được lưu vào hệ thống.</t>
        </is>
      </c>
      <c r="K3" s="28" t="inlineStr"/>
      <c r="L3" s="24" t="inlineStr">
        <is>
          <t>Not Run</t>
        </is>
      </c>
      <c r="M3" s="25" t="inlineStr">
        <is>
          <t>High</t>
        </is>
      </c>
      <c r="N3" s="28" t="inlineStr">
        <is>
          <t>Liên quan đến Validation Rules (Mục 7), Error Handling (Mục 8)</t>
        </is>
      </c>
    </row>
    <row r="4" ht="135" customHeight="1">
      <c r="A4" s="21" t="inlineStr">
        <is>
          <t>TC-M05-003</t>
        </is>
      </c>
      <c r="B4" s="21" t="inlineStr">
        <is>
          <t>Module 5 – Internship Management</t>
        </is>
      </c>
      <c r="C4" s="22" t="inlineStr">
        <is>
          <t>M05-F01</t>
        </is>
      </c>
      <c r="D4" s="23" t="inlineStr">
        <is>
          <t>Internship Group Creation</t>
        </is>
      </c>
      <c r="E4" s="23" t="inlineStr">
        <is>
          <t>Tạo nhóm thực tập thất bại do không tích chọn lớp học</t>
        </is>
      </c>
      <c r="F4" s="23" t="inlineStr">
        <is>
          <t>Kiểm tra hệ thống báo lỗi và ngăn chặn tạo nhóm thực tập nếu không chọn bất kỳ lớp học nào.</t>
        </is>
      </c>
      <c r="G4" s="23" t="inlineStr">
        <is>
          <t>Người dùng đã đăng nhập với quyền Staff.
Đang ở giao diện Tạo nhóm thực tập mới.</t>
        </is>
      </c>
      <c r="H4" s="23" t="inlineStr">
        <is>
          <t>GroupName="Nhóm Thực tập 2026"; InternshipYear="Second Year"; Batches=None; StartDate="2026-08-01"</t>
        </is>
      </c>
      <c r="I4" s="23" t="inlineStr">
        <is>
          <t>1. Nhập Tên nhóm là "Nhóm Thực tập 2026".
2. Chọn Năm thực tập là "Second Year".
3. Không chọn bất kỳ lớp học nào trong danh sách.
4. Chọn Ngày bắt đầu là "2026-08-01".
5. Nhấn nút "Lưu".</t>
        </is>
      </c>
      <c r="J4" s="23" t="inlineStr">
        <is>
          <t>Hệ thống hiển thị thông báo lỗi yêu cầu chọn ít nhất một lớp học (ví dụ: "At least one batch is required.").
Nhóm thực tập mới không được lưu vào hệ thống.</t>
        </is>
      </c>
      <c r="K4" s="23" t="inlineStr"/>
      <c r="L4" s="24" t="inlineStr">
        <is>
          <t>Not Run</t>
        </is>
      </c>
      <c r="M4" s="25" t="inlineStr">
        <is>
          <t>High</t>
        </is>
      </c>
      <c r="N4" s="23" t="inlineStr">
        <is>
          <t>Liên quan đến Validation Rules (Mục 7), Error Handling (Mục 8)</t>
        </is>
      </c>
    </row>
    <row r="5" ht="135" customHeight="1">
      <c r="A5" s="26" t="inlineStr">
        <is>
          <t>TC-M05-004</t>
        </is>
      </c>
      <c r="B5" s="26" t="inlineStr">
        <is>
          <t>Module 5 – Internship Management</t>
        </is>
      </c>
      <c r="C5" s="27" t="inlineStr">
        <is>
          <t>M05-F01</t>
        </is>
      </c>
      <c r="D5" s="28" t="inlineStr">
        <is>
          <t>Internship Group Creation</t>
        </is>
      </c>
      <c r="E5" s="28" t="inlineStr">
        <is>
          <t>Tạo nhóm thực tập thất bại do để trống ngày bắt đầu</t>
        </is>
      </c>
      <c r="F5" s="28" t="inlineStr">
        <is>
          <t>Kiểm tra hệ thống báo lỗi và ngăn chặn tạo nhóm thực tập nếu để trống ngày bắt đầu.</t>
        </is>
      </c>
      <c r="G5" s="28" t="inlineStr">
        <is>
          <t>Người dùng đã đăng nhập với quyền Staff.
Đang ở giao diện Tạo nhóm thực tập mới.</t>
        </is>
      </c>
      <c r="H5" s="28" t="inlineStr">
        <is>
          <t>GroupName="Nhóm Thực tập 2026"; InternshipYear="Second Year"; Batches="PNV26A"; StartDate=""</t>
        </is>
      </c>
      <c r="I5" s="28" t="inlineStr">
        <is>
          <t>1. Nhập Tên nhóm là "Nhóm Thực tập 2026".
2. Chọn Năm thực tập là "Second Year".
3. Tích chọn lớp học "PNV26A".
4. Để trống trường Ngày bắt đầu.
5. Nhấn nút "Lưu".</t>
        </is>
      </c>
      <c r="J5" s="28" t="inlineStr">
        <is>
          <t>Hệ thống hiển thị thông báo lỗi yêu cầu chọn Ngày bắt đầu (ví dụ: "Start Date is required.").
Nhóm thực tập mới không được lưu vào hệ thống.</t>
        </is>
      </c>
      <c r="K5" s="28" t="inlineStr"/>
      <c r="L5" s="24" t="inlineStr">
        <is>
          <t>Not Run</t>
        </is>
      </c>
      <c r="M5" s="25" t="inlineStr">
        <is>
          <t>High</t>
        </is>
      </c>
      <c r="N5" s="28" t="inlineStr">
        <is>
          <t>Liên quan đến Validation Rules (Mục 7), Error Handling (Mục 8)</t>
        </is>
      </c>
    </row>
    <row r="6" ht="135" customHeight="1">
      <c r="A6" s="21" t="inlineStr">
        <is>
          <t>TC-M05-005</t>
        </is>
      </c>
      <c r="B6" s="21" t="inlineStr">
        <is>
          <t>Module 5 – Internship Management</t>
        </is>
      </c>
      <c r="C6" s="22" t="inlineStr">
        <is>
          <t>M05-F01</t>
        </is>
      </c>
      <c r="D6" s="23" t="inlineStr">
        <is>
          <t>Internship Group Creation</t>
        </is>
      </c>
      <c r="E6" s="23" t="inlineStr">
        <is>
          <t>Tạo nhóm thực tập thất bại do để trống năm thực tập</t>
        </is>
      </c>
      <c r="F6" s="23" t="inlineStr">
        <is>
          <t>Kiểm tra hệ thống báo lỗi và ngăn chặn tạo nhóm thực tập nếu năm thực tập không được chọn.</t>
        </is>
      </c>
      <c r="G6" s="23" t="inlineStr">
        <is>
          <t>Người dùng đã đăng nhập với quyền Staff.
Đang ở giao diện Tạo nhóm thực tập mới.</t>
        </is>
      </c>
      <c r="H6" s="23" t="inlineStr">
        <is>
          <t>GroupName="Nhóm Thực tập 2026"; InternshipYear=""; Batches="PNV26A"; StartDate="2026-08-01"</t>
        </is>
      </c>
      <c r="I6" s="23" t="inlineStr">
        <is>
          <t>1. Nhập Tên nhóm là "Nhóm Thực tập 2026".
2. Không chọn Năm thực tập (để trống).
3. Tích chọn lớp học "PNV26A".
4. Chọn Ngày bắt đầu là "2026-08-01".
5. Nhấn nút "Lưu".</t>
        </is>
      </c>
      <c r="J6" s="23" t="inlineStr">
        <is>
          <t>Hệ thống hiển thị thông báo lỗi yêu cầu chọn Năm thực tập (ví dụ: "Internship Year is required.").
Nhóm thực tập mới không được lưu vào hệ thống.</t>
        </is>
      </c>
      <c r="K6" s="23" t="inlineStr"/>
      <c r="L6" s="24" t="inlineStr">
        <is>
          <t>Not Run</t>
        </is>
      </c>
      <c r="M6" s="25" t="inlineStr">
        <is>
          <t>High</t>
        </is>
      </c>
      <c r="N6" s="23" t="inlineStr">
        <is>
          <t>Liên quan đến Validation Rules (Mục 7)</t>
        </is>
      </c>
    </row>
    <row r="7" ht="150" customHeight="1">
      <c r="A7" s="26" t="inlineStr">
        <is>
          <t>TC-M05-006</t>
        </is>
      </c>
      <c r="B7" s="26" t="inlineStr">
        <is>
          <t>Module 5 – Internship Management</t>
        </is>
      </c>
      <c r="C7" s="27" t="inlineStr">
        <is>
          <t>M05-F01</t>
        </is>
      </c>
      <c r="D7" s="28" t="inlineStr">
        <is>
          <t>Internship Group Creation</t>
        </is>
      </c>
      <c r="E7" s="28" t="inlineStr">
        <is>
          <t>Tạo nhóm thực tập thất bại do chọn lớp học đã được gán vào nhóm thực tập khác trong cùng năm học</t>
        </is>
      </c>
      <c r="F7" s="28" t="inlineStr">
        <is>
          <t>Kiểm tra hệ thống từ chối tạo nhóm thực tập mới chứa lớp học đã được gán cho nhóm thực tập khác trong cùng năm học.</t>
        </is>
      </c>
      <c r="G7" s="28" t="inlineStr">
        <is>
          <t>Người dùng đã đăng nhập với quyền Staff.
Đã tồn tại nhóm thực tập "Nhóm A" cho năm học "Second Year" chứa lớp "PNV26A".</t>
        </is>
      </c>
      <c r="H7" s="28" t="inlineStr">
        <is>
          <t>GroupName="Nhóm B"; InternshipYear="Second Year"; Batches="PNV26A"; StartDate="2026-08-01"</t>
        </is>
      </c>
      <c r="I7" s="28" t="inlineStr">
        <is>
          <t>1. Nhấn nút "Tạo nhóm thực tập mới".
2. Nhập Tên nhóm là "Nhóm B".
3. Chọn Năm thực tập là "Second Year".
4. Chọn lớp học là "PNV26A".
5. Chọn Ngày bắt đầu là "2026-08-01".
6. Nhấn nút "Lưu".</t>
        </is>
      </c>
      <c r="J7" s="28" t="inlineStr">
        <is>
          <t>Hệ thống từ chối lưu và hiển thị thông báo lỗi (ví dụ: lớp PNV26A đã được gán cho một nhóm thực tập khác trong năm học này - "Batch already assigned").
Nhóm thực tập "Nhóm B" không được tạo.</t>
        </is>
      </c>
      <c r="K7" s="28" t="inlineStr"/>
      <c r="L7" s="24" t="inlineStr">
        <is>
          <t>Not Run</t>
        </is>
      </c>
      <c r="M7" s="25" t="inlineStr">
        <is>
          <t>High</t>
        </is>
      </c>
      <c r="N7" s="28" t="inlineStr">
        <is>
          <t>Liên quan đến Batch Assignment Rule (Rule 6.2), Error Handling (Mục 8)</t>
        </is>
      </c>
    </row>
    <row r="8" ht="150" customHeight="1">
      <c r="A8" s="21" t="inlineStr">
        <is>
          <t>TC-M05-007</t>
        </is>
      </c>
      <c r="B8" s="21" t="inlineStr">
        <is>
          <t>Module 5 – Internship Management</t>
        </is>
      </c>
      <c r="C8" s="22" t="inlineStr">
        <is>
          <t>M05-F01</t>
        </is>
      </c>
      <c r="D8" s="23" t="inlineStr">
        <is>
          <t>Internship Group Creation</t>
        </is>
      </c>
      <c r="E8" s="23" t="inlineStr">
        <is>
          <t>Tạo nhóm thực tập thành công khi gán cùng lớp học vào nhóm thực tập ở các năm học khác nhau</t>
        </is>
      </c>
      <c r="F8" s="23" t="inlineStr">
        <is>
          <t>Kiểm tra hệ thống cho phép gán cùng một lớp học vào nhóm thực tập ở các năm khác nhau (ví dụ: năm 2 và năm 3).</t>
        </is>
      </c>
      <c r="G8" s="23" t="inlineStr">
        <is>
          <t>Người dùng đã đăng nhập với quyền Staff.
Lớp "PNV26A" đã được gán vào nhóm thực tập "Nhóm Năm 2" thuộc năm thực tập "Second Year".</t>
        </is>
      </c>
      <c r="H8" s="23" t="inlineStr">
        <is>
          <t>GroupName="Nhóm Năm 3"; InternshipYear="Third Year"; Batches="PNV26A"; StartDate="2027-08-01"</t>
        </is>
      </c>
      <c r="I8" s="23" t="inlineStr">
        <is>
          <t>1. Nhấn nút "Tạo nhóm thực tập mới".
2. Nhập Tên nhóm là "Nhóm Năm 3".
3. Chọn Năm thực tập là "Third Year".
4. Chọn lớp học là "PNV26A".
5. Chọn Ngày bắt đầu là "2027-08-01".
6. Nhấn nút "Lưu".</t>
        </is>
      </c>
      <c r="J8" s="23" t="inlineStr">
        <is>
          <t>Hệ thống lưu thành công nhóm thực tập mới.
Lớp PNV26A được gán vào nhóm "Nhóm Năm 3" mà không có lỗi.</t>
        </is>
      </c>
      <c r="K8" s="23" t="inlineStr"/>
      <c r="L8" s="24" t="inlineStr">
        <is>
          <t>Not Run</t>
        </is>
      </c>
      <c r="M8" s="25" t="inlineStr">
        <is>
          <t>High</t>
        </is>
      </c>
      <c r="N8" s="23" t="inlineStr">
        <is>
          <t>Liên quan đến Batch Assignment Rule (Rule 6.2)</t>
        </is>
      </c>
    </row>
    <row r="9" ht="105" customHeight="1">
      <c r="A9" s="26" t="inlineStr">
        <is>
          <t>TC-M05-008</t>
        </is>
      </c>
      <c r="B9" s="26" t="inlineStr">
        <is>
          <t>Module 5 – Internship Management</t>
        </is>
      </c>
      <c r="C9" s="27" t="inlineStr">
        <is>
          <t>M05-F02</t>
        </is>
      </c>
      <c r="D9" s="28" t="inlineStr">
        <is>
          <t>Group Archiving / Reactivation</t>
        </is>
      </c>
      <c r="E9" s="28" t="inlineStr">
        <is>
          <t>Lưu trữ nhóm thực tập đang hoạt động</t>
        </is>
      </c>
      <c r="F9" s="28" t="inlineStr">
        <is>
          <t>Kiểm tra chức năng Lưu trữ (Archive) một nhóm thực tập đang ở trạng thái On-going.</t>
        </is>
      </c>
      <c r="G9" s="28" t="inlineStr">
        <is>
          <t>Người dùng đã đăng nhập với quyền Staff.
Đã tồn tại nhóm thực tập "Nhóm Thực tập 2026" ở trạng thái On-going.</t>
        </is>
      </c>
      <c r="H9" s="28" t="inlineStr">
        <is>
          <t>GroupName="Nhóm Thực tập 2026"</t>
        </is>
      </c>
      <c r="I9" s="28" t="inlineStr">
        <is>
          <t>1. Tìm nhóm thực tập "Nhóm Thực tập 2026" trên giao diện danh sách.
2. Nhấn vào biểu tượng/nút "Lưu trữ" (Archive) của nhóm này.
3. Xác nhận lưu trữ ở hộp thoại xác nhận.</t>
        </is>
      </c>
      <c r="J9" s="28" t="inlineStr">
        <is>
          <t>Hệ thống hiển thị thông báo lưu trữ thành công.
Trạng thái của nhóm thực tập chuyển sang "Archived".
Nhóm thực tập này bị ẩn khỏi danh sách hoạt động bình thường.</t>
        </is>
      </c>
      <c r="K9" s="28" t="inlineStr"/>
      <c r="L9" s="24" t="inlineStr">
        <is>
          <t>Not Run</t>
        </is>
      </c>
      <c r="M9" s="25" t="inlineStr">
        <is>
          <t>High</t>
        </is>
      </c>
      <c r="N9" s="28" t="inlineStr">
        <is>
          <t>Liên quan đến M05-F02, Rule 6.12</t>
        </is>
      </c>
    </row>
    <row r="10" ht="120" customHeight="1">
      <c r="A10" s="21" t="inlineStr">
        <is>
          <t>TC-M05-009</t>
        </is>
      </c>
      <c r="B10" s="21" t="inlineStr">
        <is>
          <t>Module 5 – Internship Management</t>
        </is>
      </c>
      <c r="C10" s="22" t="inlineStr">
        <is>
          <t>M05-F02</t>
        </is>
      </c>
      <c r="D10" s="23" t="inlineStr">
        <is>
          <t>Group Archiving / Reactivation</t>
        </is>
      </c>
      <c r="E10" s="23" t="inlineStr">
        <is>
          <t>Kích hoạt lại nhóm thực tập đã lưu trữ</t>
        </is>
      </c>
      <c r="F10" s="23" t="inlineStr">
        <is>
          <t>Kiểm tra chức năng khôi phục/kích hoạt lại (Reactivate) một nhóm thực tập đã bị lưu trữ.</t>
        </is>
      </c>
      <c r="G10" s="23" t="inlineStr">
        <is>
          <t>Người dùng đã đăng nhập với quyền Staff.
Đã có nhóm thực tập "Nhóm Thực tập 2026" ở trạng thái Archived.</t>
        </is>
      </c>
      <c r="H10" s="23" t="inlineStr">
        <is>
          <t>GroupName="Nhóm Thực tập 2026"</t>
        </is>
      </c>
      <c r="I10" s="23" t="inlineStr">
        <is>
          <t>1. Truy cập vào danh sách các nhóm thực tập đã lưu trữ (Archived Groups).
2. Tìm nhóm "Nhóm Thực tập 2026".
3. Nhấn vào nút "Khôi phục" hoặc "Kích hoạt lại" (Reactivate).
4. Xác nhận ở hộp thoại.</t>
        </is>
      </c>
      <c r="J10" s="23" t="inlineStr">
        <is>
          <t>Hệ thống hiển thị thông báo kích hoạt lại thành công.
Trạng thái của nhóm chuyển từ "Archived" về "On-going".
Nhóm thực tập xuất hiện trở lại trong danh sách nhóm đang hoạt động.</t>
        </is>
      </c>
      <c r="K10" s="23" t="inlineStr"/>
      <c r="L10" s="24" t="inlineStr">
        <is>
          <t>Not Run</t>
        </is>
      </c>
      <c r="M10" s="25" t="inlineStr">
        <is>
          <t>High</t>
        </is>
      </c>
      <c r="N10" s="23" t="inlineStr">
        <is>
          <t>Liên quan đến M05-F02, Rule 6.12</t>
        </is>
      </c>
    </row>
    <row r="11" ht="75" customHeight="1">
      <c r="A11" s="26" t="inlineStr">
        <is>
          <t>TC-M05-010</t>
        </is>
      </c>
      <c r="B11" s="26" t="inlineStr">
        <is>
          <t>Module 5 – Internship Management</t>
        </is>
      </c>
      <c r="C11" s="27" t="inlineStr">
        <is>
          <t>M05-F03</t>
        </is>
      </c>
      <c r="D11" s="28" t="inlineStr">
        <is>
          <t>Company Management</t>
        </is>
      </c>
      <c r="E11" s="28" t="inlineStr">
        <is>
          <t>Thêm công ty đối tác mới với tên hợp lệ</t>
        </is>
      </c>
      <c r="F11" s="28" t="inlineStr">
        <is>
          <t>Kiểm tra chức năng thêm mới công ty đối tác với tên hợp lệ và chưa tồn tại.</t>
        </is>
      </c>
      <c r="G11" s="28" t="inlineStr">
        <is>
          <t>Người dùng đã đăng nhập với quyền Staff.
Đang ở giao diện Quản lý Công ty (Company Management).</t>
        </is>
      </c>
      <c r="H11" s="28" t="inlineStr">
        <is>
          <t>CompanyName="TechCorp"</t>
        </is>
      </c>
      <c r="I11" s="28" t="inlineStr">
        <is>
          <t>1. Nhấn nút "Thêm công ty mới".
2. Nhập vào trường Tên công ty: "TechCorp".
3. Nhấn nút "Lưu".</t>
        </is>
      </c>
      <c r="J11" s="28" t="inlineStr">
        <is>
          <t>Hệ thống hiển thị thông báo thêm công ty thành công.
Công ty "TechCorp" xuất hiện trong danh sách các công ty đối tác.</t>
        </is>
      </c>
      <c r="K11" s="28" t="inlineStr"/>
      <c r="L11" s="24" t="inlineStr">
        <is>
          <t>Not Run</t>
        </is>
      </c>
      <c r="M11" s="25" t="inlineStr">
        <is>
          <t>High</t>
        </is>
      </c>
      <c r="N11" s="28" t="inlineStr">
        <is>
          <t>Liên quan đến M05-F03, Rule 6.3</t>
        </is>
      </c>
    </row>
    <row r="12" ht="75" customHeight="1">
      <c r="A12" s="21" t="inlineStr">
        <is>
          <t>TC-M05-011</t>
        </is>
      </c>
      <c r="B12" s="21" t="inlineStr">
        <is>
          <t>Module 5 – Internship Management</t>
        </is>
      </c>
      <c r="C12" s="22" t="inlineStr">
        <is>
          <t>M05-F03</t>
        </is>
      </c>
      <c r="D12" s="23" t="inlineStr">
        <is>
          <t>Company Management</t>
        </is>
      </c>
      <c r="E12" s="23" t="inlineStr">
        <is>
          <t>Thêm công ty thất bại do để trống tên công ty</t>
        </is>
      </c>
      <c r="F12" s="23" t="inlineStr">
        <is>
          <t>Kiểm tra hệ thống hiển thị thông báo lỗi và ngăn chặn thêm công ty nếu để trống tên công ty.</t>
        </is>
      </c>
      <c r="G12" s="23" t="inlineStr">
        <is>
          <t>Người dùng đã đăng nhập với quyền Staff.
Đang ở giao diện Quản lý Công ty.</t>
        </is>
      </c>
      <c r="H12" s="23" t="inlineStr">
        <is>
          <t>CompanyName=""</t>
        </is>
      </c>
      <c r="I12" s="23" t="inlineStr">
        <is>
          <t>1. Nhấn nút "Thêm công ty mới".
2. Để trống trường Tên công ty.
3. Nhấn nút "Lưu".</t>
        </is>
      </c>
      <c r="J12" s="23" t="inlineStr">
        <is>
          <t>Hệ thống hiển thị thông báo lỗi yêu cầu nhập tên công ty (ví dụ: "Company Name is required.").
Công ty mới không được thêm vào danh sách.</t>
        </is>
      </c>
      <c r="K12" s="23" t="inlineStr"/>
      <c r="L12" s="24" t="inlineStr">
        <is>
          <t>Not Run</t>
        </is>
      </c>
      <c r="M12" s="25" t="inlineStr">
        <is>
          <t>High</t>
        </is>
      </c>
      <c r="N12" s="23" t="inlineStr">
        <is>
          <t>Liên quan đến Validation Rules (Mục 7), Error Handling (Mục 8)</t>
        </is>
      </c>
    </row>
    <row r="13" ht="90" customHeight="1">
      <c r="A13" s="26" t="inlineStr">
        <is>
          <t>TC-M05-012</t>
        </is>
      </c>
      <c r="B13" s="26" t="inlineStr">
        <is>
          <t>Module 5 – Internship Management</t>
        </is>
      </c>
      <c r="C13" s="27" t="inlineStr">
        <is>
          <t>M05-F03</t>
        </is>
      </c>
      <c r="D13" s="28" t="inlineStr">
        <is>
          <t>Company Management</t>
        </is>
      </c>
      <c r="E13" s="28" t="inlineStr">
        <is>
          <t>Thêm công ty thất bại do trùng tên (phân biệt hoa thường)</t>
        </is>
      </c>
      <c r="F13" s="28" t="inlineStr">
        <is>
          <t>Kiểm tra hệ thống từ chối và báo lỗi khi thêm công ty có tên viết hoa/thường trùng với công ty đã tồn tại.</t>
        </is>
      </c>
      <c r="G13" s="28" t="inlineStr">
        <is>
          <t>Người dùng đã đăng nhập với quyền Staff.
Đã tồn tại công ty "TechCorp" trong hệ thống.
Đang ở giao diện Quản lý Công ty.</t>
        </is>
      </c>
      <c r="H13" s="28" t="inlineStr">
        <is>
          <t>CompanyName="techcorp"</t>
        </is>
      </c>
      <c r="I13" s="28" t="inlineStr">
        <is>
          <t>1. Nhấn nút "Thêm công ty mới".
2. Nhập vào trường Tên công ty: "techcorp" (viết thường hoàn toàn).
3. Nhấn nút "Lưu".</t>
        </is>
      </c>
      <c r="J13" s="28" t="inlineStr">
        <is>
          <t>Hệ thống từ chối lưu và hiển thị thông báo lỗi trùng tên công ty (ví dụ: "Company name already exists.").
Công ty trùng lặp không được tạo thêm.</t>
        </is>
      </c>
      <c r="K13" s="28" t="inlineStr"/>
      <c r="L13" s="24" t="inlineStr">
        <is>
          <t>Not Run</t>
        </is>
      </c>
      <c r="M13" s="25" t="inlineStr">
        <is>
          <t>High</t>
        </is>
      </c>
      <c r="N13" s="28" t="inlineStr">
        <is>
          <t>Liên quan đến M05-F03, Rule 6.3, Error Handling (Mục 8)</t>
        </is>
      </c>
    </row>
    <row r="14" ht="90" customHeight="1">
      <c r="A14" s="21" t="inlineStr">
        <is>
          <t>TC-M05-013</t>
        </is>
      </c>
      <c r="B14" s="21" t="inlineStr">
        <is>
          <t>Module 5 – Internship Management</t>
        </is>
      </c>
      <c r="C14" s="22" t="inlineStr">
        <is>
          <t>M05-F03</t>
        </is>
      </c>
      <c r="D14" s="23" t="inlineStr">
        <is>
          <t>Company Management</t>
        </is>
      </c>
      <c r="E14" s="23" t="inlineStr">
        <is>
          <t>Thêm công ty thất bại do trùng tên khi có khoảng trắng đầu/cuối</t>
        </is>
      </c>
      <c r="F14" s="23" t="inlineStr">
        <is>
          <t>Kiểm tra hệ thống tự động loại bỏ khoảng trắng đầu/cuối và từ chối nếu tên công ty trùng lặp.</t>
        </is>
      </c>
      <c r="G14" s="23" t="inlineStr">
        <is>
          <t>Người dùng đã đăng nhập với quyền Staff.
Đã tồn tại công ty "TechCorp" trong hệ thống.
Đang ở giao diện Quản lý Công ty.</t>
        </is>
      </c>
      <c r="H14" s="23" t="inlineStr">
        <is>
          <t>CompanyName="  TechCorp  "</t>
        </is>
      </c>
      <c r="I14" s="23" t="inlineStr">
        <is>
          <t>1. Nhấn nút "Thêm công ty mới".
2. Nhập vào trường Tên công ty: "  TechCorp  " (có khoảng trắng ở đầu và cuối).
3. Nhấn nút "Lưu".</t>
        </is>
      </c>
      <c r="J14" s="23" t="inlineStr">
        <is>
          <t>Hệ thống cắt bỏ các khoảng trắng đầu/cuối, phát hiện trùng lặp với "TechCorp", từ chối lưu và hiển thị thông báo lỗi trùng tên.</t>
        </is>
      </c>
      <c r="K14" s="23" t="inlineStr"/>
      <c r="L14" s="24" t="inlineStr">
        <is>
          <t>Not Run</t>
        </is>
      </c>
      <c r="M14" s="25" t="inlineStr">
        <is>
          <t>High</t>
        </is>
      </c>
      <c r="N14" s="23" t="inlineStr">
        <is>
          <t>Liên quan đến M05-F03, Rule 6.3, Error Handling (Mục 8)</t>
        </is>
      </c>
    </row>
    <row r="15" ht="150" customHeight="1">
      <c r="A15" s="26" t="inlineStr">
        <is>
          <t>TC-M05-014</t>
        </is>
      </c>
      <c r="B15" s="26" t="inlineStr">
        <is>
          <t>Module 5 – Internship Management</t>
        </is>
      </c>
      <c r="C15" s="27" t="inlineStr">
        <is>
          <t>M05-F04</t>
        </is>
      </c>
      <c r="D15" s="28" t="inlineStr">
        <is>
          <t>Student-to-Company Assignment</t>
        </is>
      </c>
      <c r="E15" s="28" t="inlineStr">
        <is>
          <t>Phân công thực tập cho học viên đơn lẻ</t>
        </is>
      </c>
      <c r="F15" s="28" t="inlineStr">
        <is>
          <t>Kiểm tra chức năng phân công một học viên vào một công ty đối tác.</t>
        </is>
      </c>
      <c r="G15" s="28" t="inlineStr">
        <is>
          <t>Người dùng đã đăng nhập với quyền Staff.
Đang ở giao diện danh sách học viên của nhóm thực tập "Nhóm Thực tập 2026" (trạng thái On-going).
Học viên "Nguyễn Văn A" đang ở trạng thái chưa được phân công (Unassigned).
Công ty "TechCorp" đang ở trạng thái hoạt động (không bị ẩn).</t>
        </is>
      </c>
      <c r="H15" s="28" t="inlineStr">
        <is>
          <t>StudentName="Nguyễn Văn A"; AssignedCompany="TechCorp"</t>
        </is>
      </c>
      <c r="I15" s="28" t="inlineStr">
        <is>
          <t>1. Tìm học viên "Nguyễn Văn A" trong bảng phân công học viên.
2. Nhấp vào ô chọn công ty của học viên "Nguyễn Văn A".
3. Chọn công ty "TechCorp" từ danh sách gợi ý.
4. Nhấn nút "Lưu thay đổi".</t>
        </is>
      </c>
      <c r="J15" s="28" t="inlineStr">
        <is>
          <t>Hệ thống hiển thị thông báo phân công thành công.
Học viên "Nguyễn Văn A" hiển thị công ty đã gán là "TechCorp".
Số lượng học viên chưa phân công trên nhãn cảnh báo (Warning Badge) tự động giảm đi 1.</t>
        </is>
      </c>
      <c r="K15" s="28" t="inlineStr"/>
      <c r="L15" s="24" t="inlineStr">
        <is>
          <t>Not Run</t>
        </is>
      </c>
      <c r="M15" s="25" t="inlineStr">
        <is>
          <t>High</t>
        </is>
      </c>
      <c r="N15" s="28" t="inlineStr">
        <is>
          <t>Liên quan đến M05-F04, M05-F06, Rule 6.4, Rule 6.11</t>
        </is>
      </c>
    </row>
    <row r="16" ht="135" customHeight="1">
      <c r="A16" s="21" t="inlineStr">
        <is>
          <t>TC-M05-015</t>
        </is>
      </c>
      <c r="B16" s="21" t="inlineStr">
        <is>
          <t>Module 5 – Internship Management</t>
        </is>
      </c>
      <c r="C16" s="22" t="inlineStr">
        <is>
          <t>M05-F04</t>
        </is>
      </c>
      <c r="D16" s="23" t="inlineStr">
        <is>
          <t>Student-to-Company Assignment</t>
        </is>
      </c>
      <c r="E16" s="23" t="inlineStr">
        <is>
          <t>Phân công thực tập hàng loạt cho nhiều học viên cùng lúc</t>
        </is>
      </c>
      <c r="F16" s="23" t="inlineStr">
        <is>
          <t>Kiểm tra chức năng chọn nhiều học viên và phân công vào cùng một công ty cùng lúc.</t>
        </is>
      </c>
      <c r="G16" s="23" t="inlineStr">
        <is>
          <t>Người dùng đã đăng nhập với quyền Staff.
Đang ở giao diện danh sách học viên của nhóm thực tập.
Có ít nhất 3 học viên đang ở trạng thái chưa phân công (ví dụ: Nguyễn Văn B, Trần Thị C, Lê Văn D).
Công ty "TechCorp" đang hoạt động.</t>
        </is>
      </c>
      <c r="H16" s="23" t="inlineStr">
        <is>
          <t>SelectedStudents="Nguyễn Văn B", "Trần Thị C", "Lê Văn D"; AssignedCompany="TechCorp"</t>
        </is>
      </c>
      <c r="I16" s="23" t="inlineStr">
        <is>
          <t>1. Tích chọn các ô vuông (checkbox) đầu dòng của học viên "Nguyễn Văn B", "Trần Thị C" và "Lê Văn D".
2. Nhấn nút "Phân công hàng loạt" (Bulk Assign).
3. Chọn công ty "TechCorp" trong hộp thoại hiện ra.
4. Nhấn nút "Áp dụng" hoặc "Lưu".</t>
        </is>
      </c>
      <c r="J16" s="23" t="inlineStr">
        <is>
          <t>Hệ thống hiển thị thông báo phân công hàng loạt thành công.
Cả 3 học viên trên đều hiển thị công ty được phân công là "TechCorp".
Số lượng trên nhãn cảnh báo học viên chưa phân công tự động giảm đi 3.</t>
        </is>
      </c>
      <c r="K16" s="23" t="inlineStr"/>
      <c r="L16" s="24" t="inlineStr">
        <is>
          <t>Not Run</t>
        </is>
      </c>
      <c r="M16" s="25" t="inlineStr">
        <is>
          <t>High</t>
        </is>
      </c>
      <c r="N16" s="23" t="inlineStr">
        <is>
          <t>Liên quan đến M05-F04, M05-F06, Rule 6.4, Rule 6.11</t>
        </is>
      </c>
    </row>
    <row r="17" ht="135" customHeight="1">
      <c r="A17" s="26" t="inlineStr">
        <is>
          <t>TC-M05-016</t>
        </is>
      </c>
      <c r="B17" s="26" t="inlineStr">
        <is>
          <t>Module 5 – Internship Management</t>
        </is>
      </c>
      <c r="C17" s="27" t="inlineStr">
        <is>
          <t>M05-F04</t>
        </is>
      </c>
      <c r="D17" s="28" t="inlineStr">
        <is>
          <t>Student-to-Company Assignment</t>
        </is>
      </c>
      <c r="E17" s="28" t="inlineStr">
        <is>
          <t>Thay đổi công ty đã phân công của học viên</t>
        </is>
      </c>
      <c r="F17" s="28" t="inlineStr">
        <is>
          <t>Kiểm tra chức năng gán công ty mới cho học viên đã được phân công trước đó, đảm bảo công ty cũ bị ghi đè.</t>
        </is>
      </c>
      <c r="G17" s="28" t="inlineStr">
        <is>
          <t>Người dùng đã đăng nhập với quyền Staff.
Học viên "Nguyễn Văn A" đang được phân công ở công ty "TechCorp".
Công ty "PNV Software" đang hoạt động trong hệ thống.</t>
        </is>
      </c>
      <c r="H17" s="28" t="inlineStr">
        <is>
          <t>StudentName="Nguyễn Văn A"; NewCompany="PNV Software"</t>
        </is>
      </c>
      <c r="I17" s="28" t="inlineStr">
        <is>
          <t>1. Tìm học viên "Nguyễn Văn A" trong danh sách.
2. Mở danh sách chọn công ty của học viên này và đổi từ "TechCorp" sang "PNV Software".
3. Nhấn nút "Lưu thay đổi".</t>
        </is>
      </c>
      <c r="J17" s="28" t="inlineStr">
        <is>
          <t>Hệ thống cập nhật thành công.
Công ty phân công mới của học viên "Nguyễn Văn A" hiển thị là "PNV Software".
Phân công cũ tại "TechCorp" bị thay thế hoàn toàn.
Nhãn cảnh báo học viên chưa phân công không thay đổi số lượng.</t>
        </is>
      </c>
      <c r="K17" s="28" t="inlineStr"/>
      <c r="L17" s="24" t="inlineStr">
        <is>
          <t>Not Run</t>
        </is>
      </c>
      <c r="M17" s="25" t="inlineStr">
        <is>
          <t>High</t>
        </is>
      </c>
      <c r="N17" s="28" t="inlineStr">
        <is>
          <t>Liên quan đến M05-F04, Rule 6.4</t>
        </is>
      </c>
    </row>
    <row r="18" ht="105" customHeight="1">
      <c r="A18" s="21" t="inlineStr">
        <is>
          <t>TC-M05-017</t>
        </is>
      </c>
      <c r="B18" s="21" t="inlineStr">
        <is>
          <t>Module 5 – Internship Management</t>
        </is>
      </c>
      <c r="C18" s="22" t="inlineStr">
        <is>
          <t>M05-F05</t>
        </is>
      </c>
      <c r="D18" s="23" t="inlineStr">
        <is>
          <t>Remove Assignment</t>
        </is>
      </c>
      <c r="E18" s="23" t="inlineStr">
        <is>
          <t>Hủy bỏ phân công công ty của học viên bằng cách chọn No Company</t>
        </is>
      </c>
      <c r="F18" s="23" t="inlineStr">
        <is>
          <t>Kiểm tra chức năng đưa học viên đã phân công về lại trạng thái chưa phân công (Unassigned) bằng cách chọn "(No Company)".</t>
        </is>
      </c>
      <c r="G18" s="23" t="inlineStr">
        <is>
          <t>Người dùng đã đăng nhập với quyền Staff.
Học viên "Nguyễn Văn A" đang được phân công tại công ty "PNV Software".</t>
        </is>
      </c>
      <c r="H18" s="23" t="inlineStr">
        <is>
          <t>StudentName="Nguyễn Văn A"; Selection="(No Company)"</t>
        </is>
      </c>
      <c r="I18" s="23" t="inlineStr">
        <is>
          <t>1. Tìm học viên "Nguyễn Văn A" trong danh sách.
2. Nhấp vào ô chọn công ty, chọn giá trị "(No Company)".
3. Nhấn nút "Lưu".</t>
        </is>
      </c>
      <c r="J18" s="23" t="inlineStr">
        <is>
          <t>Hệ thống lưu thành công.
Học viên "Nguyễn Văn A" hiển thị trạng thái là chưa được phân công.
Số lượng trên nhãn cảnh báo học viên chưa phân công (Warning Badge) tự động tăng lên 1.</t>
        </is>
      </c>
      <c r="K18" s="23" t="inlineStr"/>
      <c r="L18" s="24" t="inlineStr">
        <is>
          <t>Not Run</t>
        </is>
      </c>
      <c r="M18" s="25" t="inlineStr">
        <is>
          <t>High</t>
        </is>
      </c>
      <c r="N18" s="23" t="inlineStr">
        <is>
          <t>Liên quan đến M05-F05, M05-F06, Rule 6.5, Rule 6.11, Error Handling (Mục 8)</t>
        </is>
      </c>
    </row>
    <row r="19" ht="165" customHeight="1">
      <c r="A19" s="26" t="inlineStr">
        <is>
          <t>TC-M05-018</t>
        </is>
      </c>
      <c r="B19" s="26" t="inlineStr">
        <is>
          <t>Module 5 – Internship Management</t>
        </is>
      </c>
      <c r="C19" s="27" t="inlineStr">
        <is>
          <t>M05-F04</t>
        </is>
      </c>
      <c r="D19" s="28" t="inlineStr">
        <is>
          <t>Student-to-Company Assignment</t>
        </is>
      </c>
      <c r="E19" s="28" t="inlineStr">
        <is>
          <t>Ẩn công ty và kiểm tra xem công ty đó có bị loại khỏi danh sách chọn phân công mới hay không</t>
        </is>
      </c>
      <c r="F19" s="28" t="inlineStr">
        <is>
          <t>Kiểm tra quy tắc công ty bị ẩn (Hidden) không xuất hiện trong dropdown phân công thực tập mới.</t>
        </is>
      </c>
      <c r="G19" s="28" t="inlineStr">
        <is>
          <t>Người dùng đã đăng nhập với quyền Staff.
Đã tồn tại công ty "ABC Technology" trong hệ thống.</t>
        </is>
      </c>
      <c r="H19" s="28" t="inlineStr">
        <is>
          <t>CompanyToHide="ABC Technology"</t>
        </is>
      </c>
      <c r="I19" s="28" t="inlineStr">
        <is>
          <t>1. Vào trang Quản lý Công ty (Company Management).
2. Tìm công ty "ABC Technology" và chọn thiết lập "Ẩn" (Hidden) cho công ty này.
3. Nhấn nút "Lưu trạng thái công ty".
4. Quay lại trang danh sách học viên của nhóm thực tập và mở dropdown phân công công ty của một học viên bất kỳ chưa được phân công.</t>
        </is>
      </c>
      <c r="J19" s="28" t="inlineStr">
        <is>
          <t>Trạng thái ẩn được lưu thành công.
Công ty "ABC Technology" không xuất hiện trong danh sách dropdown để chọn phân công mới.</t>
        </is>
      </c>
      <c r="K19" s="28" t="inlineStr"/>
      <c r="L19" s="24" t="inlineStr">
        <is>
          <t>Not Run</t>
        </is>
      </c>
      <c r="M19" s="25" t="inlineStr">
        <is>
          <t>High</t>
        </is>
      </c>
      <c r="N19" s="28" t="inlineStr">
        <is>
          <t>Liên quan đến Rule 6.6, Error Handling (Mục 8)</t>
        </is>
      </c>
    </row>
    <row r="20" ht="120" customHeight="1">
      <c r="A20" s="21" t="inlineStr">
        <is>
          <t>TC-M05-019</t>
        </is>
      </c>
      <c r="B20" s="21" t="inlineStr">
        <is>
          <t>Module 5 – Internship Management</t>
        </is>
      </c>
      <c r="C20" s="22" t="inlineStr">
        <is>
          <t>M05-F04</t>
        </is>
      </c>
      <c r="D20" s="23" t="inlineStr">
        <is>
          <t>Student-to-Company Assignment</t>
        </is>
      </c>
      <c r="E20" s="23" t="inlineStr">
        <is>
          <t>Đảm bảo phân công hiện tại của học viên không bị ảnh hưởng khi công ty đó bị ẩn</t>
        </is>
      </c>
      <c r="F20" s="23" t="inlineStr">
        <is>
          <t>Kiểm tra quy tắc các phân công hiện tại vẫn hiển thị chính xác tên công ty sau khi công ty đó bị chuyển sang ẩn.</t>
        </is>
      </c>
      <c r="G20" s="23" t="inlineStr">
        <is>
          <t>Người dùng đã đăng nhập với quyền Staff.
Học viên "Trần Thị B" đã được phân công tại công ty "ABC Technology".</t>
        </is>
      </c>
      <c r="H20" s="23" t="inlineStr">
        <is>
          <t>CompanyToHide="ABC Technology"</t>
        </is>
      </c>
      <c r="I20" s="23" t="inlineStr">
        <is>
          <t>1. Vào trang Quản lý Công ty, chuyển trạng thái của "ABC Technology" sang "Ẩn" (Hidden) và lưu lại.
2. Đi tới trang danh sách học viên của nhóm thực tập.
3. Quan sát bản ghi phân công của học viên "Trần Thị B".</t>
        </is>
      </c>
      <c r="J20" s="23" t="inlineStr">
        <is>
          <t>Phân công của học viên "Trần Thị B" vẫn được hiển thị là "ABC Technology" một cách bình thường trên giao diện.
Không có thông báo lỗi hay tự động xóa phân công.</t>
        </is>
      </c>
      <c r="K20" s="23" t="inlineStr"/>
      <c r="L20" s="24" t="inlineStr">
        <is>
          <t>Not Run</t>
        </is>
      </c>
      <c r="M20" s="25" t="inlineStr">
        <is>
          <t>High</t>
        </is>
      </c>
      <c r="N20" s="23" t="inlineStr">
        <is>
          <t>Liên quan đến Rule 6.6</t>
        </is>
      </c>
    </row>
    <row r="21" ht="180" customHeight="1">
      <c r="A21" s="26" t="inlineStr">
        <is>
          <t>TC-M05-020</t>
        </is>
      </c>
      <c r="B21" s="26" t="inlineStr">
        <is>
          <t>Module 5 – Internship Management</t>
        </is>
      </c>
      <c r="C21" s="27" t="inlineStr">
        <is>
          <t>M05-F07</t>
        </is>
      </c>
      <c r="D21" s="28" t="inlineStr">
        <is>
          <t>Feedback Recording by Team</t>
        </is>
      </c>
      <c r="E21" s="28" t="inlineStr">
        <is>
          <t>Ghi nhận nhận xét thực tập thành công cho một học viên với team Training</t>
        </is>
      </c>
      <c r="F21" s="28" t="inlineStr">
        <is>
          <t>Kiểm tra chức năng ghi nhận nhận xét thực tập cho học viên thuộc đội ngũ Training.</t>
        </is>
      </c>
      <c r="G21" s="28" t="inlineStr">
        <is>
          <t>Người dùng đã đăng nhập với quyền Staff.
Đang ở giao diện danh sách học viên nhóm thực tập.
Học viên "Nguyễn Văn A" đã được phân công thực tập.</t>
        </is>
      </c>
      <c r="H21" s="28" t="inlineStr">
        <is>
          <t>StudentName="Nguyễn Văn A"; FeedbackTeam="Training"; FeedbackDate="2026-08-15"; FeedbackNotes="Tiến bộ tốt, chủ động trong công việc."</t>
        </is>
      </c>
      <c r="I21" s="28" t="inlineStr">
        <is>
          <t>1. Tìm học viên "Nguyễn Văn A" trong danh sách.
2. Nhấp vào nút "Thêm nhận xét" (Add Feedback) của học viên này.
3. Chọn Team nhận xét là "Training".
4. Nhập Ngày nhận xét là "2026-08-15".
5. Nhập Nội dung nhận xét là "Tiến bộ tốt, chủ động trong công việc.".
6. Nhấn nút "Lưu nhận xét".</t>
        </is>
      </c>
      <c r="J21" s="28" t="inlineStr">
        <is>
          <t>Nhận xét được lưu thành công.
Thông tin nhận xét mới xuất hiện dưới tên học viên với đúng Team "Training", ngày và nội dung nhận xét tương ứng.</t>
        </is>
      </c>
      <c r="K21" s="28" t="inlineStr"/>
      <c r="L21" s="24" t="inlineStr">
        <is>
          <t>Not Run</t>
        </is>
      </c>
      <c r="M21" s="25" t="inlineStr">
        <is>
          <t>High</t>
        </is>
      </c>
      <c r="N21" s="28" t="inlineStr">
        <is>
          <t>Liên quan đến M05-F07, Rule 6.7</t>
        </is>
      </c>
    </row>
    <row r="22" ht="180" customHeight="1">
      <c r="A22" s="21" t="inlineStr">
        <is>
          <t>TC-M05-021</t>
        </is>
      </c>
      <c r="B22" s="21" t="inlineStr">
        <is>
          <t>Module 5 – Internship Management</t>
        </is>
      </c>
      <c r="C22" s="22" t="inlineStr">
        <is>
          <t>M05-F07</t>
        </is>
      </c>
      <c r="D22" s="23" t="inlineStr">
        <is>
          <t>Feedback Recording by Team</t>
        </is>
      </c>
      <c r="E22" s="23" t="inlineStr">
        <is>
          <t>Ghi nhận nhận xét thực tập thành công cho một học viên với team ERO</t>
        </is>
      </c>
      <c r="F22" s="23" t="inlineStr">
        <is>
          <t>Kiểm tra chức năng ghi nhận nhận xét thực tập cho học viên thuộc đội ngũ ERO.</t>
        </is>
      </c>
      <c r="G22" s="23" t="inlineStr">
        <is>
          <t>Người dùng đã đăng nhập với quyền Staff.
Đang ở giao diện danh sách học viên nhóm thực tập.
Học viên "Nguyễn Văn A" đã được phân công thực tập.</t>
        </is>
      </c>
      <c r="H22" s="23" t="inlineStr">
        <is>
          <t>StudentName="Nguyễn Văn A"; FeedbackTeam="ERO"; FeedbackDate="2026-08-15"; FeedbackNotes="Kỹ năng kỹ thuật tốt, thái độ chuyên nghiệp."</t>
        </is>
      </c>
      <c r="I22" s="23" t="inlineStr">
        <is>
          <t>1. Tìm học viên "Nguyễn Văn A" trong danh sách.
2. Nhấp vào nút "Thêm nhận xét" (Add Feedback) của học viên này.
3. Chọn Team nhận xét là "ERO".
4. Nhập Ngày nhận xét là "2026-08-15".
5. Nhập Nội dung nhận xét là "Kỹ năng kỹ thuật tốt, thái độ chuyên nghiệp.".
6. Nhấn nút "Lưu nhận xét".</t>
        </is>
      </c>
      <c r="J22" s="23" t="inlineStr">
        <is>
          <t>Nhận xét được lưu thành công.
Thông tin nhận xét mới xuất hiện dưới tên học viên với đúng Team "ERO", ngày và nội dung nhận xét tương ứng.</t>
        </is>
      </c>
      <c r="K22" s="23" t="inlineStr"/>
      <c r="L22" s="24" t="inlineStr">
        <is>
          <t>Not Run</t>
        </is>
      </c>
      <c r="M22" s="25" t="inlineStr">
        <is>
          <t>High</t>
        </is>
      </c>
      <c r="N22" s="23" t="inlineStr">
        <is>
          <t>Liên quan đến M05-F07, Rule 6.7</t>
        </is>
      </c>
    </row>
    <row r="23" ht="180" customHeight="1">
      <c r="A23" s="26" t="inlineStr">
        <is>
          <t>TC-M05-022</t>
        </is>
      </c>
      <c r="B23" s="26" t="inlineStr">
        <is>
          <t>Module 5 – Internship Management</t>
        </is>
      </c>
      <c r="C23" s="27" t="inlineStr">
        <is>
          <t>M05-F07</t>
        </is>
      </c>
      <c r="D23" s="28" t="inlineStr">
        <is>
          <t>Feedback Recording by Team</t>
        </is>
      </c>
      <c r="E23" s="28" t="inlineStr">
        <is>
          <t>Ghi nhận nhận xét thực tập thành công cho một học viên với team Educators</t>
        </is>
      </c>
      <c r="F23" s="28" t="inlineStr">
        <is>
          <t>Kiểm tra chức năng ghi nhận nhận xét thực tập cho học viên thuộc đội ngũ Educators.</t>
        </is>
      </c>
      <c r="G23" s="28" t="inlineStr">
        <is>
          <t>Người dùng đã đăng nhập với quyền Staff.
Đang ở giao diện danh sách học viên nhóm thực tập.
Học viên "Nguyễn Văn A" đã được phân công thực tập.</t>
        </is>
      </c>
      <c r="H23" s="28" t="inlineStr">
        <is>
          <t>StudentName="Nguyễn Văn A"; FeedbackTeam="Educators"; FeedbackDate="2026-08-15"; FeedbackNotes="Năng nổ đóng góp ý kiến xây dựng nhóm."</t>
        </is>
      </c>
      <c r="I23" s="28" t="inlineStr">
        <is>
          <t>1. Tìm học viên "Nguyễn Văn A" trong danh sách.
2. Nhấp vào nút "Thêm nhận xét" (Add Feedback) của học viên này.
3. Chọn Team nhận xét là "Educators".
4. Nhập Ngày nhận xét là "2026-08-15".
5. Nhập Nội dung nhận xét là "Năng nổ đóng góp ý kiến xây dựng nhóm.".
6. Nhấn nút "Lưu nhận xét".</t>
        </is>
      </c>
      <c r="J23" s="28" t="inlineStr">
        <is>
          <t>Nhận xét được lưu thành công.
Thông tin nhận xét mới xuất hiện dưới tên học viên với đúng Team "Educators", ngày và nội dung nhận xét tương ứng.</t>
        </is>
      </c>
      <c r="K23" s="28" t="inlineStr"/>
      <c r="L23" s="24" t="inlineStr">
        <is>
          <t>Not Run</t>
        </is>
      </c>
      <c r="M23" s="25" t="inlineStr">
        <is>
          <t>High</t>
        </is>
      </c>
      <c r="N23" s="28" t="inlineStr">
        <is>
          <t>Liên quan đến M05-F07, Rule 6.7</t>
        </is>
      </c>
    </row>
    <row r="24" ht="105" customHeight="1">
      <c r="A24" s="21" t="inlineStr">
        <is>
          <t>TC-M05-023</t>
        </is>
      </c>
      <c r="B24" s="21" t="inlineStr">
        <is>
          <t>Module 5 – Internship Management</t>
        </is>
      </c>
      <c r="C24" s="22" t="inlineStr">
        <is>
          <t>M05-F07</t>
        </is>
      </c>
      <c r="D24" s="23" t="inlineStr">
        <is>
          <t>Feedback Recording by Team</t>
        </is>
      </c>
      <c r="E24" s="23" t="inlineStr">
        <is>
          <t>Bỏ qua các dòng nhận xét trống không lưu vào hệ thống</t>
        </is>
      </c>
      <c r="F24" s="23" t="inlineStr">
        <is>
          <t>Kiểm tra hệ thống bỏ qua và không lưu các dòng nhận xét không chứa nội dung (trống).</t>
        </is>
      </c>
      <c r="G24" s="23" t="inlineStr">
        <is>
          <t>Người dùng đã đăng nhập với quyền Staff.
Đang ở giao diện Thêm nhận xét cho học viên.</t>
        </is>
      </c>
      <c r="H24" s="23" t="inlineStr">
        <is>
          <t>FeedbackTeam="ERO"; FeedbackDate="2026-08-15"; FeedbackNotes=""</t>
        </is>
      </c>
      <c r="I24" s="23" t="inlineStr">
        <is>
          <t>1. Mở giao diện nhập nhận xét của học viên.
2. Chọn Team là "ERO" và chọn ngày nhận xét.
3. Bỏ trống trường Nội dung nhận xét (Notes).
4. Nhấn nút "Lưu".</t>
        </is>
      </c>
      <c r="J24" s="23" t="inlineStr">
        <is>
          <t>Hệ thống bỏ qua dòng nhận xét này, không tạo bản ghi mới trong cơ sở dữ liệu (Google Sheets).
Không hiển thị thông báo lỗi nhưng cũng không hiển thị bản ghi nhận xét trống này trên UI.</t>
        </is>
      </c>
      <c r="K24" s="23" t="inlineStr"/>
      <c r="L24" s="24" t="inlineStr">
        <is>
          <t>Not Run</t>
        </is>
      </c>
      <c r="M24" s="29" t="inlineStr">
        <is>
          <t>Medium</t>
        </is>
      </c>
      <c r="N24" s="23" t="inlineStr">
        <is>
          <t>Liên quan đến Rule 6.8, Error Handling (Mục 8)</t>
        </is>
      </c>
    </row>
    <row r="25" ht="165" customHeight="1">
      <c r="A25" s="26" t="inlineStr">
        <is>
          <t>TC-M05-024</t>
        </is>
      </c>
      <c r="B25" s="26" t="inlineStr">
        <is>
          <t>Module 5 – Internship Management</t>
        </is>
      </c>
      <c r="C25" s="27" t="inlineStr">
        <is>
          <t>M05-F08</t>
        </is>
      </c>
      <c r="D25" s="28" t="inlineStr">
        <is>
          <t>Same for All Feedback</t>
        </is>
      </c>
      <c r="E25" s="28" t="inlineStr">
        <is>
          <t>Ghi nhận nhận xét giống nhau cho nhiều học viên cùng lúc (Same for All)</t>
        </is>
      </c>
      <c r="F25" s="28" t="inlineStr">
        <is>
          <t>Kiểm tra tính năng ghi nhận nhận xét hàng loạt và áp dụng nội dung giống nhau cho các học viên được chọn.</t>
        </is>
      </c>
      <c r="G25" s="28" t="inlineStr">
        <is>
          <t>Người dùng đã đăng nhập với quyền Staff.
Đang ở giao diện danh sách học viên của nhóm thực tập.
Có ít nhất 2 học viên được chọn (ví dụ: Nguyễn Văn A, Trần Thị B).</t>
        </is>
      </c>
      <c r="H25" s="28" t="inlineStr">
        <is>
          <t>SelectedStudents="Nguyễn Văn A", "Trần Thị B"; FeedbackTeam="Educators"; FeedbackDate="2026-08-15"; FeedbackNotes="Kỹ năng giao tiếp xuất sắc."</t>
        </is>
      </c>
      <c r="I25" s="28" t="inlineStr">
        <is>
          <t>1. Tích chọn checkbox của học viên "Nguyễn Văn A" và "Trần Thị B".
2. Nhấn nút "Nhận xét hàng loạt" (Batch Feedback / Same for All).
3. Chọn Team là "Educators", chọn Ngày nhận xét là "2026-08-15", nhập Nội dung nhận xét chung là "Kỹ năng giao tiếp xuất sắc.".
4. Nhấn nút "Áp dụng và Lưu".</t>
        </is>
      </c>
      <c r="J25" s="28" t="inlineStr">
        <is>
          <t>Hệ thống lưu thành công nhận xét cho cả hai học viên.
Cả học viên "Nguyễn Văn A" và "Trần Thị B" đều hiển thị bản ghi nhận xét của Educators với cùng nội dung "Kỹ năng giao tiếp xuất sắc." vào ngày 2026-08-15.</t>
        </is>
      </c>
      <c r="K25" s="28" t="inlineStr"/>
      <c r="L25" s="24" t="inlineStr">
        <is>
          <t>Not Run</t>
        </is>
      </c>
      <c r="M25" s="25" t="inlineStr">
        <is>
          <t>High</t>
        </is>
      </c>
      <c r="N25" s="28" t="inlineStr">
        <is>
          <t>Liên quan đến M05-F08, Rule 6.9</t>
        </is>
      </c>
    </row>
    <row r="26" ht="150" customHeight="1">
      <c r="A26" s="21" t="inlineStr">
        <is>
          <t>TC-M05-025</t>
        </is>
      </c>
      <c r="B26" s="21" t="inlineStr">
        <is>
          <t>Module 5 – Internship Management</t>
        </is>
      </c>
      <c r="C26" s="22" t="inlineStr">
        <is>
          <t>M05-F09</t>
        </is>
      </c>
      <c r="D26" s="23" t="inlineStr">
        <is>
          <t>Feedback Editing</t>
        </is>
      </c>
      <c r="E26" s="23" t="inlineStr">
        <is>
          <t>Chỉnh sửa nhận xét thực tập đã lưu (thay đổi nội dung nhận xét)</t>
        </is>
      </c>
      <c r="F26" s="23" t="inlineStr">
        <is>
          <t>Kiểm tra chức năng chỉnh sửa và lưu đè nội dung nhận xét đã tồn tại.</t>
        </is>
      </c>
      <c r="G26" s="23" t="inlineStr">
        <is>
          <t>Người dùng đã đăng nhập với quyền Staff.
Học viên "Nguyễn Văn A" đã có nhận xét: Team = "Training", nội dung = "Tiến bộ tốt", ngày = "2026-08-15".</t>
        </is>
      </c>
      <c r="H26" s="23" t="inlineStr">
        <is>
          <t>StudentName="Nguyễn Văn A"; NewFeedbackNotes="Tiến bộ vượt bậc và làm việc nhóm tốt."</t>
        </is>
      </c>
      <c r="I26" s="23" t="inlineStr">
        <is>
          <t>1. Tìm học viên "Nguyễn Văn A" và mở danh sách nhận xét của học viên.
2. Chọn nhận xét có nội dung "Tiến bộ tốt" và nhấn nút "Chỉnh sửa" (Edit).
3. Cập nhật nội dung nhận xét thành "Tiến bộ vượt bậc và làm việc nhóm tốt.".
4. Nhấn nút "Lưu".</t>
        </is>
      </c>
      <c r="J26" s="23" t="inlineStr">
        <is>
          <t>Nhận xét được cập nhật thành công.
Nội dung mới ghi đè lên nội dung cũ và hiển thị chính xác trên UI: "Tiến bộ vượt bậc và làm việc nhóm tốt.".</t>
        </is>
      </c>
      <c r="K26" s="23" t="inlineStr"/>
      <c r="L26" s="24" t="inlineStr">
        <is>
          <t>Not Run</t>
        </is>
      </c>
      <c r="M26" s="25" t="inlineStr">
        <is>
          <t>High</t>
        </is>
      </c>
      <c r="N26" s="23" t="inlineStr">
        <is>
          <t>Liên quan đến M05-F09, Rule 6.10</t>
        </is>
      </c>
    </row>
    <row r="27" ht="165" customHeight="1">
      <c r="A27" s="26" t="inlineStr">
        <is>
          <t>TC-M05-026</t>
        </is>
      </c>
      <c r="B27" s="26" t="inlineStr">
        <is>
          <t>Module 5 – Internship Management</t>
        </is>
      </c>
      <c r="C27" s="27" t="inlineStr">
        <is>
          <t>M05-F09</t>
        </is>
      </c>
      <c r="D27" s="28" t="inlineStr">
        <is>
          <t>Feedback Editing</t>
        </is>
      </c>
      <c r="E27" s="28" t="inlineStr">
        <is>
          <t>Chỉnh sửa nhận xét thực tập đã lưu (thay đổi team nhận xét và ngày nhận xét)</t>
        </is>
      </c>
      <c r="F27" s="28" t="inlineStr">
        <is>
          <t>Kiểm tra chức năng chỉnh sửa và lưu đè thông tin team và ngày nhận xét đã tồn tại.</t>
        </is>
      </c>
      <c r="G27" s="28" t="inlineStr">
        <is>
          <t>Người dùng đã đăng nhập với quyền Staff.
Học viên "Nguyễn Văn A" đã có nhận xét: Team = "Training", nội dung = "Tiến bộ tốt", ngày = "2026-08-15".</t>
        </is>
      </c>
      <c r="H27" s="28" t="inlineStr">
        <is>
          <t>StudentName="Nguyễn Văn A"; NewFeedbackTeam="ERO"; NewFeedbackDate="2026-08-20"</t>
        </is>
      </c>
      <c r="I27" s="28" t="inlineStr">
        <is>
          <t>1. Tìm học viên "Nguyễn Văn A" và mở danh sách nhận xét của học viên.
2. Chọn nhận xét có nội dung "Tiến bộ tốt" và nhấn nút "Chỉnh sửa" (Edit).
3. Thay đổi Team nhận xét thành "ERO".
4. Thay đổi Ngày nhận xét thành "2026-08-20".
5. Nhấn nút "Lưu".</t>
        </is>
      </c>
      <c r="J27" s="28" t="inlineStr">
        <is>
          <t>Nhận xét được cập nhật thành công.
Dữ liệu nhận xét được thay đổi với Team mới là "ERO" và ngày mới là "2026-08-20" trên giao diện.</t>
        </is>
      </c>
      <c r="K27" s="28" t="inlineStr"/>
      <c r="L27" s="24" t="inlineStr">
        <is>
          <t>Not Run</t>
        </is>
      </c>
      <c r="M27" s="25" t="inlineStr">
        <is>
          <t>High</t>
        </is>
      </c>
      <c r="N27" s="28" t="inlineStr">
        <is>
          <t>Liên quan đến M05-F09, Rule 6.10</t>
        </is>
      </c>
    </row>
    <row r="28" ht="180" customHeight="1">
      <c r="A28" s="21" t="inlineStr">
        <is>
          <t>TC-M05-027</t>
        </is>
      </c>
      <c r="B28" s="21" t="inlineStr">
        <is>
          <t>Module 5 – Internship Management</t>
        </is>
      </c>
      <c r="C28" s="22" t="inlineStr">
        <is>
          <t>M05-F10</t>
        </is>
      </c>
      <c r="D28" s="23" t="inlineStr">
        <is>
          <t>Group List Display</t>
        </is>
      </c>
      <c r="E28" s="23" t="inlineStr">
        <is>
          <t>Mở rộng/thu gọn danh sách học viên và hiển thị nhãn cảnh báo trong danh sách nhóm thực tập</t>
        </is>
      </c>
      <c r="F28" s="23" t="inlineStr">
        <is>
          <t>Kiểm tra chức năng mở rộng/thu gọn (expand/collapse) của từng nhóm thực tập, điều hướng và hiển thị chính xác nhãn cảnh báo (Warning Badge).</t>
        </is>
      </c>
      <c r="G28" s="23" t="inlineStr">
        <is>
          <t>Người dùng đã đăng nhập với quyền Staff.
Đang ở màn hình danh sách nhóm thực tập.
Có nhóm thực tập "Nhóm Thực tập 2026" chứa 2 học viên chưa gán công ty.</t>
        </is>
      </c>
      <c r="H28" s="23" t="inlineStr">
        <is>
          <t>GroupName="Nhóm Thực tập 2026"</t>
        </is>
      </c>
      <c r="I28" s="23" t="inlineStr">
        <is>
          <t>1. Quan sát dòng hiển thị của nhóm thực tập "Nhóm Thực tập 2026".
2. Kiểm tra xem có hiển thị nhãn cảnh báo học viên chưa gán hay không (ví dụ: "2 học viên chưa phân công" hoặc "2 Unassigned").
3. Nhấp vào nút/biểu tượng mũi tên mở rộng (Expand) của nhóm thực tập này.
4. Nhấp lại vào nút/biểu tượng thu gọn (Collapse) của nhóm thực tập.</t>
        </is>
      </c>
      <c r="J28" s="23" t="inlineStr">
        <is>
          <t>Nhãn cảnh báo hiển thị chính xác số lượng học viên chưa gán (ví dụ: "⚠ 2 Unassigned" hoặc tương tự).
Khi nhấn Mở rộng, danh sách học viên chi tiết của nhóm hiển thị ngay bên dưới.
Khi nhấn Thu gọn, danh sách chi tiết được ẩn đi.</t>
        </is>
      </c>
      <c r="K28" s="23" t="inlineStr"/>
      <c r="L28" s="24" t="inlineStr">
        <is>
          <t>Not Run</t>
        </is>
      </c>
      <c r="M28" s="29" t="inlineStr">
        <is>
          <t>Medium</t>
        </is>
      </c>
      <c r="N28" s="23" t="inlineStr">
        <is>
          <t>Liên quan đến M05-F10, Rule 6.11</t>
        </is>
      </c>
    </row>
  </sheetData>
  <autoFilter ref="A1:N28"/>
  <dataValidations count="2">
    <dataValidation sqref="L2:L128" showDropDown="0" showInputMessage="0" showErrorMessage="0" allowBlank="1" errorTitle="Invalid Status" error="Please select a valid state: Passed, Failed, or Not Run" type="list">
      <formula1>"Passed,Failed,Not Run"</formula1>
    </dataValidation>
    <dataValidation sqref="M2:M128"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3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90" customHeight="1">
      <c r="A2" s="21" t="inlineStr">
        <is>
          <t>TC-M06-001</t>
        </is>
      </c>
      <c r="B2" s="21" t="inlineStr">
        <is>
          <t>Module 06 – Bi-Weekly Internship Reports</t>
        </is>
      </c>
      <c r="C2" s="22" t="inlineStr">
        <is>
          <t>M06-F01</t>
        </is>
      </c>
      <c r="D2" s="23" t="inlineStr">
        <is>
          <t>Report Creation</t>
        </is>
      </c>
      <c r="E2" s="23" t="inlineStr">
        <is>
          <t>Tạo báo cáo mới bởi học viên thuộc nhóm thực tập đang hoạt động</t>
        </is>
      </c>
      <c r="F2" s="23" t="inlineStr">
        <is>
          <t>Kiểm tra chức năng hiển thị nút và mở giao diện tạo báo cáo mới cho học viên thuộc nhóm thực tập đang hoạt động (On-going).</t>
        </is>
      </c>
      <c r="G2" s="23" t="inlineStr">
        <is>
          <t>Người dùng đã đăng nhập với quyền Student.
Học viên thuộc nhóm thực tập có trạng thái "On-going".
Đang ở giao diện Student Portal.</t>
        </is>
      </c>
      <c r="H2" s="23" t="inlineStr">
        <is>
          <t>BatchName="PNV26A"; GroupStatus="On-going"</t>
        </is>
      </c>
      <c r="I2" s="23" t="inlineStr">
        <is>
          <t>1. Truy cập vào Student Portal.
2. Kiểm tra sự xuất hiện của nút "+ New Report".
3. Nhấp vào nút "+ New Report".</t>
        </is>
      </c>
      <c r="J2" s="23" t="inlineStr">
        <is>
          <t>Nút "+ New Report" hiển thị rõ ràng và có thể nhấp được.
Giao diện tạo báo cáo thực tập mới mở ra thành công.</t>
        </is>
      </c>
      <c r="K2" s="23" t="inlineStr"/>
      <c r="L2" s="24" t="inlineStr">
        <is>
          <t>Not Run</t>
        </is>
      </c>
      <c r="M2" s="25" t="inlineStr">
        <is>
          <t>High</t>
        </is>
      </c>
      <c r="N2" s="23" t="inlineStr">
        <is>
          <t>Liên quan đến M06-F01, Rule 6.1</t>
        </is>
      </c>
    </row>
    <row r="3" ht="90" customHeight="1">
      <c r="A3" s="26" t="inlineStr">
        <is>
          <t>TC-M06-002</t>
        </is>
      </c>
      <c r="B3" s="26" t="inlineStr">
        <is>
          <t>Module 06 – Bi-Weekly Internship Reports</t>
        </is>
      </c>
      <c r="C3" s="27" t="inlineStr">
        <is>
          <t>M06-F01</t>
        </is>
      </c>
      <c r="D3" s="28" t="inlineStr">
        <is>
          <t>Report Creation</t>
        </is>
      </c>
      <c r="E3" s="28" t="inlineStr">
        <is>
          <t>Ngăn chặn tạo báo cáo mới đối với học viên thuộc nhóm thực tập đã hoàn thành</t>
        </is>
      </c>
      <c r="F3" s="28" t="inlineStr">
        <is>
          <t>Kiểm tra hệ thống ẩn nút tạo báo cáo mới nếu học viên thuộc nhóm thực tập đã hoàn thành (Completed).</t>
        </is>
      </c>
      <c r="G3" s="28" t="inlineStr">
        <is>
          <t>Người dùng đã đăng nhập với quyền Student.
Học viên thuộc nhóm thực tập có trạng thái "Completed".
Đang ở giao diện Student Portal.</t>
        </is>
      </c>
      <c r="H3" s="28" t="inlineStr">
        <is>
          <t>BatchName="PNV26A"; GroupStatus="Completed"</t>
        </is>
      </c>
      <c r="I3" s="28" t="inlineStr">
        <is>
          <t>1. Truy cập vào Student Portal.
2. Quan sát sự xuất hiện của nút "+ New Report".</t>
        </is>
      </c>
      <c r="J3" s="28" t="inlineStr">
        <is>
          <t>Nút "+ New Report" không hiển thị trên giao diện.
Học viên không thể tạo báo cáo thực tập mới.</t>
        </is>
      </c>
      <c r="K3" s="28" t="inlineStr"/>
      <c r="L3" s="24" t="inlineStr">
        <is>
          <t>Not Run</t>
        </is>
      </c>
      <c r="M3" s="25" t="inlineStr">
        <is>
          <t>High</t>
        </is>
      </c>
      <c r="N3" s="28" t="inlineStr">
        <is>
          <t>Liên quan đến M06-F01, Rule 6.1</t>
        </is>
      </c>
    </row>
    <row r="4" ht="90" customHeight="1">
      <c r="A4" s="21" t="inlineStr">
        <is>
          <t>TC-M06-003</t>
        </is>
      </c>
      <c r="B4" s="21" t="inlineStr">
        <is>
          <t>Module 06 – Bi-Weekly Internship Reports</t>
        </is>
      </c>
      <c r="C4" s="22" t="inlineStr">
        <is>
          <t>M06-F01</t>
        </is>
      </c>
      <c r="D4" s="23" t="inlineStr">
        <is>
          <t>Report Creation</t>
        </is>
      </c>
      <c r="E4" s="23" t="inlineStr">
        <is>
          <t>Ngăn chặn tạo báo cáo mới đối với học viên thuộc nhóm thực tập đã lưu trữ</t>
        </is>
      </c>
      <c r="F4" s="23" t="inlineStr">
        <is>
          <t>Kiểm tra hệ thống ẩn nút tạo báo cáo mới nếu học viên thuộc nhóm thực tập đã lưu trữ (Archived).</t>
        </is>
      </c>
      <c r="G4" s="23" t="inlineStr">
        <is>
          <t>Người dùng đã đăng nhập với quyền Student.
Học viên thuộc nhóm thực tập có trạng thái "Archived".
Đang ở giao diện Student Portal.</t>
        </is>
      </c>
      <c r="H4" s="23" t="inlineStr">
        <is>
          <t>BatchName="PNV26A"; GroupStatus="Archived"</t>
        </is>
      </c>
      <c r="I4" s="23" t="inlineStr">
        <is>
          <t>1. Truy cập vào Student Portal.
2. Quan sát sự xuất hiện của nút "+ New Report".</t>
        </is>
      </c>
      <c r="J4" s="23" t="inlineStr">
        <is>
          <t>Nút "+ New Report" không hiển thị trên giao diện.
Học viên không thể tạo báo cáo thực tập mới.</t>
        </is>
      </c>
      <c r="K4" s="23" t="inlineStr"/>
      <c r="L4" s="24" t="inlineStr">
        <is>
          <t>Not Run</t>
        </is>
      </c>
      <c r="M4" s="25" t="inlineStr">
        <is>
          <t>High</t>
        </is>
      </c>
      <c r="N4" s="23" t="inlineStr">
        <is>
          <t>Liên quan đến M06-F01, Rule 6.1</t>
        </is>
      </c>
    </row>
    <row r="5" ht="60" customHeight="1">
      <c r="A5" s="26" t="inlineStr">
        <is>
          <t>TC-M06-004</t>
        </is>
      </c>
      <c r="B5" s="26" t="inlineStr">
        <is>
          <t>Module 06 – Bi-Weekly Internship Reports</t>
        </is>
      </c>
      <c r="C5" s="27" t="inlineStr">
        <is>
          <t>M06-F03</t>
        </is>
      </c>
      <c r="D5" s="28" t="inlineStr">
        <is>
          <t>Submission Validation</t>
        </is>
      </c>
      <c r="E5" s="28" t="inlineStr">
        <is>
          <t>Ngăn chặn tạo báo cáo mới từ tài khoản Staff</t>
        </is>
      </c>
      <c r="F5" s="28" t="inlineStr">
        <is>
          <t>Kiểm tra xem tài khoản Staff có bị giới hạn quyền không được tạo báo cáo thực tập mới hay không.</t>
        </is>
      </c>
      <c r="G5" s="28" t="inlineStr">
        <is>
          <t>Người dùng đã đăng nhập với quyền Staff.
Đang ở giao diện Quản lý Học viên hoặc Quản lý Thực tập.</t>
        </is>
      </c>
      <c r="H5" s="28" t="inlineStr">
        <is>
          <t>Role="Staff"</t>
        </is>
      </c>
      <c r="I5" s="28" t="inlineStr">
        <is>
          <t>1. Truy cập giao diện báo cáo của học viên bất kỳ hoặc kiểm tra các nút chức năng trên trang báo cáo.</t>
        </is>
      </c>
      <c r="J5" s="28" t="inlineStr">
        <is>
          <t>Không xuất hiện nút "+ New Report" hoặc bất kỳ tùy chọn nào cho phép Staff tạo báo cáo thực tập.</t>
        </is>
      </c>
      <c r="K5" s="28" t="inlineStr"/>
      <c r="L5" s="24" t="inlineStr">
        <is>
          <t>Not Run</t>
        </is>
      </c>
      <c r="M5" s="29" t="inlineStr">
        <is>
          <t>Medium</t>
        </is>
      </c>
      <c r="N5" s="28" t="inlineStr">
        <is>
          <t>Liên quan đến User Roles (Mục 4), Staff Access (Rule 6.12)</t>
        </is>
      </c>
    </row>
    <row r="6" ht="120" customHeight="1">
      <c r="A6" s="21" t="inlineStr">
        <is>
          <t>TC-M06-005</t>
        </is>
      </c>
      <c r="B6" s="21" t="inlineStr">
        <is>
          <t>Module 06 – Bi-Weekly Internship Reports</t>
        </is>
      </c>
      <c r="C6" s="22" t="inlineStr">
        <is>
          <t>M06-F02</t>
        </is>
      </c>
      <c r="D6" s="23" t="inlineStr">
        <is>
          <t>Draft Saving</t>
        </is>
      </c>
      <c r="E6" s="23" t="inlineStr">
        <is>
          <t>Lưu báo cáo tạm thời dưới dạng Nháp (Draft)</t>
        </is>
      </c>
      <c r="F6" s="23" t="inlineStr">
        <is>
          <t>Kiểm tra chức năng lưu nháp báo cáo với thông tin chưa đầy đủ để chỉnh sửa sau.</t>
        </is>
      </c>
      <c r="G6" s="23" t="inlineStr">
        <is>
          <t>Người dùng đã đăng nhập với quyền Student.
Đang ở giao diện tạo báo cáo thực tập mới.</t>
        </is>
      </c>
      <c r="H6" s="23" t="inlineStr">
        <is>
          <t>CompanySupervisorName="Nguyễn Văn B"; StartDate="2026-07-20"; Status="Draft"</t>
        </is>
      </c>
      <c r="I6" s="23" t="inlineStr">
        <is>
          <t>1. Nhập Tên giám sát của công ty là "Nguyễn Văn B".
2. Chọn Ngày bắt đầu là "2026-07-20" (Thứ Hai).
3. Để trống các trường bắt buộc khác.
4. Nhấp nút "Save as Draft" (Lưu nháp).</t>
        </is>
      </c>
      <c r="J6" s="23" t="inlineStr">
        <is>
          <t>Hệ thống hiển thị thông báo lưu nháp thành công.
Báo cáo được lưu vào danh sách với trạng thái "Draft".
Học viên có thể mở lại để tiếp tục chỉnh sửa.</t>
        </is>
      </c>
      <c r="K6" s="23" t="inlineStr"/>
      <c r="L6" s="24" t="inlineStr">
        <is>
          <t>Not Run</t>
        </is>
      </c>
      <c r="M6" s="25" t="inlineStr">
        <is>
          <t>High</t>
        </is>
      </c>
      <c r="N6" s="23" t="inlineStr">
        <is>
          <t>Liên quan đến M06-F02, Rule 6.2</t>
        </is>
      </c>
    </row>
    <row r="7" ht="165" customHeight="1">
      <c r="A7" s="26" t="inlineStr">
        <is>
          <t>TC-M06-006</t>
        </is>
      </c>
      <c r="B7" s="26" t="inlineStr">
        <is>
          <t>Module 06 – Bi-Weekly Internship Reports</t>
        </is>
      </c>
      <c r="C7" s="27" t="inlineStr">
        <is>
          <t>M06-F02</t>
        </is>
      </c>
      <c r="D7" s="28" t="inlineStr">
        <is>
          <t>Draft Saving</t>
        </is>
      </c>
      <c r="E7" s="28" t="inlineStr">
        <is>
          <t>Chỉnh sửa báo cáo nháp không giới hạn số lần</t>
        </is>
      </c>
      <c r="F7" s="28" t="inlineStr">
        <is>
          <t>Kiểm tra xem học viên có thể chỉnh sửa và lưu lại báo cáo nháp nhiều lần trước khi nộp chính thức.</t>
        </is>
      </c>
      <c r="G7" s="28" t="inlineStr">
        <is>
          <t>Người dùng đã đăng nhập với quyền Student.
Đã có sẵn một báo cáo ở trạng thái "Draft" trong danh sách.</t>
        </is>
      </c>
      <c r="H7" s="28" t="inlineStr">
        <is>
          <t>ReportId="REP001"; InitialStatus="Draft"; NewSupervisorName="Trần Thị C"; Tasks=[{"TaskName": "Design Database", "Description": "Create ERD", "Result": "Completed"}]</t>
        </is>
      </c>
      <c r="I7" s="28" t="inlineStr">
        <is>
          <t>1. Chọn báo cáo nháp "REP001" từ danh sách và nhấp "Edit" (Chỉnh sửa).
2. Thay đổi Tên giám sát thành "Trần Thị C".
3. Thêm một công việc vào bảng công việc.
4. Nhấp nút "Save as Draft".
5. Mở lại báo cáo đó lần nữa, sửa đổi thông tin và nhấp "Save as Draft" tiếp.</t>
        </is>
      </c>
      <c r="J7" s="28" t="inlineStr">
        <is>
          <t>Hệ thống cho phép chỉnh sửa và lưu thành công tất cả các thay đổi mà không giới hạn số lần.
Trạng thái báo cáo vẫn giữ nguyên là "Draft" sau mỗi lần lưu nháp.</t>
        </is>
      </c>
      <c r="K7" s="28" t="inlineStr"/>
      <c r="L7" s="24" t="inlineStr">
        <is>
          <t>Not Run</t>
        </is>
      </c>
      <c r="M7" s="25" t="inlineStr">
        <is>
          <t>High</t>
        </is>
      </c>
      <c r="N7" s="28" t="inlineStr">
        <is>
          <t>Liên quan đến M06-F02, Rule 6.2</t>
        </is>
      </c>
    </row>
    <row r="8" ht="120" customHeight="1">
      <c r="A8" s="21" t="inlineStr">
        <is>
          <t>TC-M06-007</t>
        </is>
      </c>
      <c r="B8" s="21" t="inlineStr">
        <is>
          <t>Module 06 – Bi-Weekly Internship Reports</t>
        </is>
      </c>
      <c r="C8" s="22" t="inlineStr">
        <is>
          <t>M06-F02</t>
        </is>
      </c>
      <c r="D8" s="23" t="inlineStr">
        <is>
          <t>Draft Saving</t>
        </is>
      </c>
      <c r="E8" s="23" t="inlineStr">
        <is>
          <t>Báo cáo nháp không gửi email và không hiển thị đối với Staff</t>
        </is>
      </c>
      <c r="F8" s="23" t="inlineStr">
        <is>
          <t>Đảm bảo báo cáo nháp không kích hoạt tính năng gửi email và không thể nhìn thấy bởi tài khoản Staff.</t>
        </is>
      </c>
      <c r="G8" s="23" t="inlineStr">
        <is>
          <t>Học viên vừa thực hiện lưu nháp một báo cáo mới.</t>
        </is>
      </c>
      <c r="H8" s="23" t="inlineStr">
        <is>
          <t>Status="Draft"; StudentEmail="student01@student.passerellesnumeriques.org"; PnvSupervisorEmail="pnv.sup@passerellesnumeriques.org"</t>
        </is>
      </c>
      <c r="I8" s="23" t="inlineStr">
        <is>
          <t>1. Kiểm tra hòm thư của PNV Supervisor và Company Supervisor xem có email thông báo nào được gửi đi không.
2. Đăng nhập hệ thống bằng tài khoản Staff, truy cập trang chi tiết học viên (Student Detail) của học viên này và kiểm tra danh sách báo cáo.</t>
        </is>
      </c>
      <c r="J8" s="23" t="inlineStr">
        <is>
          <t>1. Không có email nào được gửi từ hệ thống.
2. Tài khoản Staff không nhìn thấy báo cáo nháp này trong danh sách báo cáo của học viên.</t>
        </is>
      </c>
      <c r="K8" s="23" t="inlineStr"/>
      <c r="L8" s="24" t="inlineStr">
        <is>
          <t>Not Run</t>
        </is>
      </c>
      <c r="M8" s="25" t="inlineStr">
        <is>
          <t>High</t>
        </is>
      </c>
      <c r="N8" s="23" t="inlineStr">
        <is>
          <t>Liên quan đến M06-F02, Rule 6.2, Rule 6.12</t>
        </is>
      </c>
    </row>
    <row r="9" ht="105" customHeight="1">
      <c r="A9" s="26" t="inlineStr">
        <is>
          <t>TC-M06-008</t>
        </is>
      </c>
      <c r="B9" s="26" t="inlineStr">
        <is>
          <t>Module 06 – Bi-Weekly Internship Reports</t>
        </is>
      </c>
      <c r="C9" s="27" t="inlineStr">
        <is>
          <t>M06-F04</t>
        </is>
      </c>
      <c r="D9" s="28" t="inlineStr">
        <is>
          <t>Auto-calculated End Date</t>
        </is>
      </c>
      <c r="E9" s="28" t="inlineStr">
        <is>
          <t>Tự động tính toán Ngày kết thúc báo cáo khi nhập Ngày bắt đầu hợp lệ</t>
        </is>
      </c>
      <c r="F9" s="28" t="inlineStr">
        <is>
          <t>Kiểm tra chức năng tự động tính toán Ngày kết thúc (End Date) dựa trên công thức Ngày bắt đầu (Start Date) + 13 ngày.</t>
        </is>
      </c>
      <c r="G9" s="28" t="inlineStr">
        <is>
          <t>Người dùng đã đăng nhập với quyền Student.
Đang ở giao diện tạo báo cáo mới.</t>
        </is>
      </c>
      <c r="H9" s="28" t="inlineStr">
        <is>
          <t>StartDate="2026-07-20" (Thứ Hai)</t>
        </is>
      </c>
      <c r="I9" s="28" t="inlineStr">
        <is>
          <t>1. Nhấp chọn trường Ngày bắt đầu và nhập/chọn ngày "2026-07-20".
2. Kiểm tra giá trị hiển thị ở trường Ngày kết thúc.
3. Thử nhấp đúp hoặc gõ vào trường Ngày kết thúc để chỉnh sửa.</t>
        </is>
      </c>
      <c r="J9" s="28" t="inlineStr">
        <is>
          <t>Trường Ngày kết thúc tự động hiển thị ngày "2026-08-02".
Trường Ngày kết thúc bị vô hiệu hóa (disabled/read-only) và người dùng không thể chỉnh sửa thủ công.</t>
        </is>
      </c>
      <c r="K9" s="28" t="inlineStr"/>
      <c r="L9" s="24" t="inlineStr">
        <is>
          <t>Not Run</t>
        </is>
      </c>
      <c r="M9" s="25" t="inlineStr">
        <is>
          <t>High</t>
        </is>
      </c>
      <c r="N9" s="28" t="inlineStr">
        <is>
          <t>Liên quan đến M06-F04, Rule 6.5</t>
        </is>
      </c>
    </row>
    <row r="10" ht="120" customHeight="1">
      <c r="A10" s="21" t="inlineStr">
        <is>
          <t>TC-M06-009</t>
        </is>
      </c>
      <c r="B10" s="21" t="inlineStr">
        <is>
          <t>Module 06 – Bi-Weekly Internship Reports</t>
        </is>
      </c>
      <c r="C10" s="22" t="inlineStr">
        <is>
          <t>M06-F04</t>
        </is>
      </c>
      <c r="D10" s="23" t="inlineStr">
        <is>
          <t>Auto-calculated End Date</t>
        </is>
      </c>
      <c r="E10" s="23" t="inlineStr">
        <is>
          <t>Ngăn chặn nộp báo cáo nếu Ngày bắt đầu không phải là thứ Hai</t>
        </is>
      </c>
      <c r="F10" s="23" t="inlineStr">
        <is>
          <t>Kiểm tra hệ thống báo lỗi khi Ngày bắt đầu được chọn không rơi vào thứ Hai.</t>
        </is>
      </c>
      <c r="G10" s="23" t="inlineStr">
        <is>
          <t>Người dùng đã đăng nhập với quyền Student.
Đang ở giao diện tạo báo cáo mới.</t>
        </is>
      </c>
      <c r="H10" s="23" t="inlineStr">
        <is>
          <t>StartDate="2026-07-21" (Thứ Ba, không phải thứ Hai); Các trường bắt buộc khác hợp lệ</t>
        </is>
      </c>
      <c r="I10" s="23" t="inlineStr">
        <is>
          <t>1. Nhập đầy đủ thông tin hợp lệ vào các trường bắt buộc.
2. Thay đổi Ngày bắt đầu thành "2026-07-21" (Thứ Ba).
3. Nhấp nút "Submit" (Nộp báo cáo).
4. Xác nhận nộp trong hộp thoại xác nhận.</t>
        </is>
      </c>
      <c r="J10" s="23" t="inlineStr">
        <is>
          <t>Hệ thống hiển thị lỗi cảnh báo Ngày bắt đầu phải là thứ Hai (ví dụ: "Start Date must be a Monday").
Báo cáo không được nộp và trạng thái không đổi.</t>
        </is>
      </c>
      <c r="K10" s="23" t="inlineStr"/>
      <c r="L10" s="24" t="inlineStr">
        <is>
          <t>Not Run</t>
        </is>
      </c>
      <c r="M10" s="25" t="inlineStr">
        <is>
          <t>High</t>
        </is>
      </c>
      <c r="N10" s="23" t="inlineStr">
        <is>
          <t>Liên quan đến Validation Rules (Mục 7), Error Handling (Mục 8)</t>
        </is>
      </c>
    </row>
    <row r="11" ht="90" customHeight="1">
      <c r="A11" s="26" t="inlineStr">
        <is>
          <t>TC-M06-010</t>
        </is>
      </c>
      <c r="B11" s="26" t="inlineStr">
        <is>
          <t>Module 06 – Bi-Weekly Internship Reports</t>
        </is>
      </c>
      <c r="C11" s="27" t="inlineStr">
        <is>
          <t>M06-F04</t>
        </is>
      </c>
      <c r="D11" s="28" t="inlineStr">
        <is>
          <t>Auto-calculated End Date</t>
        </is>
      </c>
      <c r="E11" s="28" t="inlineStr">
        <is>
          <t>Ngăn chặn nộp báo cáo nếu Ngày bắt đầu nằm ngoài thời gian thực tập</t>
        </is>
      </c>
      <c r="F11" s="28" t="inlineStr">
        <is>
          <t>Kiểm tra hệ thống báo lỗi khi học viên chọn Ngày bắt đầu nằm ngoài phạm vi thời gian thực tập đã cấu hình.</t>
        </is>
      </c>
      <c r="G11" s="28" t="inlineStr">
        <is>
          <t>Người dùng đã đăng nhập với quyền Student.
Thời gian thực tập của học viên được cấu hình từ "2026-07-01" đến "2026-09-30".
Đang ở giao diện tạo báo cáo mới.</t>
        </is>
      </c>
      <c r="H11" s="28" t="inlineStr">
        <is>
          <t>StartDate="2026-06-22" (Thứ Hai, trước thời gian thực tập); Các trường bắt buộc khác hợp lệ</t>
        </is>
      </c>
      <c r="I11" s="28" t="inlineStr">
        <is>
          <t>1. Nhập đầy đủ thông tin hợp lệ vào các trường bắt buộc.
2. Chọn Ngày bắt đầu là "2026-06-22".
3. Nhấp nút "Submit" và xác nhận.</t>
        </is>
      </c>
      <c r="J11" s="28" t="inlineStr">
        <is>
          <t>Hệ thống hiển thị thông báo lỗi yêu cầu Ngày bắt đầu phải nằm trong thời gian thực tập (ví dụ: "Start Date must be within the internship period").
Báo cáo không được nộp.</t>
        </is>
      </c>
      <c r="K11" s="28" t="inlineStr"/>
      <c r="L11" s="24" t="inlineStr">
        <is>
          <t>Not Run</t>
        </is>
      </c>
      <c r="M11" s="25" t="inlineStr">
        <is>
          <t>High</t>
        </is>
      </c>
      <c r="N11" s="28" t="inlineStr">
        <is>
          <t>Liên quan đến Validation Rules (Mục 7), Error Handling (Mục 8)</t>
        </is>
      </c>
    </row>
    <row r="12" ht="150" customHeight="1">
      <c r="A12" s="21" t="inlineStr">
        <is>
          <t>TC-M06-011</t>
        </is>
      </c>
      <c r="B12" s="21" t="inlineStr">
        <is>
          <t>Module 06 – Bi-Weekly Internship Reports</t>
        </is>
      </c>
      <c r="C12" s="22" t="inlineStr">
        <is>
          <t>M06-F05</t>
        </is>
      </c>
      <c r="D12" s="23" t="inlineStr">
        <is>
          <t>Dynamic Task Table</t>
        </is>
      </c>
      <c r="E12" s="23" t="inlineStr">
        <is>
          <t>Thêm và xóa các dòng công việc trong bảng công việc động</t>
        </is>
      </c>
      <c r="F12" s="23" t="inlineStr">
        <is>
          <t>Kiểm tra chức năng thêm mới dòng công việc và xóa bớt dòng công việc hiện tại trong bảng công việc.</t>
        </is>
      </c>
      <c r="G12" s="23" t="inlineStr">
        <is>
          <t>Người dùng đã đăng nhập với quyền Student.
Đang ở giao diện tạo hoặc chỉnh sửa báo cáo.</t>
        </is>
      </c>
      <c r="H12" s="23" t="inlineStr">
        <is>
          <t>Không có dữ liệu đặc biệt</t>
        </is>
      </c>
      <c r="I12" s="23" t="inlineStr">
        <is>
          <t>1. Nhấp nút "Add Task" (Thêm công việc).
2. Nhập thông tin vào dòng công việc vừa tạo.
3. Nhấp nút "Add Task" một lần nữa để tạo dòng thứ 2.
4. Nhập thông tin cho dòng thứ 2.
5. Nhấp nút "Remove" (Xóa) tại dòng công việc thứ nhất.</t>
        </is>
      </c>
      <c r="J12" s="23" t="inlineStr">
        <is>
          <t>1. Một dòng mới xuất hiện với các ô nhập: Tên công việc, Mô tả, Kết quả.
2. Nhập liệu bình thường.
3. Dòng thứ 2 được tạo thêm.
4. Nhập liệu bình thường cho dòng thứ 2.
5. Dòng thứ nhất bị xóa khỏi bảng, chỉ còn lại dòng thứ 2.</t>
        </is>
      </c>
      <c r="K12" s="23" t="inlineStr"/>
      <c r="L12" s="24" t="inlineStr">
        <is>
          <t>Not Run</t>
        </is>
      </c>
      <c r="M12" s="25" t="inlineStr">
        <is>
          <t>High</t>
        </is>
      </c>
      <c r="N12" s="23" t="inlineStr">
        <is>
          <t>Liên quan đến M06-F05, Rule 6.6</t>
        </is>
      </c>
    </row>
    <row r="13" ht="75" customHeight="1">
      <c r="A13" s="26" t="inlineStr">
        <is>
          <t>TC-M06-012</t>
        </is>
      </c>
      <c r="B13" s="26" t="inlineStr">
        <is>
          <t>Module 06 – Bi-Weekly Internship Reports</t>
        </is>
      </c>
      <c r="C13" s="27" t="inlineStr">
        <is>
          <t>M06-F05</t>
        </is>
      </c>
      <c r="D13" s="28" t="inlineStr">
        <is>
          <t>Dynamic Task Table</t>
        </is>
      </c>
      <c r="E13" s="28" t="inlineStr">
        <is>
          <t>Ngăn chặn nộp báo cáo khi danh sách công việc trống</t>
        </is>
      </c>
      <c r="F13" s="28" t="inlineStr">
        <is>
          <t>Đảm bảo hệ thống bắt buộc báo cáo phải có ít nhất một công việc mới cho phép nộp.</t>
        </is>
      </c>
      <c r="G13" s="28" t="inlineStr">
        <is>
          <t>Người dùng đã đăng nhập với quyền Student.
Đang ở giao diện tạo báo cáo mới, các trường thông tin chung đã điền đầy đủ.</t>
        </is>
      </c>
      <c r="H13" s="28" t="inlineStr">
        <is>
          <t>TaskList=Empty; Các trường bắt buộc khác hợp lệ</t>
        </is>
      </c>
      <c r="I13" s="28" t="inlineStr">
        <is>
          <t>1. Xóa tất cả các dòng công việc trong bảng công việc (hoặc không thêm dòng nào).
2. Nhấp nút "Submit" và xác nhận.</t>
        </is>
      </c>
      <c r="J13" s="28" t="inlineStr">
        <is>
          <t>Hệ thống hiển thị thông báo lỗi yêu cầu phải nhập ít nhất một công việc (ví dụ: "At least one task is required").
Báo cáo không được nộp.</t>
        </is>
      </c>
      <c r="K13" s="28" t="inlineStr"/>
      <c r="L13" s="24" t="inlineStr">
        <is>
          <t>Not Run</t>
        </is>
      </c>
      <c r="M13" s="25" t="inlineStr">
        <is>
          <t>High</t>
        </is>
      </c>
      <c r="N13" s="28" t="inlineStr">
        <is>
          <t>Liên quan đến Validation Rules (Mục 7), Error Handling (Mục 8)</t>
        </is>
      </c>
    </row>
    <row r="14" ht="105" customHeight="1">
      <c r="A14" s="21" t="inlineStr">
        <is>
          <t>TC-M06-013</t>
        </is>
      </c>
      <c r="B14" s="21" t="inlineStr">
        <is>
          <t>Module 06 – Bi-Weekly Internship Reports</t>
        </is>
      </c>
      <c r="C14" s="22" t="inlineStr">
        <is>
          <t>M06-F05</t>
        </is>
      </c>
      <c r="D14" s="23" t="inlineStr">
        <is>
          <t>Dynamic Task Table</t>
        </is>
      </c>
      <c r="E14" s="23" t="inlineStr">
        <is>
          <t>Ngăn chặn nộp báo cáo khi có dòng công việc chưa hoàn thành thông tin</t>
        </is>
      </c>
      <c r="F14" s="23" t="inlineStr">
        <is>
          <t>Kiểm tra hệ thống báo lỗi nếu tồn tại bất kỳ dòng công việc nào bị bỏ trống Tên, Mô tả hoặc Kết quả khi nộp.</t>
        </is>
      </c>
      <c r="G14" s="23" t="inlineStr">
        <is>
          <t>Người dùng đã đăng nhập với quyền Student.
Đang ở giao diện tạo báo cáo mới.</t>
        </is>
      </c>
      <c r="H14" s="23" t="inlineStr">
        <is>
          <t>TaskName="Code FE"; Description=""; Result="Done" (Để trống phần Mô tả)</t>
        </is>
      </c>
      <c r="I14" s="23" t="inlineStr">
        <is>
          <t>1. Nhập đầy đủ thông tin chung hợp lệ.
2. Thêm một dòng công việc, nhập Tên công việc là "Code FE", Kết quả là "Done", bỏ trống Mô tả.
3. Nhấp nút "Submit" và xác nhận.</t>
        </is>
      </c>
      <c r="J14" s="23" t="inlineStr">
        <is>
          <t>Hệ thống báo lỗi dòng công việc không hợp lệ (ví dụ: "Task fields cannot be left blank").
Báo cáo không được nộp.</t>
        </is>
      </c>
      <c r="K14" s="23" t="inlineStr"/>
      <c r="L14" s="24" t="inlineStr">
        <is>
          <t>Not Run</t>
        </is>
      </c>
      <c r="M14" s="25" t="inlineStr">
        <is>
          <t>High</t>
        </is>
      </c>
      <c r="N14" s="23" t="inlineStr">
        <is>
          <t>Liên quan đến Rule 6.6, Validation Rules (Mục 7), Error Handling (Mục 8)</t>
        </is>
      </c>
    </row>
    <row r="15" ht="165" customHeight="1">
      <c r="A15" s="26" t="inlineStr">
        <is>
          <t>TC-M06-014</t>
        </is>
      </c>
      <c r="B15" s="26" t="inlineStr">
        <is>
          <t>Module 06 – Bi-Weekly Internship Reports</t>
        </is>
      </c>
      <c r="C15" s="27" t="inlineStr">
        <is>
          <t>M06-F06</t>
        </is>
      </c>
      <c r="D15" s="28" t="inlineStr">
        <is>
          <t>Auto-calculated Total Hours</t>
        </is>
      </c>
      <c r="E15" s="28" t="inlineStr">
        <is>
          <t>Tự động tính toán số giờ làm việc hàng ngày và tổng số giờ làm việc</t>
        </is>
      </c>
      <c r="F15" s="28" t="inlineStr">
        <is>
          <t>Kiểm tra chức năng tự động tính tổng số giờ làm việc theo tuần và tổng cả kỳ báo cáo khi người dùng nhập số giờ làm việc hàng ngày.</t>
        </is>
      </c>
      <c r="G15" s="28" t="inlineStr">
        <is>
          <t>Người dùng đã đăng nhập với quyền Student.
Đang ở giao diện tạo hoặc chỉnh sửa báo cáo.</t>
        </is>
      </c>
      <c r="H15" s="28" t="inlineStr">
        <is>
          <t>Week1Hours=[8, 8, 8, 8, 8, 0, 0]; Week2Hours=[8, 8, 8, 8, 8, 4, 0]</t>
        </is>
      </c>
      <c r="I15" s="28" t="inlineStr">
        <is>
          <t>1. Nhập số giờ làm việc cho Tuần 1 từ thứ Hai đến chủ nhật lần lượt là: 8, 8, 8, 8, 8, 0, 0.
2. Nhập số giờ làm việc cho Tuần 2 lần lượt là: 8, 8, 8, 8, 8, 4, 0.
3. Quan sát tổng số giờ của Tuần 1, Tuần 2 và Tổng số giờ làm việc hiển thị trên giao diện.
4. Thay đổi số giờ ngày thứ Bảy Tuần 2 từ 4 thành 8.</t>
        </is>
      </c>
      <c r="J15" s="28" t="inlineStr">
        <is>
          <t>Tổng số giờ Tuần 1 tự động hiển thị 40.
Tổng số giờ Tuần 2 tự động hiển thị 44.
Tổng số giờ làm việc cả kỳ báo cáo tự động hiển thị 84.
Khi thay đổi ngày thứ Bảy Tuần 2 thành 8, tổng Tuần 2 lập tức cập nhật thành 48 và Tổng số giờ làm việc cập nhật thành 88.</t>
        </is>
      </c>
      <c r="K15" s="28" t="inlineStr"/>
      <c r="L15" s="24" t="inlineStr">
        <is>
          <t>Not Run</t>
        </is>
      </c>
      <c r="M15" s="25" t="inlineStr">
        <is>
          <t>High</t>
        </is>
      </c>
      <c r="N15" s="28" t="inlineStr">
        <is>
          <t>Liên quan đến M06-F06, Rule 6.7</t>
        </is>
      </c>
    </row>
    <row r="16" ht="75" customHeight="1">
      <c r="A16" s="21" t="inlineStr">
        <is>
          <t>TC-M06-015</t>
        </is>
      </c>
      <c r="B16" s="21" t="inlineStr">
        <is>
          <t>Module 06 – Bi-Weekly Internship Reports</t>
        </is>
      </c>
      <c r="C16" s="22" t="inlineStr">
        <is>
          <t>M06-F06</t>
        </is>
      </c>
      <c r="D16" s="23" t="inlineStr">
        <is>
          <t>Auto-calculated Total Hours</t>
        </is>
      </c>
      <c r="E16" s="23" t="inlineStr">
        <is>
          <t>Ngăn chặn nhập số giờ làm việc là số âm</t>
        </is>
      </c>
      <c r="F16" s="23" t="inlineStr">
        <is>
          <t>Đảm bảo hệ thống không chấp nhận giá trị số giờ làm việc nhỏ hơn 0.</t>
        </is>
      </c>
      <c r="G16" s="23" t="inlineStr">
        <is>
          <t>Người dùng đã đăng nhập với quyền Student.
Đang ở giao diện tạo hoặc chỉnh sửa báo cáo.</t>
        </is>
      </c>
      <c r="H16" s="23" t="inlineStr">
        <is>
          <t>HourInput=-2</t>
        </is>
      </c>
      <c r="I16" s="23" t="inlineStr">
        <is>
          <t>1. Nhập giá trị -2 vào ô nhập giờ làm việc của ngày bất kỳ.
2. Nhấn nút "Save as Draft" hoặc "Submit".</t>
        </is>
      </c>
      <c r="J16" s="23" t="inlineStr">
        <is>
          <t>Hệ thống báo lỗi số giờ không hợp lệ hoặc tự động khôi phục về 0/ngăn không cho nhập số âm.
Báo cáo không được lưu/nộp với giá trị âm.</t>
        </is>
      </c>
      <c r="K16" s="23" t="inlineStr"/>
      <c r="L16" s="24" t="inlineStr">
        <is>
          <t>Not Run</t>
        </is>
      </c>
      <c r="M16" s="25" t="inlineStr">
        <is>
          <t>High</t>
        </is>
      </c>
      <c r="N16" s="23" t="inlineStr">
        <is>
          <t>Liên quan đến Boundary Value Testing (Mục 6.7)</t>
        </is>
      </c>
    </row>
    <row r="17" ht="60" customHeight="1">
      <c r="A17" s="26" t="inlineStr">
        <is>
          <t>TC-M06-016</t>
        </is>
      </c>
      <c r="B17" s="26" t="inlineStr">
        <is>
          <t>Module 06 – Bi-Weekly Internship Reports</t>
        </is>
      </c>
      <c r="C17" s="27" t="inlineStr">
        <is>
          <t>M06-F06</t>
        </is>
      </c>
      <c r="D17" s="28" t="inlineStr">
        <is>
          <t>Auto-calculated Total Hours</t>
        </is>
      </c>
      <c r="E17" s="28" t="inlineStr">
        <is>
          <t>Ngăn chặn nhập số giờ làm việc vượt quá 24 giờ một ngày</t>
        </is>
      </c>
      <c r="F17" s="28" t="inlineStr">
        <is>
          <t>Đảm bảo hệ thống không chấp nhận giá trị số giờ làm việc lớn hơn 24 giờ cho một ngày.</t>
        </is>
      </c>
      <c r="G17" s="28" t="inlineStr">
        <is>
          <t>Người dùng đã đăng nhập với quyền Student.
Đang ở giao diện tạo hoặc chỉnh sửa báo cáo.</t>
        </is>
      </c>
      <c r="H17" s="28" t="inlineStr">
        <is>
          <t>HourInput=25</t>
        </is>
      </c>
      <c r="I17" s="28" t="inlineStr">
        <is>
          <t>1. Nhập giá trị 25 vào ô nhập giờ làm việc của ngày bất kỳ.
2. Nhấn nút "Save as Draft" hoặc "Submit".</t>
        </is>
      </c>
      <c r="J17" s="28" t="inlineStr">
        <is>
          <t>Hệ thống báo lỗi số giờ không thể vượt quá 24 giờ một ngày.
Giá trị không được chấp nhận và báo cáo không được lưu/nộp.</t>
        </is>
      </c>
      <c r="K17" s="28" t="inlineStr"/>
      <c r="L17" s="24" t="inlineStr">
        <is>
          <t>Not Run</t>
        </is>
      </c>
      <c r="M17" s="25" t="inlineStr">
        <is>
          <t>High</t>
        </is>
      </c>
      <c r="N17" s="28" t="inlineStr">
        <is>
          <t>Liên quan đến Boundary Value Testing (Mục 6.7)</t>
        </is>
      </c>
    </row>
    <row r="18" ht="60" customHeight="1">
      <c r="A18" s="21" t="inlineStr">
        <is>
          <t>TC-M06-017</t>
        </is>
      </c>
      <c r="B18" s="21" t="inlineStr">
        <is>
          <t>Module 06 – Bi-Weekly Internship Reports</t>
        </is>
      </c>
      <c r="C18" s="22" t="inlineStr">
        <is>
          <t>M06-F06</t>
        </is>
      </c>
      <c r="D18" s="23" t="inlineStr">
        <is>
          <t>Auto-calculated Total Hours</t>
        </is>
      </c>
      <c r="E18" s="23" t="inlineStr">
        <is>
          <t>Ngăn chặn nhập ký tự không phải số vào ô số giờ làm việc</t>
        </is>
      </c>
      <c r="F18" s="23" t="inlineStr">
        <is>
          <t>Đảm bảo hệ thống chỉ chấp nhận dữ liệu số trong ô nhập số giờ làm việc.</t>
        </is>
      </c>
      <c r="G18" s="23" t="inlineStr">
        <is>
          <t>Người dùng đã đăng nhập với quyền Student.
Đang ở giao diện tạo hoặc chỉnh sửa báo cáo.</t>
        </is>
      </c>
      <c r="H18" s="23" t="inlineStr">
        <is>
          <t>HourInput="abc"</t>
        </is>
      </c>
      <c r="I18" s="23" t="inlineStr">
        <is>
          <t>1. Nhập ký tự "abc" vào ô nhập giờ làm việc của ngày bất kỳ.
2. Kiểm tra giá trị trong ô nhập.</t>
        </is>
      </c>
      <c r="J18" s="23" t="inlineStr">
        <is>
          <t>Hệ thống tự động loại bỏ ký tự chữ hoặc hiển thị lỗi và không cho phép nhập ký tự phi số.</t>
        </is>
      </c>
      <c r="K18" s="23" t="inlineStr"/>
      <c r="L18" s="24" t="inlineStr">
        <is>
          <t>Not Run</t>
        </is>
      </c>
      <c r="M18" s="25" t="inlineStr">
        <is>
          <t>High</t>
        </is>
      </c>
      <c r="N18" s="23" t="inlineStr">
        <is>
          <t>Liên quan đến Boundary Value Testing (Mục 6.7)</t>
        </is>
      </c>
    </row>
    <row r="19" ht="165" customHeight="1">
      <c r="A19" s="26" t="inlineStr">
        <is>
          <t>TC-M06-018</t>
        </is>
      </c>
      <c r="B19" s="26" t="inlineStr">
        <is>
          <t>Module 06 – Bi-Weekly Internship Reports</t>
        </is>
      </c>
      <c r="C19" s="27" t="inlineStr">
        <is>
          <t>M06-F07</t>
        </is>
      </c>
      <c r="D19" s="28" t="inlineStr">
        <is>
          <t>Report Submission</t>
        </is>
      </c>
      <c r="E19" s="28" t="inlineStr">
        <is>
          <t>Nộp báo cáo thành công với đầy đủ thông tin hợp lệ</t>
        </is>
      </c>
      <c r="F19" s="28" t="inlineStr">
        <is>
          <t>Kiểm tra luồng nộp báo cáo thành công khi điền đầy đủ và đúng định dạng tất cả các thông tin bắt buộc.</t>
        </is>
      </c>
      <c r="G19" s="28" t="inlineStr">
        <is>
          <t>Người dùng đã đăng nhập với quyền Student.
Đang ở giao diện tạo báo cáo thực tập.</t>
        </is>
      </c>
      <c r="H19" s="28" t="inlineStr">
        <is>
          <t>CompanySupervisorName="Nguyễn Văn B"; StartDate="2026-07-20"; PnvSupervisorEmail="pnv.sup@passerellesnumeriques.org"; CompanySupervisorEmail="company.sup@example.com"; TaskName="Implement Login API"; TaskDesc="Develop authentication feature"; TaskResult="Completed successfully"; Week1Hours=[8,8,8,8,8,0,0]; Week2Hours=[8,8,8,8,8,0,0]; Challenges="Gặp khó khăn khi tích hợp OAuth"; SupportNeeded="Cần mentor hỗ trợ review code"</t>
        </is>
      </c>
      <c r="I19" s="28" t="inlineStr">
        <is>
          <t>1. Điền đầy đủ thông tin như trong Test Data.
2. Nhấn nút "Submit" (Nộp báo cáo).
3. Tại hộp thoại xác nhận "Submit Report", nhấp nút "Confirm" (Xác nhận).</t>
        </is>
      </c>
      <c r="J19" s="28" t="inlineStr">
        <is>
          <t>Hệ thống hiển thị thông báo nộp báo cáo thành công.
Trạng thái của báo cáo chuyển sang "Submitted".
Báo cáo chuyển sang chế độ chỉ đọc.</t>
        </is>
      </c>
      <c r="K19" s="28" t="inlineStr"/>
      <c r="L19" s="24" t="inlineStr">
        <is>
          <t>Not Run</t>
        </is>
      </c>
      <c r="M19" s="25" t="inlineStr">
        <is>
          <t>High</t>
        </is>
      </c>
      <c r="N19" s="28" t="inlineStr">
        <is>
          <t>Liên quan đến M06-F07, Rule 6.3</t>
        </is>
      </c>
    </row>
    <row r="20" ht="75" customHeight="1">
      <c r="A20" s="21" t="inlineStr">
        <is>
          <t>TC-M06-019</t>
        </is>
      </c>
      <c r="B20" s="21" t="inlineStr">
        <is>
          <t>Module 06 – Bi-Weekly Internship Reports</t>
        </is>
      </c>
      <c r="C20" s="22" t="inlineStr">
        <is>
          <t>M06-F03</t>
        </is>
      </c>
      <c r="D20" s="23" t="inlineStr">
        <is>
          <t>Submission Validation</t>
        </is>
      </c>
      <c r="E20" s="23" t="inlineStr">
        <is>
          <t>Nộp báo cáo thất bại do để trống tên người giám sát công ty</t>
        </is>
      </c>
      <c r="F20" s="23" t="inlineStr">
        <is>
          <t>Kiểm tra hệ thống báo lỗi khi để trống trường Tên giám sát của công ty.</t>
        </is>
      </c>
      <c r="G20" s="23" t="inlineStr">
        <is>
          <t>Người dùng đã đăng nhập với quyền Student.
Đang ở giao diện tạo báo cáo mới.</t>
        </is>
      </c>
      <c r="H20" s="23" t="inlineStr">
        <is>
          <t>CompanySupervisorName=""; Các trường khác đều hợp lệ</t>
        </is>
      </c>
      <c r="I20" s="23" t="inlineStr">
        <is>
          <t>1. Điền đầy đủ thông tin hợp lệ trừ trường Tên giám sát công ty để trống.
2. Nhấp nút "Submit" và xác nhận.</t>
        </is>
      </c>
      <c r="J20" s="23" t="inlineStr">
        <is>
          <t>Hệ thống báo lỗi yêu cầu nhập Tên giám sát công ty (ví dụ: "Company Supervisor Name is required").
Báo cáo không được nộp.</t>
        </is>
      </c>
      <c r="K20" s="23" t="inlineStr"/>
      <c r="L20" s="24" t="inlineStr">
        <is>
          <t>Not Run</t>
        </is>
      </c>
      <c r="M20" s="25" t="inlineStr">
        <is>
          <t>High</t>
        </is>
      </c>
      <c r="N20" s="23" t="inlineStr">
        <is>
          <t>Liên quan đến Validation Rules (Mục 7), Error Handling (Mục 8)</t>
        </is>
      </c>
    </row>
    <row r="21" ht="60" customHeight="1">
      <c r="A21" s="26" t="inlineStr">
        <is>
          <t>TC-M06-020</t>
        </is>
      </c>
      <c r="B21" s="26" t="inlineStr">
        <is>
          <t>Module 06 – Bi-Weekly Internship Reports</t>
        </is>
      </c>
      <c r="C21" s="27" t="inlineStr">
        <is>
          <t>M06-F03</t>
        </is>
      </c>
      <c r="D21" s="28" t="inlineStr">
        <is>
          <t>Submission Validation</t>
        </is>
      </c>
      <c r="E21" s="28" t="inlineStr">
        <is>
          <t>Nộp báo cáo thất bại do để trống email người giám sát PNV</t>
        </is>
      </c>
      <c r="F21" s="28" t="inlineStr">
        <is>
          <t>Kiểm tra hệ thống báo lỗi khi để trống trường Email giám sát PNV.</t>
        </is>
      </c>
      <c r="G21" s="28" t="inlineStr">
        <is>
          <t>Người dùng đã đăng nhập với quyền Student.
Đang ở giao diện tạo báo cáo mới.</t>
        </is>
      </c>
      <c r="H21" s="28" t="inlineStr">
        <is>
          <t>PnvSupervisorEmail=""; Các trường khác đều hợp lệ</t>
        </is>
      </c>
      <c r="I21" s="28" t="inlineStr">
        <is>
          <t>1. Điền đầy đủ thông tin hợp lệ trừ trường Email giám sát PNV để trống.
2. Nhấp nút "Submit" và xác nhận.</t>
        </is>
      </c>
      <c r="J21" s="28" t="inlineStr">
        <is>
          <t>Hệ thống báo lỗi yêu cầu nhập Email giám sát PNV (ví dụ: "PNV Supervisor Email is required").
Báo cáo không được nộp.</t>
        </is>
      </c>
      <c r="K21" s="28" t="inlineStr"/>
      <c r="L21" s="24" t="inlineStr">
        <is>
          <t>Not Run</t>
        </is>
      </c>
      <c r="M21" s="25" t="inlineStr">
        <is>
          <t>High</t>
        </is>
      </c>
      <c r="N21" s="28" t="inlineStr">
        <is>
          <t>Liên quan đến Validation Rules (Mục 7), Error Handling (Mục 8)</t>
        </is>
      </c>
    </row>
    <row r="22" ht="75" customHeight="1">
      <c r="A22" s="21" t="inlineStr">
        <is>
          <t>TC-M06-021</t>
        </is>
      </c>
      <c r="B22" s="21" t="inlineStr">
        <is>
          <t>Module 06 – Bi-Weekly Internship Reports</t>
        </is>
      </c>
      <c r="C22" s="22" t="inlineStr">
        <is>
          <t>M06-F03</t>
        </is>
      </c>
      <c r="D22" s="23" t="inlineStr">
        <is>
          <t>Submission Validation</t>
        </is>
      </c>
      <c r="E22" s="23" t="inlineStr">
        <is>
          <t>Nộp báo cáo thất bại do email người giám sát PNV sai định dạng</t>
        </is>
      </c>
      <c r="F22" s="23" t="inlineStr">
        <is>
          <t>Kiểm tra hệ thống báo lỗi khi nhập email giám sát PNV không đúng định dạng.</t>
        </is>
      </c>
      <c r="G22" s="23" t="inlineStr">
        <is>
          <t>Người dùng đã đăng nhập với quyền Student.
Đang ở giao diện tạo báo cáo mới.</t>
        </is>
      </c>
      <c r="H22" s="23" t="inlineStr">
        <is>
          <t>PnvSupervisorEmail="pnv.sup"; Các trường khác đều hợp lệ</t>
        </is>
      </c>
      <c r="I22" s="23" t="inlineStr">
        <is>
          <t>1. Điền đầy đủ thông tin hợp lệ trừ trường Email giám sát PNV nhập là "pnv.sup".
2. Nhấp nút "Submit" và xác nhận.</t>
        </is>
      </c>
      <c r="J22" s="23" t="inlineStr">
        <is>
          <t>Hệ thống báo lỗi định dạng Email giám sát PNV không hợp lệ (ví dụ: "Invalid PNV Supervisor Email format").
Báo cáo không được nộp.</t>
        </is>
      </c>
      <c r="K22" s="23" t="inlineStr"/>
      <c r="L22" s="24" t="inlineStr">
        <is>
          <t>Not Run</t>
        </is>
      </c>
      <c r="M22" s="25" t="inlineStr">
        <is>
          <t>High</t>
        </is>
      </c>
      <c r="N22" s="23" t="inlineStr">
        <is>
          <t>Liên quan đến Validation Rules (Mục 7), Error Handling (Mục 8)</t>
        </is>
      </c>
    </row>
    <row r="23" ht="75" customHeight="1">
      <c r="A23" s="26" t="inlineStr">
        <is>
          <t>TC-M06-022</t>
        </is>
      </c>
      <c r="B23" s="26" t="inlineStr">
        <is>
          <t>Module 06 – Bi-Weekly Internship Reports</t>
        </is>
      </c>
      <c r="C23" s="27" t="inlineStr">
        <is>
          <t>M06-F03</t>
        </is>
      </c>
      <c r="D23" s="28" t="inlineStr">
        <is>
          <t>Submission Validation</t>
        </is>
      </c>
      <c r="E23" s="28" t="inlineStr">
        <is>
          <t>Nộp báo cáo thất bại do để trống email người giám sát công ty</t>
        </is>
      </c>
      <c r="F23" s="28" t="inlineStr">
        <is>
          <t>Kiểm tra hệ thống báo lỗi khi để trống trường Email giám sát công ty.</t>
        </is>
      </c>
      <c r="G23" s="28" t="inlineStr">
        <is>
          <t>Người dùng đã đăng nhập với quyền Student.
Đang ở giao diện tạo báo cáo mới.</t>
        </is>
      </c>
      <c r="H23" s="28" t="inlineStr">
        <is>
          <t>CompanySupervisorEmail=""; Các trường khác đều hợp lệ</t>
        </is>
      </c>
      <c r="I23" s="28" t="inlineStr">
        <is>
          <t>1. Điền đầy đủ thông tin hợp lệ trừ trường Email giám sát công ty để trống.
2. Nhấp nút "Submit" và xác nhận.</t>
        </is>
      </c>
      <c r="J23" s="28" t="inlineStr">
        <is>
          <t>Hệ thống báo lỗi yêu cầu có ít nhất một email giám sát công ty (ví dụ: "Company Supervisor Email is required").
Báo cáo không được nộp.</t>
        </is>
      </c>
      <c r="K23" s="28" t="inlineStr"/>
      <c r="L23" s="24" t="inlineStr">
        <is>
          <t>Not Run</t>
        </is>
      </c>
      <c r="M23" s="25" t="inlineStr">
        <is>
          <t>High</t>
        </is>
      </c>
      <c r="N23" s="28" t="inlineStr">
        <is>
          <t>TRÙNG LẶP. Test case này trùng lặp với yêu cầu "At least one valid email address" đã được kiểm tra. Nên được loại bỏ.</t>
        </is>
      </c>
    </row>
    <row r="24" ht="75" customHeight="1">
      <c r="A24" s="21" t="inlineStr">
        <is>
          <t>TC-M06-023</t>
        </is>
      </c>
      <c r="B24" s="21" t="inlineStr">
        <is>
          <t>Module 06 – Bi-Weekly Internship Reports</t>
        </is>
      </c>
      <c r="C24" s="22" t="inlineStr">
        <is>
          <t>M06-F03</t>
        </is>
      </c>
      <c r="D24" s="23" t="inlineStr">
        <is>
          <t>Submission Validation</t>
        </is>
      </c>
      <c r="E24" s="23" t="inlineStr">
        <is>
          <t>Nộp báo cáo thất bại do email người giám sát công ty sai định dạng</t>
        </is>
      </c>
      <c r="F24" s="23" t="inlineStr">
        <is>
          <t>Kiểm tra hệ thống báo lỗi khi nhập email giám sát công ty không đúng định dạng email.</t>
        </is>
      </c>
      <c r="G24" s="23" t="inlineStr">
        <is>
          <t>Người dùng đã đăng nhập với quyền Student.
Đang ở giao diện tạo báo cáo mới.</t>
        </is>
      </c>
      <c r="H24" s="23" t="inlineStr">
        <is>
          <t>CompanySupervisorEmail="company.sup@"; Các trường khác đều hợp lệ</t>
        </is>
      </c>
      <c r="I24" s="23" t="inlineStr">
        <is>
          <t>1. Điền đầy đủ thông tin hợp lệ trừ trường Email giám sát công ty nhập là "company.sup@".
2. Nhấp nút "Submit" và xác nhận.</t>
        </is>
      </c>
      <c r="J24" s="23" t="inlineStr">
        <is>
          <t>Hệ thống báo lỗi định dạng Email giám sát công ty không hợp lệ (ví dụ: "Invalid Company Supervisor Email format").
Báo cáo không được nộp.</t>
        </is>
      </c>
      <c r="K24" s="23" t="inlineStr"/>
      <c r="L24" s="24" t="inlineStr">
        <is>
          <t>Not Run</t>
        </is>
      </c>
      <c r="M24" s="25" t="inlineStr">
        <is>
          <t>High</t>
        </is>
      </c>
      <c r="N24" s="23" t="inlineStr">
        <is>
          <t>Liên quan đến Validation Rules (Mục 7), Error Handling (Mục 8)</t>
        </is>
      </c>
    </row>
    <row r="25" ht="60" customHeight="1">
      <c r="A25" s="26" t="inlineStr">
        <is>
          <t>TC-M06-024</t>
        </is>
      </c>
      <c r="B25" s="26" t="inlineStr">
        <is>
          <t>Module 06 – Bi-Weekly Internship Reports</t>
        </is>
      </c>
      <c r="C25" s="27" t="inlineStr">
        <is>
          <t>M06-F03</t>
        </is>
      </c>
      <c r="D25" s="28" t="inlineStr">
        <is>
          <t>Submission Validation</t>
        </is>
      </c>
      <c r="E25" s="28" t="inlineStr">
        <is>
          <t>Nộp báo cáo thất bại do để trống phần mô tả khó khăn (Challenges)</t>
        </is>
      </c>
      <c r="F25" s="28" t="inlineStr">
        <is>
          <t>Kiểm tra hệ thống báo lỗi khi trường Khó khăn gặp phải (Challenges) bị bỏ trống khi nộp.</t>
        </is>
      </c>
      <c r="G25" s="28" t="inlineStr">
        <is>
          <t>Người dùng đã đăng nhập với quyền Student.
Đang ở giao diện tạo báo cáo mới.</t>
        </is>
      </c>
      <c r="H25" s="28" t="inlineStr">
        <is>
          <t>Challenges=""; Các trường khác đều hợp lệ</t>
        </is>
      </c>
      <c r="I25" s="28" t="inlineStr">
        <is>
          <t>1. Điền đầy đủ thông tin hợp lệ trừ trường Khó khăn để trống.
2. Nhấp nút "Submit" và xác nhận.</t>
        </is>
      </c>
      <c r="J25" s="28" t="inlineStr">
        <is>
          <t>Hệ thống báo lỗi yêu cầu nhập Khó khăn gặp phải (ví dụ: "Challenges field is required").
Báo cáo không được nộp.</t>
        </is>
      </c>
      <c r="K25" s="28" t="inlineStr"/>
      <c r="L25" s="24" t="inlineStr">
        <is>
          <t>Not Run</t>
        </is>
      </c>
      <c r="M25" s="25" t="inlineStr">
        <is>
          <t>High</t>
        </is>
      </c>
      <c r="N25" s="28" t="inlineStr">
        <is>
          <t>Liên quan đến Validation Rules (Mục 7), Error Handling (Mục 8)</t>
        </is>
      </c>
    </row>
    <row r="26" ht="60" customHeight="1">
      <c r="A26" s="21" t="inlineStr">
        <is>
          <t>TC-M06-025</t>
        </is>
      </c>
      <c r="B26" s="21" t="inlineStr">
        <is>
          <t>Module 06 – Bi-Weekly Internship Reports</t>
        </is>
      </c>
      <c r="C26" s="22" t="inlineStr">
        <is>
          <t>M06-F03</t>
        </is>
      </c>
      <c r="D26" s="23" t="inlineStr">
        <is>
          <t>Submission Validation</t>
        </is>
      </c>
      <c r="E26" s="23" t="inlineStr">
        <is>
          <t>Nộp báo cáo thất bại do để trống phần hỗ trợ cần thiết (Support Needed)</t>
        </is>
      </c>
      <c r="F26" s="23" t="inlineStr">
        <is>
          <t>Kiểm tra hệ thống báo lỗi khi trường Hỗ trợ cần thiết (Support Needed) bị bỏ trống khi nộp.</t>
        </is>
      </c>
      <c r="G26" s="23" t="inlineStr">
        <is>
          <t>Người dùng đã đăng nhập với quyền Student.
Đang ở giao diện tạo báo cáo mới.</t>
        </is>
      </c>
      <c r="H26" s="23" t="inlineStr">
        <is>
          <t>SupportNeeded=""; Các trường khác đều hợp lệ</t>
        </is>
      </c>
      <c r="I26" s="23" t="inlineStr">
        <is>
          <t>1. Điền đầy đủ thông tin hợp lệ trừ trường Hỗ trợ cần thiết để trống.
2. Nhấp nút "Submit" và xác nhận.</t>
        </is>
      </c>
      <c r="J26" s="23" t="inlineStr">
        <is>
          <t>Hệ thống báo lỗi yêu cầu nhập Hỗ trợ cần thiết (ví dụ: "Support Needed field is required").
Báo cáo không được nộp.</t>
        </is>
      </c>
      <c r="K26" s="23" t="inlineStr"/>
      <c r="L26" s="24" t="inlineStr">
        <is>
          <t>Not Run</t>
        </is>
      </c>
      <c r="M26" s="25" t="inlineStr">
        <is>
          <t>High</t>
        </is>
      </c>
      <c r="N26" s="23" t="inlineStr">
        <is>
          <t>Liên quan đến Validation Rules (Mục 7), Error Handling (Mục 8)</t>
        </is>
      </c>
    </row>
    <row r="27" ht="90" customHeight="1">
      <c r="A27" s="26" t="inlineStr">
        <is>
          <t>TC-M06-026</t>
        </is>
      </c>
      <c r="B27" s="26" t="inlineStr">
        <is>
          <t>Module 06 – Bi-Weekly Internship Reports</t>
        </is>
      </c>
      <c r="C27" s="27" t="inlineStr">
        <is>
          <t>M06-F03</t>
        </is>
      </c>
      <c r="D27" s="28" t="inlineStr">
        <is>
          <t>Submission Validation</t>
        </is>
      </c>
      <c r="E27" s="28" t="inlineStr">
        <is>
          <t>Hủy xác nhận nộp báo cáo</t>
        </is>
      </c>
      <c r="F27" s="28" t="inlineStr">
        <is>
          <t>Đảm bảo hệ thống không nộp báo cáo nếu người dùng nhấp nút Hủy (Cancel) trên hộp thoại xác nhận nộp.</t>
        </is>
      </c>
      <c r="G27" s="28" t="inlineStr">
        <is>
          <t>Người dùng đã đăng nhập với quyền Student.
Đang ở giao diện tạo báo cáo và đã nhập đầy đủ thông tin hợp lệ.</t>
        </is>
      </c>
      <c r="H27" s="28" t="inlineStr">
        <is>
          <t>Các thông tin hợp lệ</t>
        </is>
      </c>
      <c r="I27" s="28" t="inlineStr">
        <is>
          <t>1. Nhấp nút "Submit".
2. Khi hộp thoại xác nhận "Submit Report" hiện lên, nhấp nút "Cancel" (Hủy) hoặc nút đóng hộp thoại.</t>
        </is>
      </c>
      <c r="J27" s="28" t="inlineStr">
        <is>
          <t>Hộp thoại đóng lại.
Báo cáo không được nộp và trạng thái vẫn là nháp hoặc chưa lưu.
Người dùng vẫn có thể tiếp tục chỉnh sửa báo cáo.</t>
        </is>
      </c>
      <c r="K27" s="28" t="inlineStr"/>
      <c r="L27" s="24" t="inlineStr">
        <is>
          <t>Not Run</t>
        </is>
      </c>
      <c r="M27" s="29" t="inlineStr">
        <is>
          <t>Medium</t>
        </is>
      </c>
      <c r="N27" s="28" t="inlineStr">
        <is>
          <t>Liên quan đến Rule 6.3, Workflow</t>
        </is>
      </c>
    </row>
    <row r="28" ht="105" customHeight="1">
      <c r="A28" s="21" t="inlineStr">
        <is>
          <t>TC-M06-027</t>
        </is>
      </c>
      <c r="B28" s="21" t="inlineStr">
        <is>
          <t>Module 06 – Bi-Weekly Internship Reports</t>
        </is>
      </c>
      <c r="C28" s="22" t="inlineStr">
        <is>
          <t>M06-F07</t>
        </is>
      </c>
      <c r="D28" s="23" t="inlineStr">
        <is>
          <t>Report Submission</t>
        </is>
      </c>
      <c r="E28" s="23" t="inlineStr">
        <is>
          <t>Báo cáo đã nộp chuyển sang trạng thái chỉ đọc mãi mãi</t>
        </is>
      </c>
      <c r="F28" s="23" t="inlineStr">
        <is>
          <t>Đảm bảo báo cáo sau khi nộp (Submitted) sẽ bị khóa, không thể chỉnh sửa hay xóa bởi học viên.</t>
        </is>
      </c>
      <c r="G28" s="23" t="inlineStr">
        <is>
          <t>Người dùng đã đăng nhập với quyền Student.
Có một báo cáo trong danh sách đã ở trạng thái "Submitted".</t>
        </is>
      </c>
      <c r="H28" s="23" t="inlineStr">
        <is>
          <t>ReportStatus="Submitted"</t>
        </is>
      </c>
      <c r="I28" s="23" t="inlineStr">
        <is>
          <t>1. Mở xem chi tiết báo cáo đã nộp.
2. Kiểm tra sự xuất hiện của nút "Edit" (Chỉnh sửa), "Save" (Lưu), hoặc "Delete" (Xóa).
3. Thử nhấp đúp hoặc thay đổi nội dung các trường thông tin.</t>
        </is>
      </c>
      <c r="J28" s="23" t="inlineStr">
        <is>
          <t>Nút "Edit" và "Save as Draft" không hiển thị.
Tất cả các trường thông tin đều ở trạng thái chỉ đọc (disabled/read-only).
Học viên không thể sửa đổi bất kỳ dữ liệu nào.</t>
        </is>
      </c>
      <c r="K28" s="23" t="inlineStr"/>
      <c r="L28" s="24" t="inlineStr">
        <is>
          <t>Not Run</t>
        </is>
      </c>
      <c r="M28" s="25" t="inlineStr">
        <is>
          <t>High</t>
        </is>
      </c>
      <c r="N28" s="23" t="inlineStr">
        <is>
          <t>Liên quan đến M06-F07, Rule 6.3, Rule 6.11</t>
        </is>
      </c>
    </row>
    <row r="29" ht="180" customHeight="1">
      <c r="A29" s="26" t="inlineStr">
        <is>
          <t>TC-M06-028</t>
        </is>
      </c>
      <c r="B29" s="26" t="inlineStr">
        <is>
          <t>Module 06 – Bi-Weekly Internship Reports</t>
        </is>
      </c>
      <c r="C29" s="27" t="inlineStr">
        <is>
          <t>M06-F08</t>
        </is>
      </c>
      <c r="D29" s="28" t="inlineStr">
        <is>
          <t>Automatic Email Notification</t>
        </is>
      </c>
      <c r="E29" s="28" t="inlineStr">
        <is>
          <t>Gửi email thông báo tự động khi nộp báo cáo thành công</t>
        </is>
      </c>
      <c r="F29" s="28" t="inlineStr">
        <is>
          <t>Kiểm tra xem hệ thống có tự động gửi email với đúng định dạng và đúng đối tượng sau khi nộp báo cáo hay không.</t>
        </is>
      </c>
      <c r="G29" s="28" t="inlineStr">
        <is>
          <t>Người dùng đã đăng nhập với quyền Student tên "Nguyễn Văn A", lớp "PNV26A", làm việc tại công ty "TechCorp".
Hệ thống kết nối email hoạt động bình thường.</t>
        </is>
      </c>
      <c r="H29" s="28" t="inlineStr">
        <is>
          <t>StudentName="Nguyễn Văn A"; BatchName="PNV26A"; Company="TechCorp"; PnvSupervisorEmail="pnv.sup@passerellesnumeriques.org"; CompanySupervisorEmail="company.sup@example.com"; StudentEmail="student01@student.passerellesnumeriques.org"; StartDate="2026-07-20"; EndDate="2026-08-02"</t>
        </is>
      </c>
      <c r="I29" s="28" t="inlineStr">
        <is>
          <t>1. Điền đầy đủ thông tin báo cáo của học viên "Nguyễn Văn A" làm việc tại "TechCorp" từ ngày "2026-07-20" đến "2026-08-02".
2. Nhấp nút "Submit" và xác nhận nộp báo cáo.
3. Kiểm tra email nhận được từ tài khoản PNV Supervisor, Company Supervisor và học viên.</t>
        </is>
      </c>
      <c r="J29" s="28" t="inlineStr">
        <is>
          <t>1. Báo cáo nộp thành công.
2. Email được tự động gửi đến địa chỉ "pnv.sup@passerellesnumeriques.org" và "company.sup@example.com".
3. Email được gửi CC cho "student01@student.passerellesnumeriques.org" và "ero.vietnam@passerellesnumeriques.org".
4. Tiêu đề email có định dạng chính xác: "[PNV26A] [Bi-Weekly Internship Report] Nguyễn Văn A - TechCorp (Period: 20/07 – 02/08)"</t>
        </is>
      </c>
      <c r="K29" s="28" t="inlineStr"/>
      <c r="L29" s="24" t="inlineStr">
        <is>
          <t>Not Run</t>
        </is>
      </c>
      <c r="M29" s="25" t="inlineStr">
        <is>
          <t>High</t>
        </is>
      </c>
      <c r="N29" s="28" t="inlineStr">
        <is>
          <t>Liên quan đến M06-F08, Rule 6.10</t>
        </is>
      </c>
    </row>
    <row r="30" ht="120" customHeight="1">
      <c r="A30" s="21" t="inlineStr">
        <is>
          <t>TC-M06-029</t>
        </is>
      </c>
      <c r="B30" s="21" t="inlineStr">
        <is>
          <t>Module 06 – Bi-Weekly Internship Reports</t>
        </is>
      </c>
      <c r="C30" s="22" t="inlineStr">
        <is>
          <t>M06-F08</t>
        </is>
      </c>
      <c r="D30" s="23" t="inlineStr">
        <is>
          <t>Automatic Email Notification</t>
        </is>
      </c>
      <c r="E30" s="23" t="inlineStr">
        <is>
          <t>Xử lý lỗi khi gửi email thông báo thất bại</t>
        </is>
      </c>
      <c r="F30" s="23" t="inlineStr">
        <is>
          <t>Đảm bảo hệ thống vẫn ghi nhận nộp báo cáo thành công và hiển thị cảnh báo nếu quá trình gửi email tự động bị lỗi.</t>
        </is>
      </c>
      <c r="G30" s="23" t="inlineStr">
        <is>
          <t>Người dùng đã đăng nhập với quyền Student.
Hệ thống email bị lỗi kết nối hoặc tài khoản gửi bị chặn.</t>
        </is>
      </c>
      <c r="H30" s="23" t="inlineStr">
        <is>
          <t>Các thông tin hợp lệ</t>
        </is>
      </c>
      <c r="I30" s="23" t="inlineStr">
        <is>
          <t>1. Điền đầy đủ thông tin báo cáo hợp lệ.
2. Nhấp nút "Submit" và xác nhận nộp báo cáo.</t>
        </is>
      </c>
      <c r="J30" s="23" t="inlineStr">
        <is>
          <t>Hệ thống hiển thị cảnh báo lỗi gửi email (ví dụ: "Email notification failed: [Reason]").
Báo cáo vẫn được nộp thành công và trạng thái chuyển sang "Submitted" bình thường.
Dữ liệu báo cáo bị khóa thành chỉ đọc.</t>
        </is>
      </c>
      <c r="K30" s="23" t="inlineStr"/>
      <c r="L30" s="24" t="inlineStr">
        <is>
          <t>Not Run</t>
        </is>
      </c>
      <c r="M30" s="25" t="inlineStr">
        <is>
          <t>High</t>
        </is>
      </c>
      <c r="N30" s="23" t="inlineStr">
        <is>
          <t>Liên quan đến Rule 6.11, Error Handling (Mục 8)</t>
        </is>
      </c>
    </row>
    <row r="31" ht="120" customHeight="1">
      <c r="A31" s="26" t="inlineStr">
        <is>
          <t>TC-M06-030</t>
        </is>
      </c>
      <c r="B31" s="26" t="inlineStr">
        <is>
          <t>Module 06 – Bi-Weekly Internship Reports</t>
        </is>
      </c>
      <c r="C31" s="27" t="inlineStr">
        <is>
          <t>M06-F09</t>
        </is>
      </c>
      <c r="D31" s="28" t="inlineStr">
        <is>
          <t>Staff View of Student Reports</t>
        </is>
      </c>
      <c r="E31" s="28" t="inlineStr">
        <is>
          <t>Staff xem báo cáo thực tập của học viên</t>
        </is>
      </c>
      <c r="F31" s="28" t="inlineStr">
        <is>
          <t>Kiểm tra xem tài khoản Staff có thể xem được nội dung chi tiết báo cáo đã nộp của học viên hay không.</t>
        </is>
      </c>
      <c r="G31" s="28" t="inlineStr">
        <is>
          <t>Người dùng đã đăng nhập với quyền Staff.
Học viên "Nguyễn Văn A" đã nộp báo cáo thực tập.</t>
        </is>
      </c>
      <c r="H31" s="28" t="inlineStr">
        <is>
          <t>StudentName="Nguyễn Văn A"; ReportStatus="Submitted"</t>
        </is>
      </c>
      <c r="I31" s="28" t="inlineStr">
        <is>
          <t>1. Đăng nhập với quyền Staff.
2. Truy cập vào trang chi tiết học viên "Nguyễn Văn A".
3. Tìm phần Báo cáo thực tập của học viên.
4. Nhấp vào xem chi tiết báo cáo đã nộp.</t>
        </is>
      </c>
      <c r="J31" s="28" t="inlineStr">
        <is>
          <t>Staff có thể xem đầy đủ nội dung chi tiết của báo cáo học viên đã nộp.
Báo cáo hiển thị chính xác các thông tin học viên đã điền.</t>
        </is>
      </c>
      <c r="K31" s="28" t="inlineStr"/>
      <c r="L31" s="24" t="inlineStr">
        <is>
          <t>Not Run</t>
        </is>
      </c>
      <c r="M31" s="25" t="inlineStr">
        <is>
          <t>High</t>
        </is>
      </c>
      <c r="N31" s="28" t="inlineStr">
        <is>
          <t>Liên quan đến M06-F09, Rule 6.12</t>
        </is>
      </c>
    </row>
    <row r="32" ht="90" customHeight="1">
      <c r="A32" s="21" t="inlineStr">
        <is>
          <t>TC-M06-031</t>
        </is>
      </c>
      <c r="B32" s="21" t="inlineStr">
        <is>
          <t>Module 06 – Bi-Weekly Internship Reports</t>
        </is>
      </c>
      <c r="C32" s="22" t="inlineStr">
        <is>
          <t>M06-F09</t>
        </is>
      </c>
      <c r="D32" s="23" t="inlineStr">
        <is>
          <t>Staff View of Student Reports</t>
        </is>
      </c>
      <c r="E32" s="23" t="inlineStr">
        <is>
          <t>Staff không thể sửa hoặc xóa báo cáo của học viên</t>
        </is>
      </c>
      <c r="F32" s="23" t="inlineStr">
        <is>
          <t>Đảm bảo Staff chỉ có quyền xem (Read-only) và không thể thay đổi thông tin hoặc xóa báo cáo của học viên.</t>
        </is>
      </c>
      <c r="G32" s="23" t="inlineStr">
        <is>
          <t>Người dùng đã đăng nhập với quyền Staff.
Đang ở màn hình xem chi tiết báo cáo của học viên "Nguyễn Văn A".</t>
        </is>
      </c>
      <c r="H32" s="23" t="inlineStr">
        <is>
          <t>StudentName="Nguyễn Văn A"</t>
        </is>
      </c>
      <c r="I32" s="23" t="inlineStr">
        <is>
          <t>1. Kiểm tra sự xuất hiện của các nút chỉnh sửa (Edit), lưu (Save), hoặc xóa (Delete) báo cáo.
2. Thử thay đổi giá trị trong các trường thông tin của báo cáo học viên.</t>
        </is>
      </c>
      <c r="J32" s="23" t="inlineStr">
        <is>
          <t>Không có bất kỳ nút hoặc tuỳ chọn chỉnh sửa/xóa nào hiển thị với tài khoản Staff.
Tất cả các trường thông tin đều bị khóa, không thể tương tác thay đổi giá trị.</t>
        </is>
      </c>
      <c r="K32" s="23" t="inlineStr"/>
      <c r="L32" s="24" t="inlineStr">
        <is>
          <t>Not Run</t>
        </is>
      </c>
      <c r="M32" s="25" t="inlineStr">
        <is>
          <t>High</t>
        </is>
      </c>
      <c r="N32" s="23" t="inlineStr">
        <is>
          <t>Liên quan đến Staff Access (Rule 6.12)</t>
        </is>
      </c>
    </row>
  </sheetData>
  <autoFilter ref="A1:N32"/>
  <dataValidations count="2">
    <dataValidation sqref="L2:L132" showDropDown="0" showInputMessage="0" showErrorMessage="0" allowBlank="1" errorTitle="Invalid Status" error="Please select a valid state: Passed, Failed, or Not Run" type="list">
      <formula1>"Passed,Failed,Not Run"</formula1>
    </dataValidation>
    <dataValidation sqref="M2:M13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4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05" customHeight="1">
      <c r="A2" s="21" t="inlineStr">
        <is>
          <t>TC-M07-001</t>
        </is>
      </c>
      <c r="B2" s="21" t="inlineStr">
        <is>
          <t>Module 07 – Training Materials</t>
        </is>
      </c>
      <c r="C2" s="22" t="inlineStr">
        <is>
          <t>M07-F02</t>
        </is>
      </c>
      <c r="D2" s="23" t="inlineStr">
        <is>
          <t>Category Management</t>
        </is>
      </c>
      <c r="E2" s="23" t="inlineStr">
        <is>
          <t>Đổi tên Category với tên hợp lệ</t>
        </is>
      </c>
      <c r="F2" s="23" t="inlineStr">
        <is>
          <t>Kiểm tra chức năng đổi tên danh mục (Category) khi nhập tên mới hợp lệ.</t>
        </is>
      </c>
      <c r="G2" s="23" t="inlineStr">
        <is>
          <t>Người dùng đã đăng nhập với quyền Staff.
Đang ở giao diện Quản lý Tài liệu học tập (Training Materials).</t>
        </is>
      </c>
      <c r="H2" s="23" t="inlineStr">
        <is>
          <t>CategoryOldName="IT"; CategoryNewName="Information Technology"</t>
        </is>
      </c>
      <c r="I2" s="23" t="inlineStr">
        <is>
          <t>1. Nhấp chọn danh mục "IT".
2. Nhấp nút "Đổi tên" (Rename).
3. Nhập tên mới là "Information Technology".
4. Nhấp "Lưu" (Save).</t>
        </is>
      </c>
      <c r="J2" s="23" t="inlineStr">
        <is>
          <t>Hệ thống hiển thị thông báo cập nhật thành công.
Tên danh mục được thay đổi thành "Information Technology" trên giao diện.
Các khóa học bên trong danh mục vẫn giữ nguyên.</t>
        </is>
      </c>
      <c r="K2" s="23" t="inlineStr"/>
      <c r="L2" s="24" t="inlineStr">
        <is>
          <t>Not Run</t>
        </is>
      </c>
      <c r="M2" s="25" t="inlineStr">
        <is>
          <t>High</t>
        </is>
      </c>
      <c r="N2" s="23" t="inlineStr">
        <is>
          <t>Liên quan đến M07-F02, Rule 5.1</t>
        </is>
      </c>
    </row>
    <row r="3" ht="75" customHeight="1">
      <c r="A3" s="26" t="inlineStr">
        <is>
          <t>TC-M07-002</t>
        </is>
      </c>
      <c r="B3" s="26" t="inlineStr">
        <is>
          <t>Module 07 – Training Materials</t>
        </is>
      </c>
      <c r="C3" s="27" t="inlineStr">
        <is>
          <t>M07-F02</t>
        </is>
      </c>
      <c r="D3" s="28" t="inlineStr">
        <is>
          <t>Category Management</t>
        </is>
      </c>
      <c r="E3" s="28" t="inlineStr">
        <is>
          <t>Đổi tên Category thất bại do để trống tên</t>
        </is>
      </c>
      <c r="F3" s="28" t="inlineStr">
        <is>
          <t>Kiểm tra hệ thống báo lỗi và ngăn chặn việc đổi tên danh mục thành rỗng.</t>
        </is>
      </c>
      <c r="G3" s="28" t="inlineStr">
        <is>
          <t>Người dùng đã đăng nhập với quyền Staff.
Đang ở giao diện Đổi tên Category.</t>
        </is>
      </c>
      <c r="H3" s="28" t="inlineStr">
        <is>
          <t>CategoryNewName=""</t>
        </is>
      </c>
      <c r="I3" s="28" t="inlineStr">
        <is>
          <t>1. Xóa toàn bộ nội dung trong ô nhập tên danh mục.
2. Nhấp nút "Lưu" (Save).</t>
        </is>
      </c>
      <c r="J3" s="28" t="inlineStr">
        <is>
          <t>Hệ thống hiển thị thông báo lỗi yêu cầu nhập tên danh mục (ví dụ: "Category Name is required.").
Tên danh mục cũ không bị thay đổi.</t>
        </is>
      </c>
      <c r="K3" s="28" t="inlineStr"/>
      <c r="L3" s="24" t="inlineStr">
        <is>
          <t>Not Run</t>
        </is>
      </c>
      <c r="M3" s="25" t="inlineStr">
        <is>
          <t>High</t>
        </is>
      </c>
      <c r="N3" s="28" t="inlineStr">
        <is>
          <t>Liên quan đến Validation Rules (Mục 8), Error Handling (Mục 9)</t>
        </is>
      </c>
    </row>
    <row r="4" ht="60" customHeight="1">
      <c r="A4" s="21" t="inlineStr">
        <is>
          <t>TC-M07-003</t>
        </is>
      </c>
      <c r="B4" s="21" t="inlineStr">
        <is>
          <t>Module 07 – Training Materials</t>
        </is>
      </c>
      <c r="C4" s="22" t="inlineStr">
        <is>
          <t>M07-F02</t>
        </is>
      </c>
      <c r="D4" s="23" t="inlineStr">
        <is>
          <t>Category Management</t>
        </is>
      </c>
      <c r="E4" s="23" t="inlineStr">
        <is>
          <t>Kiểm tra không hỗ trợ chức năng Lưu trữ và Xóa đối với Category</t>
        </is>
      </c>
      <c r="F4" s="23" t="inlineStr">
        <is>
          <t>Xác minh hệ thống không hiển thị các chức năng Lưu trữ (Archive) và Xóa (Delete) đối với danh mục.</t>
        </is>
      </c>
      <c r="G4" s="23" t="inlineStr">
        <is>
          <t>Người dùng đã đăng nhập với quyền Staff.
Đang ở giao diện Quản lý Tài liệu học tập.</t>
        </is>
      </c>
      <c r="H4" s="23" t="inlineStr">
        <is>
          <t>CategoryName="English"</t>
        </is>
      </c>
      <c r="I4" s="23" t="inlineStr">
        <is>
          <t>1. Nhấp chọn danh mục "English".
2. Quan sát các nút chức năng và menu ngữ cảnh liên quan đến danh mục.</t>
        </is>
      </c>
      <c r="J4" s="23" t="inlineStr">
        <is>
          <t>Không hiển thị nút hoặc tùy chọn "Xóa" (Delete) hoặc "Lưu trữ" (Archive) đối với danh mục.</t>
        </is>
      </c>
      <c r="K4" s="23" t="inlineStr"/>
      <c r="L4" s="24" t="inlineStr">
        <is>
          <t>Not Run</t>
        </is>
      </c>
      <c r="M4" s="29" t="inlineStr">
        <is>
          <t>Medium</t>
        </is>
      </c>
      <c r="N4" s="23" t="inlineStr">
        <is>
          <t>Liên quan đến M07-F02, Rule 5.1, Out of Scope (Mục 13)</t>
        </is>
      </c>
    </row>
    <row r="5" ht="60" customHeight="1">
      <c r="A5" s="26" t="inlineStr">
        <is>
          <t>TC-M07-004</t>
        </is>
      </c>
      <c r="B5" s="26" t="inlineStr">
        <is>
          <t>Module 07 – Training Materials</t>
        </is>
      </c>
      <c r="C5" s="27" t="inlineStr">
        <is>
          <t>M07-F01</t>
        </is>
      </c>
      <c r="D5" s="28" t="inlineStr">
        <is>
          <t>Three-tier Hierarchy</t>
        </is>
      </c>
      <c r="E5" s="28" t="inlineStr">
        <is>
          <t>Xác minh các Category mặc định tồn tại trong hệ thống</t>
        </is>
      </c>
      <c r="F5" s="28" t="inlineStr">
        <is>
          <t>Kiểm tra 5 danh mục mặc định được tạo sẵn khi hệ thống hoạt động.</t>
        </is>
      </c>
      <c r="G5" s="28" t="inlineStr">
        <is>
          <t>Người dùng đã đăng nhập với quyền Staff.
Đang ở giao diện Quản lý Tài liệu học tập.</t>
        </is>
      </c>
      <c r="H5" s="28" t="inlineStr">
        <is>
          <t>None</t>
        </is>
      </c>
      <c r="I5" s="28" t="inlineStr">
        <is>
          <t>1. Quan sát danh sách các danh mục hiển thị trên màn hình.</t>
        </is>
      </c>
      <c r="J5" s="28" t="inlineStr">
        <is>
          <t>Hệ thống hiển thị đầy đủ 5 danh mục mặc định: "IT", "English", "PLT", "DA", và "Workshops".</t>
        </is>
      </c>
      <c r="K5" s="28" t="inlineStr"/>
      <c r="L5" s="24" t="inlineStr">
        <is>
          <t>Not Run</t>
        </is>
      </c>
      <c r="M5" s="25" t="inlineStr">
        <is>
          <t>High</t>
        </is>
      </c>
      <c r="N5" s="28" t="inlineStr">
        <is>
          <t>Liên quan đến M07-F01, Mục 3 (Default Categories)</t>
        </is>
      </c>
    </row>
    <row r="6" ht="105" customHeight="1">
      <c r="A6" s="21" t="inlineStr">
        <is>
          <t>TC-M07-005</t>
        </is>
      </c>
      <c r="B6" s="21" t="inlineStr">
        <is>
          <t>Module 07 – Training Materials</t>
        </is>
      </c>
      <c r="C6" s="22" t="inlineStr">
        <is>
          <t>M07-F01</t>
        </is>
      </c>
      <c r="D6" s="23" t="inlineStr">
        <is>
          <t>Three-tier Hierarchy</t>
        </is>
      </c>
      <c r="E6" s="23" t="inlineStr">
        <is>
          <t>Tạo khóa học (Course) mới với thông tin hợp lệ</t>
        </is>
      </c>
      <c r="F6" s="23" t="inlineStr">
        <is>
          <t>Kiểm tra chức năng tạo khóa học mới dưới một danh mục khi nhập đầy đủ thông tin hợp lệ.</t>
        </is>
      </c>
      <c r="G6" s="23" t="inlineStr">
        <is>
          <t>Người dùng đã đăng nhập với quyền Staff.
Đang ở giao diện Quản lý Tài liệu học tập.</t>
        </is>
      </c>
      <c r="H6" s="23" t="inlineStr">
        <is>
          <t>Category="IT"; CourseName="Java Programming"</t>
        </is>
      </c>
      <c r="I6" s="23" t="inlineStr">
        <is>
          <t>1. Chọn danh mục "IT".
2. Nhấp nút "Tạo khóa học" (Create Course).
3. Nhập tên khóa học là "Java Programming".
4. Nhấp "Lưu" (Save).</t>
        </is>
      </c>
      <c r="J6" s="23" t="inlineStr">
        <is>
          <t>Hệ thống hiển thị thông báo tạo thành công.
Khóa học "Java Programming" hiển thị dưới danh mục "IT".</t>
        </is>
      </c>
      <c r="K6" s="23" t="inlineStr"/>
      <c r="L6" s="24" t="inlineStr">
        <is>
          <t>Not Run</t>
        </is>
      </c>
      <c r="M6" s="25" t="inlineStr">
        <is>
          <t>High</t>
        </is>
      </c>
      <c r="N6" s="23" t="inlineStr">
        <is>
          <t>Liên quan đến M07-F01, Rule 5.2</t>
        </is>
      </c>
    </row>
    <row r="7" ht="60" customHeight="1">
      <c r="A7" s="26" t="inlineStr">
        <is>
          <t>TC-M07-006</t>
        </is>
      </c>
      <c r="B7" s="26" t="inlineStr">
        <is>
          <t>Module 07 – Training Materials</t>
        </is>
      </c>
      <c r="C7" s="27" t="inlineStr">
        <is>
          <t>M07-F03</t>
        </is>
      </c>
      <c r="D7" s="28" t="inlineStr">
        <is>
          <t>Course Archiving / Restoring</t>
        </is>
      </c>
      <c r="E7" s="28" t="inlineStr">
        <is>
          <t>Tạo khóa học mới thất bại do để trống tên</t>
        </is>
      </c>
      <c r="F7" s="28" t="inlineStr">
        <is>
          <t>Kiểm tra hệ thống báo lỗi và ngăn chặn tạo khóa học nếu tên khóa học trống.</t>
        </is>
      </c>
      <c r="G7" s="28" t="inlineStr">
        <is>
          <t>Người dùng đã đăng nhập với quyền Staff.
Đang ở giao diện Tạo khóa học mới.</t>
        </is>
      </c>
      <c r="H7" s="28" t="inlineStr">
        <is>
          <t>Category="IT"; CourseName=""</t>
        </is>
      </c>
      <c r="I7" s="28" t="inlineStr">
        <is>
          <t>1. Để trống trường Tên khóa học.
2. Nhấp "Lưu" (Save).</t>
        </is>
      </c>
      <c r="J7" s="28" t="inlineStr">
        <is>
          <t>Hệ thống hiển thị lỗi yêu cầu nhập tên khóa học (ví dụ: "Course Name is required.").
Khóa học mới không được tạo.</t>
        </is>
      </c>
      <c r="K7" s="28" t="inlineStr"/>
      <c r="L7" s="24" t="inlineStr">
        <is>
          <t>Not Run</t>
        </is>
      </c>
      <c r="M7" s="25" t="inlineStr">
        <is>
          <t>High</t>
        </is>
      </c>
      <c r="N7" s="28" t="inlineStr">
        <is>
          <t>Liên quan đến Validation Rules (Mục 8), Error Handling (Mục 9)</t>
        </is>
      </c>
    </row>
    <row r="8" ht="105" customHeight="1">
      <c r="A8" s="21" t="inlineStr">
        <is>
          <t>TC-M07-007</t>
        </is>
      </c>
      <c r="B8" s="21" t="inlineStr">
        <is>
          <t>Module 07 – Training Materials</t>
        </is>
      </c>
      <c r="C8" s="22" t="inlineStr">
        <is>
          <t>M07-F01</t>
        </is>
      </c>
      <c r="D8" s="23" t="inlineStr">
        <is>
          <t>Three-tier Hierarchy</t>
        </is>
      </c>
      <c r="E8" s="23" t="inlineStr">
        <is>
          <t>Chỉnh sửa tên khóa học với thông tin hợp lệ</t>
        </is>
      </c>
      <c r="F8" s="23" t="inlineStr">
        <is>
          <t>Kiểm tra chức năng chỉnh sửa tên khóa học thành công.</t>
        </is>
      </c>
      <c r="G8" s="23" t="inlineStr">
        <is>
          <t>Người dùng đã đăng nhập với quyền Staff.
Đang ở giao diện Quản lý Tài liệu học tập. Khóa học "Java Programming" đã tồn tại.</t>
        </is>
      </c>
      <c r="H8" s="23" t="inlineStr">
        <is>
          <t>CourseOldName="Java Programming"; CourseNewName="Advanced Java Programming"</t>
        </is>
      </c>
      <c r="I8" s="23" t="inlineStr">
        <is>
          <t>1. Chọn khóa học "Java Programming".
2. Nhấp chọn "Chỉnh sửa" (Edit).
3. Thay đổi tên khóa học thành "Advanced Java Programming".
4. Nhấp "Lưu" (Save).</t>
        </is>
      </c>
      <c r="J8" s="23" t="inlineStr">
        <is>
          <t>Hệ thống hiển thị thông báo lưu thành công.
Tên khóa học cập nhật thành "Advanced Java Programming" trên màn hình.</t>
        </is>
      </c>
      <c r="K8" s="23" t="inlineStr"/>
      <c r="L8" s="24" t="inlineStr">
        <is>
          <t>Not Run</t>
        </is>
      </c>
      <c r="M8" s="25" t="inlineStr">
        <is>
          <t>High</t>
        </is>
      </c>
      <c r="N8" s="23" t="inlineStr">
        <is>
          <t>Liên quan đến M07-F01, Rule 5.2</t>
        </is>
      </c>
    </row>
    <row r="9" ht="90" customHeight="1">
      <c r="A9" s="26" t="inlineStr">
        <is>
          <t>TC-M07-008</t>
        </is>
      </c>
      <c r="B9" s="26" t="inlineStr">
        <is>
          <t>Module 07 – Training Materials</t>
        </is>
      </c>
      <c r="C9" s="27" t="inlineStr">
        <is>
          <t>M07-F03</t>
        </is>
      </c>
      <c r="D9" s="28" t="inlineStr">
        <is>
          <t>Course Archiving / Restoring</t>
        </is>
      </c>
      <c r="E9" s="28" t="inlineStr">
        <is>
          <t>Lưu trữ khóa học (Archive Course)</t>
        </is>
      </c>
      <c r="F9" s="28" t="inlineStr">
        <is>
          <t>Kiểm tra chức năng lưu trữ khóa học.</t>
        </is>
      </c>
      <c r="G9" s="28" t="inlineStr">
        <is>
          <t>Người dùng đã đăng nhập với quyền Staff.
Khóa học "Java Programming" đang ở trạng thái Hoạt động (Active) và có các bài học/bài kiểm tra bên dưới.</t>
        </is>
      </c>
      <c r="H9" s="28" t="inlineStr">
        <is>
          <t>CourseName="Java Programming"</t>
        </is>
      </c>
      <c r="I9" s="28" t="inlineStr">
        <is>
          <t>1. Nhấp chọn khóa học "Java Programming".
2. Nhấp chọn nút "Lưu trữ" (Archive).
3. Xác nhận lưu trữ nếu hệ thống yêu cầu.</t>
        </is>
      </c>
      <c r="J9" s="28" t="inlineStr">
        <is>
          <t>Hệ thống hiển thị thông báo lưu trữ thành công.
Khóa học thay đổi trạng thái sang đã lưu trữ (Archived) và bị ẩn đi hoặc hiển thị dưới dạng lưu trữ trên màn hình quản lý.</t>
        </is>
      </c>
      <c r="K9" s="28" t="inlineStr"/>
      <c r="L9" s="24" t="inlineStr">
        <is>
          <t>Not Run</t>
        </is>
      </c>
      <c r="M9" s="25" t="inlineStr">
        <is>
          <t>High</t>
        </is>
      </c>
      <c r="N9" s="28" t="inlineStr">
        <is>
          <t>Liên quan đến M07-F03, Rule 5.2, Rule 5.3</t>
        </is>
      </c>
    </row>
    <row r="10" ht="90" customHeight="1">
      <c r="A10" s="21" t="inlineStr">
        <is>
          <t>TC-M07-009</t>
        </is>
      </c>
      <c r="B10" s="21" t="inlineStr">
        <is>
          <t>Module 07 – Training Materials</t>
        </is>
      </c>
      <c r="C10" s="22" t="inlineStr">
        <is>
          <t>M07-F03</t>
        </is>
      </c>
      <c r="D10" s="23" t="inlineStr">
        <is>
          <t>Course Archiving / Restoring</t>
        </is>
      </c>
      <c r="E10" s="23" t="inlineStr">
        <is>
          <t>Khôi phục khóa học đã lưu trữ (Restore Course)</t>
        </is>
      </c>
      <c r="F10" s="23" t="inlineStr">
        <is>
          <t>Kiểm tra chức năng khôi phục một khóa học đã bị lưu trữ.</t>
        </is>
      </c>
      <c r="G10" s="23" t="inlineStr">
        <is>
          <t>Người dùng đã đăng nhập với quyền Staff.
Khóa học "Java Programming" đang ở trạng thái Lưu trữ (Archived).</t>
        </is>
      </c>
      <c r="H10" s="23" t="inlineStr">
        <is>
          <t>CourseName="Java Programming"</t>
        </is>
      </c>
      <c r="I10" s="23" t="inlineStr">
        <is>
          <t>1. Tìm và chọn khóa học "Java Programming" trong danh sách lưu trữ.
2. Nhấp chọn nút "Khôi phục" (Restore).
3. Xác nhận khôi phục nếu hệ thống yêu cầu.</t>
        </is>
      </c>
      <c r="J10" s="23" t="inlineStr">
        <is>
          <t>Hệ thống hiển thị thông báo khôi phục thành công.
Khóa học trở lại trạng thái hoạt động bình thường.</t>
        </is>
      </c>
      <c r="K10" s="23" t="inlineStr"/>
      <c r="L10" s="24" t="inlineStr">
        <is>
          <t>Not Run</t>
        </is>
      </c>
      <c r="M10" s="25" t="inlineStr">
        <is>
          <t>High</t>
        </is>
      </c>
      <c r="N10" s="23" t="inlineStr">
        <is>
          <t>Liên quan đến M07-F03, Rule 5.2, Rule 5.3</t>
        </is>
      </c>
    </row>
    <row r="11" ht="60" customHeight="1">
      <c r="A11" s="26" t="inlineStr">
        <is>
          <t>TC-M07-010</t>
        </is>
      </c>
      <c r="B11" s="26" t="inlineStr">
        <is>
          <t>Module 07 – Training Materials</t>
        </is>
      </c>
      <c r="C11" s="27" t="inlineStr">
        <is>
          <t>M07-F03</t>
        </is>
      </c>
      <c r="D11" s="28" t="inlineStr">
        <is>
          <t>Course Archiving / Restoring</t>
        </is>
      </c>
      <c r="E11" s="28" t="inlineStr">
        <is>
          <t>Kiểm tra không hỗ trợ xóa vĩnh viễn khóa học</t>
        </is>
      </c>
      <c r="F11" s="28" t="inlineStr">
        <is>
          <t>Xác minh hệ thống không cho phép xóa vĩnh viễn khóa học khỏi cơ sở dữ liệu.</t>
        </is>
      </c>
      <c r="G11" s="28" t="inlineStr">
        <is>
          <t>Người dùng đã đăng nhập với quyền Staff.
Đang ở giao diện Quản lý Tài liệu học tập.</t>
        </is>
      </c>
      <c r="H11" s="28" t="inlineStr">
        <is>
          <t>CourseName="Java Programming"</t>
        </is>
      </c>
      <c r="I11" s="28" t="inlineStr">
        <is>
          <t>1. Chọn khóa học "Java Programming".
2. Kiểm tra các nút chức năng và menu hành động liên quan đến khóa học.</t>
        </is>
      </c>
      <c r="J11" s="28" t="inlineStr">
        <is>
          <t>Không có tùy chọn "Xóa vĩnh viễn" hoặc "Delete" cho khóa học, chỉ có tùy chọn "Lưu trữ" (Archive).</t>
        </is>
      </c>
      <c r="K11" s="28" t="inlineStr"/>
      <c r="L11" s="24" t="inlineStr">
        <is>
          <t>Not Run</t>
        </is>
      </c>
      <c r="M11" s="29" t="inlineStr">
        <is>
          <t>Medium</t>
        </is>
      </c>
      <c r="N11" s="28" t="inlineStr">
        <is>
          <t>Liên quan đến Rule 5.2 (Permanent deletion is not allowed), Out of Scope (Mục 13)</t>
        </is>
      </c>
    </row>
    <row r="12" ht="135" customHeight="1">
      <c r="A12" s="21" t="inlineStr">
        <is>
          <t>TC-M07-011</t>
        </is>
      </c>
      <c r="B12" s="21" t="inlineStr">
        <is>
          <t>Module 07 – Training Materials</t>
        </is>
      </c>
      <c r="C12" s="22" t="inlineStr">
        <is>
          <t>M07-F01</t>
        </is>
      </c>
      <c r="D12" s="23" t="inlineStr">
        <is>
          <t>Three-tier Hierarchy</t>
        </is>
      </c>
      <c r="E12" s="23" t="inlineStr">
        <is>
          <t>Tạo bài học (Session) mới với thông tin hợp lệ</t>
        </is>
      </c>
      <c r="F12" s="23" t="inlineStr">
        <is>
          <t>Kiểm tra chức năng tạo bài học mới dưới một khóa học hoạt động.</t>
        </is>
      </c>
      <c r="G12" s="23" t="inlineStr">
        <is>
          <t>Người dùng đã đăng nhập với quyền Staff.
Khóa học "Java Programming" đang hoạt động.</t>
        </is>
      </c>
      <c r="H12" s="23" t="inlineStr">
        <is>
          <t>CourseName="Java Programming"; SessionName="Session 01: OOP Basics"; LessonNumber=1; Description="Giới thiệu về lập trình hướng đối tượng"</t>
        </is>
      </c>
      <c r="I12" s="23" t="inlineStr">
        <is>
          <t>1. Chọn khóa học "Java Programming".
2. Nhấp nút "Thêm bài học" (Add Session).
3. Nhập Tên bài học là "Session 01: OOP Basics", số bài học là "1", mô tả là "Giới thiệu về lập trình hướng đối tượng".
4. Nhấp "Lưu" (Save).</t>
        </is>
      </c>
      <c r="J12" s="23" t="inlineStr">
        <is>
          <t>Hệ thống hiển thị thông báo tạo thành công.
Session mới hiển thị dưới khóa học "Java Programming".</t>
        </is>
      </c>
      <c r="K12" s="23" t="inlineStr"/>
      <c r="L12" s="24" t="inlineStr">
        <is>
          <t>Not Run</t>
        </is>
      </c>
      <c r="M12" s="25" t="inlineStr">
        <is>
          <t>High</t>
        </is>
      </c>
      <c r="N12" s="23" t="inlineStr">
        <is>
          <t>Liên quan đến M07-F01, Rule 5.4</t>
        </is>
      </c>
    </row>
    <row r="13" ht="75" customHeight="1">
      <c r="A13" s="26" t="inlineStr">
        <is>
          <t>TC-M07-012</t>
        </is>
      </c>
      <c r="B13" s="26" t="inlineStr">
        <is>
          <t>Module 07 – Training Materials</t>
        </is>
      </c>
      <c r="C13" s="27" t="inlineStr">
        <is>
          <t>M07-F04</t>
        </is>
      </c>
      <c r="D13" s="28" t="inlineStr">
        <is>
          <t>Session Deletion</t>
        </is>
      </c>
      <c r="E13" s="28" t="inlineStr">
        <is>
          <t>Tạo bài học mới thất bại do để trống tên bài học</t>
        </is>
      </c>
      <c r="F13" s="28" t="inlineStr">
        <is>
          <t>Kiểm tra hệ thống báo lỗi và ngăn chặn tạo bài học nếu tên bài học trống.</t>
        </is>
      </c>
      <c r="G13" s="28" t="inlineStr">
        <is>
          <t>Người dùng đã đăng nhập với quyền Staff.
Đang ở giao diện Thêm bài học mới.</t>
        </is>
      </c>
      <c r="H13" s="28" t="inlineStr">
        <is>
          <t>CourseName="Java Programming"; SessionName=""; LessonNumber=1</t>
        </is>
      </c>
      <c r="I13" s="28" t="inlineStr">
        <is>
          <t>1. Để trống trường Tên bài học.
2. Nhập các trường thông tin khác hợp lệ.
3. Nhấp "Lưu" (Save).</t>
        </is>
      </c>
      <c r="J13" s="28" t="inlineStr">
        <is>
          <t>Hệ thống hiển thị thông báo lỗi yêu cầu nhập Tên bài học (ví dụ: "Session Name is required.").
Bài học mới không được tạo.</t>
        </is>
      </c>
      <c r="K13" s="28" t="inlineStr"/>
      <c r="L13" s="24" t="inlineStr">
        <is>
          <t>Not Run</t>
        </is>
      </c>
      <c r="M13" s="25" t="inlineStr">
        <is>
          <t>High</t>
        </is>
      </c>
      <c r="N13" s="28" t="inlineStr">
        <is>
          <t>Liên quan đến Validation Rules (Mục 8), Error Handling (Mục 9)</t>
        </is>
      </c>
    </row>
    <row r="14" ht="135" customHeight="1">
      <c r="A14" s="21" t="inlineStr">
        <is>
          <t>TC-M07-013</t>
        </is>
      </c>
      <c r="B14" s="21" t="inlineStr">
        <is>
          <t>Module 07 – Training Materials</t>
        </is>
      </c>
      <c r="C14" s="22" t="inlineStr">
        <is>
          <t>M07-F01</t>
        </is>
      </c>
      <c r="D14" s="23" t="inlineStr">
        <is>
          <t>Three-tier Hierarchy</t>
        </is>
      </c>
      <c r="E14" s="23" t="inlineStr">
        <is>
          <t>Chỉnh sửa chi tiết bài học (Edit Session)</t>
        </is>
      </c>
      <c r="F14" s="23" t="inlineStr">
        <is>
          <t>Kiểm tra chức năng sửa thông tin bài học thành công.</t>
        </is>
      </c>
      <c r="G14" s="23" t="inlineStr">
        <is>
          <t>Người dùng đã đăng nhập với quyền Staff.
Bài học "Session 01: OOP Basics" đã tồn tại dưới khóa học "Java Programming".</t>
        </is>
      </c>
      <c r="H14" s="23" t="inlineStr">
        <is>
          <t>SessionOldName="Session 01: OOP Basics"; SessionNewName="Session 01: Advanced OOP Basics"; LessonNumber=2; Description="Mô tả mới"</t>
        </is>
      </c>
      <c r="I14" s="23" t="inlineStr">
        <is>
          <t>1. Chọn bài học "Session 01: OOP Basics".
2. Nhấp chọn "Chỉnh sửa" (Edit).
3. Sửa Tên bài học thành "Session 01: Advanced OOP Basics", Lesson Number thành "2", Description thành "Mô tả mới".
4. Nhấp "Lưu" (Save).</t>
        </is>
      </c>
      <c r="J14" s="23" t="inlineStr">
        <is>
          <t>Hệ thống hiển thị thông báo lưu thành công.
Thông tin bài học hiển thị thay đổi mới tương ứng trên giao diện.</t>
        </is>
      </c>
      <c r="K14" s="23" t="inlineStr"/>
      <c r="L14" s="24" t="inlineStr">
        <is>
          <t>Not Run</t>
        </is>
      </c>
      <c r="M14" s="25" t="inlineStr">
        <is>
          <t>High</t>
        </is>
      </c>
      <c r="N14" s="23" t="inlineStr">
        <is>
          <t>Liên quan đến M07-F01, Rule 5.4</t>
        </is>
      </c>
    </row>
    <row r="15" ht="120" customHeight="1">
      <c r="A15" s="26" t="inlineStr">
        <is>
          <t>TC-M07-014</t>
        </is>
      </c>
      <c r="B15" s="26" t="inlineStr">
        <is>
          <t>Module 07 – Training Materials</t>
        </is>
      </c>
      <c r="C15" s="27" t="inlineStr">
        <is>
          <t>M07-F04</t>
        </is>
      </c>
      <c r="D15" s="28" t="inlineStr">
        <is>
          <t>Session Deletion</t>
        </is>
      </c>
      <c r="E15" s="28" t="inlineStr">
        <is>
          <t>Xóa vĩnh viễn bài học (Delete Session)</t>
        </is>
      </c>
      <c r="F15" s="28" t="inlineStr">
        <is>
          <t>Kiểm tra chức năng xóa vĩnh viễn một bài học và các tài liệu đính kèm bên dưới nó.</t>
        </is>
      </c>
      <c r="G15" s="28" t="inlineStr">
        <is>
          <t>Người dùng đã đăng nhập với quyền Staff.
Bài học "Session 01: OOP Basics" đang tồn tại và có tài liệu đính kèm.</t>
        </is>
      </c>
      <c r="H15" s="28" t="inlineStr">
        <is>
          <t>SessionName="Session 01: OOP Basics"</t>
        </is>
      </c>
      <c r="I15" s="28" t="inlineStr">
        <is>
          <t>1. Chọn bài học "Session 01: OOP Basics".
2. Nhấp chọn nút "Xóa" (Delete).
3. Hệ thống hiển thị hộp thoại yêu cầu xác nhận xóa vĩnh viễn.
4. Nhấp "Đồng ý" (Confirm).</t>
        </is>
      </c>
      <c r="J15" s="28" t="inlineStr">
        <is>
          <t>Hệ thống hiển thị thông báo xóa thành công.
Bài học và các tài liệu đính kèm bị xóa vĩnh viễn khỏi hệ thống.
Hành động không thể hoàn tác.</t>
        </is>
      </c>
      <c r="K15" s="28" t="inlineStr"/>
      <c r="L15" s="24" t="inlineStr">
        <is>
          <t>Not Run</t>
        </is>
      </c>
      <c r="M15" s="25" t="inlineStr">
        <is>
          <t>High</t>
        </is>
      </c>
      <c r="N15" s="28" t="inlineStr">
        <is>
          <t>Liên quan đến M07-F04, Rule 5.4, Error Handling (Mục 9)</t>
        </is>
      </c>
    </row>
    <row r="16" ht="105" customHeight="1">
      <c r="A16" s="21" t="inlineStr">
        <is>
          <t>TC-M07-015</t>
        </is>
      </c>
      <c r="B16" s="21" t="inlineStr">
        <is>
          <t>Module 07 – Training Materials</t>
        </is>
      </c>
      <c r="C16" s="22" t="inlineStr">
        <is>
          <t>M07-F04</t>
        </is>
      </c>
      <c r="D16" s="23" t="inlineStr">
        <is>
          <t>Session Deletion</t>
        </is>
      </c>
      <c r="E16" s="23" t="inlineStr">
        <is>
          <t>Hủy bỏ thao tác xóa bài học</t>
        </is>
      </c>
      <c r="F16" s="23" t="inlineStr">
        <is>
          <t>Kiểm tra xem khi hủy xác nhận xóa, bài học vẫn được giữ lại.</t>
        </is>
      </c>
      <c r="G16" s="23" t="inlineStr">
        <is>
          <t>Người dùng đã đăng nhập với quyền Staff.
Bài học "Session 01: OOP Basics" đang tồn tại.</t>
        </is>
      </c>
      <c r="H16" s="23" t="inlineStr">
        <is>
          <t>SessionName="Session 01: OOP Basics"</t>
        </is>
      </c>
      <c r="I16" s="23" t="inlineStr">
        <is>
          <t>1. Chọn bài học "Session 01: OOP Basics".
2. Nhấp chọn nút "Xóa" (Delete).
3. Hệ thống hiển thị hộp thoại xác nhận.
4. Nhấp chọn "Hủy" (Cancel).</t>
        </is>
      </c>
      <c r="J16" s="23" t="inlineStr">
        <is>
          <t>Hộp thoại xác nhận đóng lại.
Bài học "Session 01: OOP Basics" vẫn tồn tại trong danh sách và không bị xóa.</t>
        </is>
      </c>
      <c r="K16" s="23" t="inlineStr"/>
      <c r="L16" s="24" t="inlineStr">
        <is>
          <t>Not Run</t>
        </is>
      </c>
      <c r="M16" s="29" t="inlineStr">
        <is>
          <t>Medium</t>
        </is>
      </c>
      <c r="N16" s="23" t="inlineStr">
        <is>
          <t>Liên quan đến Rule 5.4, Error Handling (Mục 9)</t>
        </is>
      </c>
    </row>
    <row r="17" ht="60" customHeight="1">
      <c r="A17" s="26" t="inlineStr">
        <is>
          <t>TC-M07-016</t>
        </is>
      </c>
      <c r="B17" s="26" t="inlineStr">
        <is>
          <t>Module 07 – Training Materials</t>
        </is>
      </c>
      <c r="C17" s="27" t="inlineStr">
        <is>
          <t>M07-F04</t>
        </is>
      </c>
      <c r="D17" s="28" t="inlineStr">
        <is>
          <t>Session Deletion</t>
        </is>
      </c>
      <c r="E17" s="28" t="inlineStr">
        <is>
          <t>Kiểm tra không hỗ trợ lưu trữ bài học</t>
        </is>
      </c>
      <c r="F17" s="28" t="inlineStr">
        <is>
          <t>Xác minh hệ thống không cho phép lưu trữ bài học, chỉ có thể xóa vĩnh viễn.</t>
        </is>
      </c>
      <c r="G17" s="28" t="inlineStr">
        <is>
          <t>Người dùng đã đăng nhập với quyền Staff.
Đang ở giao diện Quản lý Bài học.</t>
        </is>
      </c>
      <c r="H17" s="28" t="inlineStr">
        <is>
          <t>SessionName="Session 01: OOP Basics"</t>
        </is>
      </c>
      <c r="I17" s="28" t="inlineStr">
        <is>
          <t>1. Chọn bài học "Session 01: OOP Basics".
2. Kiểm tra các nút chức năng hành động trên bài học.</t>
        </is>
      </c>
      <c r="J17" s="28" t="inlineStr">
        <is>
          <t>Không xuất hiện tùy chọn "Lưu trữ" (Archive) đối với bài học. Chỉ hỗ trợ tạo, sửa và xóa vĩnh viễn.</t>
        </is>
      </c>
      <c r="K17" s="28" t="inlineStr"/>
      <c r="L17" s="24" t="inlineStr">
        <is>
          <t>Not Run</t>
        </is>
      </c>
      <c r="M17" s="29" t="inlineStr">
        <is>
          <t>Medium</t>
        </is>
      </c>
      <c r="N17" s="28" t="inlineStr">
        <is>
          <t>Liên quan đến Rule 5.4, Out of Scope (Mục 13)</t>
        </is>
      </c>
    </row>
    <row r="18" ht="105" customHeight="1">
      <c r="A18" s="21" t="inlineStr">
        <is>
          <t>TC-M07-017</t>
        </is>
      </c>
      <c r="B18" s="21" t="inlineStr">
        <is>
          <t>Module 07 – Training Materials</t>
        </is>
      </c>
      <c r="C18" s="22" t="inlineStr">
        <is>
          <t>M07-F01</t>
        </is>
      </c>
      <c r="D18" s="23" t="inlineStr">
        <is>
          <t>Three-tier Hierarchy</t>
        </is>
      </c>
      <c r="E18" s="23" t="inlineStr">
        <is>
          <t>Tạo bài kiểm tra (Exam) mới với thông tin hợp lệ</t>
        </is>
      </c>
      <c r="F18" s="23" t="inlineStr">
        <is>
          <t>Kiểm tra chức năng tạo bài kiểm tra mới dưới một khóa học đang hoạt động.</t>
        </is>
      </c>
      <c r="G18" s="23" t="inlineStr">
        <is>
          <t>Người dùng đã đăng nhập với quyền Staff.
Khóa học "Java Programming" đang hoạt động.</t>
        </is>
      </c>
      <c r="H18" s="23" t="inlineStr">
        <is>
          <t>CourseName="Java Programming"; ExamName="Midterm Exam"</t>
        </is>
      </c>
      <c r="I18" s="23" t="inlineStr">
        <is>
          <t>1. Chọn khóa học "Java Programming".
2. Nhấp nút "Thêm bài kiểm tra" (Add Exam).
3. Nhập Tên bài kiểm tra là "Midterm Exam".
4. Nhấp "Lưu" (Save).</t>
        </is>
      </c>
      <c r="J18" s="23" t="inlineStr">
        <is>
          <t>Hệ thống hiển thị thông báo tạo thành công.
Bài kiểm tra "Midterm Exam" hiển thị dưới khóa học "Java Programming".</t>
        </is>
      </c>
      <c r="K18" s="23" t="inlineStr"/>
      <c r="L18" s="24" t="inlineStr">
        <is>
          <t>Not Run</t>
        </is>
      </c>
      <c r="M18" s="25" t="inlineStr">
        <is>
          <t>High</t>
        </is>
      </c>
      <c r="N18" s="23" t="inlineStr">
        <is>
          <t>Liên quan đến M07-F01, Rule 5.5</t>
        </is>
      </c>
    </row>
    <row r="19" ht="75" customHeight="1">
      <c r="A19" s="26" t="inlineStr">
        <is>
          <t>TC-M07-018</t>
        </is>
      </c>
      <c r="B19" s="26" t="inlineStr">
        <is>
          <t>Module 07 – Training Materials</t>
        </is>
      </c>
      <c r="C19" s="27" t="inlineStr">
        <is>
          <t>M07-F05</t>
        </is>
      </c>
      <c r="D19" s="28" t="inlineStr">
        <is>
          <t>Exam Deletion</t>
        </is>
      </c>
      <c r="E19" s="28" t="inlineStr">
        <is>
          <t>Tạo bài kiểm tra mới thất bại do để trống tên</t>
        </is>
      </c>
      <c r="F19" s="28" t="inlineStr">
        <is>
          <t>Kiểm tra hệ thống ngăn chặn và báo lỗi nếu tên bài kiểm tra trống.</t>
        </is>
      </c>
      <c r="G19" s="28" t="inlineStr">
        <is>
          <t>Người dùng đã đăng nhập với quyền Staff.
Đang ở giao diện Thêm bài kiểm tra mới.</t>
        </is>
      </c>
      <c r="H19" s="28" t="inlineStr">
        <is>
          <t>CourseName="Java Programming"; ExamName=""</t>
        </is>
      </c>
      <c r="I19" s="28" t="inlineStr">
        <is>
          <t>1. Để trống trường Tên bài kiểm tra.
2. Nhấp "Lưu" (Save).</t>
        </is>
      </c>
      <c r="J19" s="28" t="inlineStr">
        <is>
          <t>Hệ thống hiển thị thông báo lỗi yêu cầu nhập Tên bài kiểm tra (ví dụ: "Exam Name is required.").
Bài kiểm tra không được tạo.</t>
        </is>
      </c>
      <c r="K19" s="28" t="inlineStr"/>
      <c r="L19" s="24" t="inlineStr">
        <is>
          <t>Not Run</t>
        </is>
      </c>
      <c r="M19" s="25" t="inlineStr">
        <is>
          <t>High</t>
        </is>
      </c>
      <c r="N19" s="28" t="inlineStr">
        <is>
          <t>Liên quan đến Validation Rules (Mục 8), Error Handling (Mục 9)</t>
        </is>
      </c>
    </row>
    <row r="20" ht="105" customHeight="1">
      <c r="A20" s="21" t="inlineStr">
        <is>
          <t>TC-M07-019</t>
        </is>
      </c>
      <c r="B20" s="21" t="inlineStr">
        <is>
          <t>Module 07 – Training Materials</t>
        </is>
      </c>
      <c r="C20" s="22" t="inlineStr">
        <is>
          <t>M07-F01</t>
        </is>
      </c>
      <c r="D20" s="23" t="inlineStr">
        <is>
          <t>Three-tier Hierarchy</t>
        </is>
      </c>
      <c r="E20" s="23" t="inlineStr">
        <is>
          <t>Chỉnh sửa chi tiết bài kiểm tra (Edit Exam)</t>
        </is>
      </c>
      <c r="F20" s="23" t="inlineStr">
        <is>
          <t>Kiểm tra chức năng thay đổi tên bài kiểm tra thành công.</t>
        </is>
      </c>
      <c r="G20" s="23" t="inlineStr">
        <is>
          <t>Người dùng đã đăng nhập với quyền Staff.
Bài kiểm tra "Midterm Exam" đã tồn tại dưới khóa học "Java Programming".</t>
        </is>
      </c>
      <c r="H20" s="23" t="inlineStr">
        <is>
          <t>ExamOldName="Midterm Exam"; ExamNewName="Midterm Practical Exam"</t>
        </is>
      </c>
      <c r="I20" s="23" t="inlineStr">
        <is>
          <t>1. Chọn bài kiểm tra "Midterm Exam".
2. Nhấp chọn "Chỉnh sửa" (Edit).
3. Thay đổi tên thành "Midterm Practical Exam".
4. Nhấp "Lưu" (Save).</t>
        </is>
      </c>
      <c r="J20" s="23" t="inlineStr">
        <is>
          <t>Hệ thống hiển thị thông báo lưu thành công.
Tên bài kiểm tra được cập nhật thành "Midterm Practical Exam" trên giao diện.</t>
        </is>
      </c>
      <c r="K20" s="23" t="inlineStr"/>
      <c r="L20" s="24" t="inlineStr">
        <is>
          <t>Not Run</t>
        </is>
      </c>
      <c r="M20" s="25" t="inlineStr">
        <is>
          <t>High</t>
        </is>
      </c>
      <c r="N20" s="23" t="inlineStr">
        <is>
          <t>Liên quan đến M07-F01, Rule 5.5</t>
        </is>
      </c>
    </row>
    <row r="21" ht="90" customHeight="1">
      <c r="A21" s="26" t="inlineStr">
        <is>
          <t>TC-M07-020</t>
        </is>
      </c>
      <c r="B21" s="26" t="inlineStr">
        <is>
          <t>Module 07 – Training Materials</t>
        </is>
      </c>
      <c r="C21" s="27" t="inlineStr">
        <is>
          <t>M07-F05</t>
        </is>
      </c>
      <c r="D21" s="28" t="inlineStr">
        <is>
          <t>Exam Deletion</t>
        </is>
      </c>
      <c r="E21" s="28" t="inlineStr">
        <is>
          <t>Xóa vĩnh viễn bài kiểm tra (Delete Exam)</t>
        </is>
      </c>
      <c r="F21" s="28" t="inlineStr">
        <is>
          <t>Kiểm tra chức năng xóa vĩnh viễn một bài kiểm tra và các tài liệu đính kèm bên dưới nó.</t>
        </is>
      </c>
      <c r="G21" s="28" t="inlineStr">
        <is>
          <t>Người dùng đã đăng nhập với quyền Staff.
Bài kiểm tra "Midterm Exam" đang tồn tại và có tài liệu đính kèm.</t>
        </is>
      </c>
      <c r="H21" s="28" t="inlineStr">
        <is>
          <t>ExamName="Midterm Exam"</t>
        </is>
      </c>
      <c r="I21" s="28" t="inlineStr">
        <is>
          <t>1. Chọn bài kiểm tra "Midterm Exam".
2. Nhấp nút "Xóa" (Delete).
3. Xác nhận trên hộp thoại hiển thị bằng cách chọn "Đồng ý" (Confirm).</t>
        </is>
      </c>
      <c r="J21" s="28" t="inlineStr">
        <is>
          <t>Hệ thống hiển thị thông báo xóa thành công.
Bài kiểm tra và các tài liệu đính kèm bị xóa vĩnh viễn khỏi hệ thống.
Hành động không thể hoàn tác.</t>
        </is>
      </c>
      <c r="K21" s="28" t="inlineStr"/>
      <c r="L21" s="24" t="inlineStr">
        <is>
          <t>Not Run</t>
        </is>
      </c>
      <c r="M21" s="25" t="inlineStr">
        <is>
          <t>High</t>
        </is>
      </c>
      <c r="N21" s="28" t="inlineStr">
        <is>
          <t>Liên quan đến M07-F05, Rule 5.5, Error Handling (Mục 9)</t>
        </is>
      </c>
    </row>
    <row r="22" ht="75" customHeight="1">
      <c r="A22" s="21" t="inlineStr">
        <is>
          <t>TC-M07-021</t>
        </is>
      </c>
      <c r="B22" s="21" t="inlineStr">
        <is>
          <t>Module 07 – Training Materials</t>
        </is>
      </c>
      <c r="C22" s="22" t="inlineStr">
        <is>
          <t>M07-F05</t>
        </is>
      </c>
      <c r="D22" s="23" t="inlineStr">
        <is>
          <t>Exam Deletion</t>
        </is>
      </c>
      <c r="E22" s="23" t="inlineStr">
        <is>
          <t>Hủy bỏ thao tác xóa bài kiểm tra</t>
        </is>
      </c>
      <c r="F22" s="23" t="inlineStr">
        <is>
          <t>Kiểm tra xem bài kiểm tra không bị xóa khi hủy xác nhận.</t>
        </is>
      </c>
      <c r="G22" s="23" t="inlineStr">
        <is>
          <t>Người dùng đã đăng nhập với quyền Staff.
Bài kiểm tra "Midterm Exam" đang tồn tại.</t>
        </is>
      </c>
      <c r="H22" s="23" t="inlineStr">
        <is>
          <t>ExamName="Midterm Exam"</t>
        </is>
      </c>
      <c r="I22" s="23" t="inlineStr">
        <is>
          <t>1. Chọn bài kiểm tra "Midterm Exam".
2. Nhấp nút "Xóa" (Delete).
3. Trên hộp thoại xác nhận, chọn "Hủy" (Cancel).</t>
        </is>
      </c>
      <c r="J22" s="23" t="inlineStr">
        <is>
          <t>Hộp thoại đóng lại.
Bài kiểm tra "Midterm Exam" vẫn tồn tại bình thường.</t>
        </is>
      </c>
      <c r="K22" s="23" t="inlineStr"/>
      <c r="L22" s="24" t="inlineStr">
        <is>
          <t>Not Run</t>
        </is>
      </c>
      <c r="M22" s="29" t="inlineStr">
        <is>
          <t>Medium</t>
        </is>
      </c>
      <c r="N22" s="23" t="inlineStr">
        <is>
          <t>Liên quan đến Rule 5.5, Error Handling (Mục 9)</t>
        </is>
      </c>
    </row>
    <row r="23" ht="60" customHeight="1">
      <c r="A23" s="26" t="inlineStr">
        <is>
          <t>TC-M07-022</t>
        </is>
      </c>
      <c r="B23" s="26" t="inlineStr">
        <is>
          <t>Module 07 – Training Materials</t>
        </is>
      </c>
      <c r="C23" s="27" t="inlineStr">
        <is>
          <t>M07-F05</t>
        </is>
      </c>
      <c r="D23" s="28" t="inlineStr">
        <is>
          <t>Exam Deletion</t>
        </is>
      </c>
      <c r="E23" s="28" t="inlineStr">
        <is>
          <t>Kiểm tra không hỗ trợ lưu trữ bài kiểm tra</t>
        </is>
      </c>
      <c r="F23" s="28" t="inlineStr">
        <is>
          <t>Xác minh hệ thống không cho phép lưu trữ bài kiểm tra, chỉ có thể xóa vĩnh viễn.</t>
        </is>
      </c>
      <c r="G23" s="28" t="inlineStr">
        <is>
          <t>Người dùng đã đăng nhập với quyền Staff.
Đang ở giao diện Quản lý Bài kiểm tra.</t>
        </is>
      </c>
      <c r="H23" s="28" t="inlineStr">
        <is>
          <t>ExamName="Midterm Exam"</t>
        </is>
      </c>
      <c r="I23" s="28" t="inlineStr">
        <is>
          <t>1. Chọn bài kiểm tra "Midterm Exam".
2. Kiểm tra các nút hành động trên bài kiểm tra.</t>
        </is>
      </c>
      <c r="J23" s="28" t="inlineStr">
        <is>
          <t>Không xuất hiện tùy chọn "Lưu trữ" (Archive) đối với bài kiểm tra.</t>
        </is>
      </c>
      <c r="K23" s="28" t="inlineStr"/>
      <c r="L23" s="24" t="inlineStr">
        <is>
          <t>Not Run</t>
        </is>
      </c>
      <c r="M23" s="29" t="inlineStr">
        <is>
          <t>Medium</t>
        </is>
      </c>
      <c r="N23" s="28" t="inlineStr">
        <is>
          <t>Liên quan đến Rule 5.5, Out of Scope (Mục 13)</t>
        </is>
      </c>
    </row>
    <row r="24" ht="105" customHeight="1">
      <c r="A24" s="21" t="inlineStr">
        <is>
          <t>TC-M07-023</t>
        </is>
      </c>
      <c r="B24" s="21" t="inlineStr">
        <is>
          <t>Module 07 – Training Materials</t>
        </is>
      </c>
      <c r="C24" s="22" t="inlineStr">
        <is>
          <t>M07-F06</t>
        </is>
      </c>
      <c r="D24" s="23" t="inlineStr">
        <is>
          <t>Material Attachment</t>
        </is>
      </c>
      <c r="E24" s="23" t="inlineStr">
        <is>
          <t>Đính kèm một tài liệu hợp lệ vào Session/Exam</t>
        </is>
      </c>
      <c r="F24" s="23" t="inlineStr">
        <is>
          <t>Kiểm tra chức năng đính kèm tài liệu thành công khi nhập đủ nhãn và link Google Drive đúng định dạng.</t>
        </is>
      </c>
      <c r="G24" s="23" t="inlineStr">
        <is>
          <t>Người dùng đã đăng nhập với quyền Staff.
Đang tạo hoặc sửa một Session hoặc Exam.</t>
        </is>
      </c>
      <c r="H24" s="23" t="inlineStr">
        <is>
          <t>Label="Slides"; URL="https://drive.google.com/file/d/1A2B3C4D5E/view"</t>
        </is>
      </c>
      <c r="I24" s="23" t="inlineStr">
        <is>
          <t>1. Ở phần đính kèm tài liệu (Material Attachments), nhập Nhãn (Label) là "Slides".
2. Nhập URL là "https://drive.google.com/file/d/1A2B3C4D5E/view".
3. Nhấn "Lưu" (Save).</t>
        </is>
      </c>
      <c r="J24" s="23" t="inlineStr">
        <is>
          <t>Tài liệu được lưu thành công.
Thông tin đính kèm hiển thị chính xác dưới Session/Exam.</t>
        </is>
      </c>
      <c r="K24" s="23" t="inlineStr"/>
      <c r="L24" s="24" t="inlineStr">
        <is>
          <t>Not Run</t>
        </is>
      </c>
      <c r="M24" s="25" t="inlineStr">
        <is>
          <t>High</t>
        </is>
      </c>
      <c r="N24" s="23" t="inlineStr">
        <is>
          <t>Liên quan đến M07-F06, Mục 6 (Material Attachments)</t>
        </is>
      </c>
    </row>
    <row r="25" ht="150" customHeight="1">
      <c r="A25" s="26" t="inlineStr">
        <is>
          <t>TC-M07-024</t>
        </is>
      </c>
      <c r="B25" s="26" t="inlineStr">
        <is>
          <t>Module 07 – Training Materials</t>
        </is>
      </c>
      <c r="C25" s="27" t="inlineStr">
        <is>
          <t>M07-F06</t>
        </is>
      </c>
      <c r="D25" s="28" t="inlineStr">
        <is>
          <t>Material Attachment</t>
        </is>
      </c>
      <c r="E25" s="28" t="inlineStr">
        <is>
          <t>Đính kèm nhiều tài liệu hợp lệ vào Session/Exam</t>
        </is>
      </c>
      <c r="F25" s="28" t="inlineStr">
        <is>
          <t>Kiểm tra việc đính kèm đồng thời nhiều tài liệu hợp lệ vào cùng một bài học hoặc bài kiểm tra.</t>
        </is>
      </c>
      <c r="G25" s="28" t="inlineStr">
        <is>
          <t>Người dùng đã đăng nhập với quyền Staff.
Đang tạo hoặc sửa một Session hoặc Exam.</t>
        </is>
      </c>
      <c r="H25" s="28" t="inlineStr">
        <is>
          <t>Attachment1: Label="Slides", URL="https://drive.google.com/file/d/111/view"; Attachment2: Label="Homework", URL="https://drive.google.com/file/d/222/view"</t>
        </is>
      </c>
      <c r="I25" s="28" t="inlineStr">
        <is>
          <t>1. Ở dòng tài liệu thứ nhất, nhập Nhãn "Slides" and URL "https://drive.google.com/file/d/111/view".
2. Nhấp thêm dòng mới.
3. Ở dòng tài liệu thứ hai, nhập Nhãn "Homework" and URL "https://drive.google.com/file/d/222/view".
4. Nhấn "Lưu" (Save).</t>
        </is>
      </c>
      <c r="J25" s="28" t="inlineStr">
        <is>
          <t>Cả hai tài liệu đính kèm đều được lưu thành công và hiển thị đầy đủ trên giao diện.</t>
        </is>
      </c>
      <c r="K25" s="28" t="inlineStr"/>
      <c r="L25" s="24" t="inlineStr">
        <is>
          <t>Not Run</t>
        </is>
      </c>
      <c r="M25" s="25" t="inlineStr">
        <is>
          <t>High</t>
        </is>
      </c>
      <c r="N25" s="28" t="inlineStr">
        <is>
          <t>Liên quan đến M07-F06, Mục 6</t>
        </is>
      </c>
    </row>
    <row r="26" ht="75" customHeight="1">
      <c r="A26" s="21" t="inlineStr">
        <is>
          <t>TC-M07-025</t>
        </is>
      </c>
      <c r="B26" s="21" t="inlineStr">
        <is>
          <t>Module 07 – Training Materials</t>
        </is>
      </c>
      <c r="C26" s="22" t="inlineStr">
        <is>
          <t>M07-F06</t>
        </is>
      </c>
      <c r="D26" s="23" t="inlineStr">
        <is>
          <t>Material Attachment</t>
        </is>
      </c>
      <c r="E26" s="23" t="inlineStr">
        <is>
          <t>Đính kèm tài liệu với dòng hoàn toàn trống (bỏ qua dòng)</t>
        </is>
      </c>
      <c r="F26" s="23" t="inlineStr">
        <is>
          <t>Kiểm tra xem hệ thống tự động bỏ qua và không báo lỗi khi có dòng tài liệu trống (cả Label và URL đều rỗng).</t>
        </is>
      </c>
      <c r="G26" s="23" t="inlineStr">
        <is>
          <t>Người dùng đã đăng nhập với quyền Staff.
Đang chỉnh sửa hoặc tạo mới Session/Exam.</t>
        </is>
      </c>
      <c r="H26" s="23" t="inlineStr">
        <is>
          <t>Label=""; URL=""</t>
        </is>
      </c>
      <c r="I26" s="23" t="inlineStr">
        <is>
          <t>1. Thêm một dòng đính kèm tài liệu mới.
2. Để trống cả hai trường Nhãn (Label) và URL.
3. Nhấn "Lưu" (Save).</t>
        </is>
      </c>
      <c r="J26" s="23" t="inlineStr">
        <is>
          <t>Hệ thống lưu trữ thành công các thông tin khác.
Dòng trống tự động bị bỏ qua (skipped) mà không hiển thị bất kỳ thông báo lỗi nào.</t>
        </is>
      </c>
      <c r="K26" s="23" t="inlineStr"/>
      <c r="L26" s="24" t="inlineStr">
        <is>
          <t>Not Run</t>
        </is>
      </c>
      <c r="M26" s="29" t="inlineStr">
        <is>
          <t>Medium</t>
        </is>
      </c>
      <c r="N26" s="23" t="inlineStr">
        <is>
          <t>Liên quan đến M07-F06, Rule 6 (Empty Attachment Rows), Error Handling (Mục 9)</t>
        </is>
      </c>
    </row>
    <row r="27" ht="75" customHeight="1">
      <c r="A27" s="26" t="inlineStr">
        <is>
          <t>TC-M07-026</t>
        </is>
      </c>
      <c r="B27" s="26" t="inlineStr">
        <is>
          <t>Module 07 – Training Materials</t>
        </is>
      </c>
      <c r="C27" s="27" t="inlineStr">
        <is>
          <t>M07-F06</t>
        </is>
      </c>
      <c r="D27" s="28" t="inlineStr">
        <is>
          <t>Material Attachment</t>
        </is>
      </c>
      <c r="E27" s="28" t="inlineStr">
        <is>
          <t>Đính kèm thất bại do có Nhãn (Label) nhưng để trống URL</t>
        </is>
      </c>
      <c r="F27" s="28" t="inlineStr">
        <is>
          <t>Kiểm tra hệ thống ngăn chặn lưu và báo lỗi khi nhập nhãn tài liệu nhưng không có link.</t>
        </is>
      </c>
      <c r="G27" s="28" t="inlineStr">
        <is>
          <t>Người dùng đã đăng nhập với quyền Staff.
Đang chỉnh sửa hoặc tạo mới Session/Exam.</t>
        </is>
      </c>
      <c r="H27" s="28" t="inlineStr">
        <is>
          <t>Label="Sách tham khảo"; URL=""</t>
        </is>
      </c>
      <c r="I27" s="28" t="inlineStr">
        <is>
          <t>1. Nhập Nhãn (Label) là "Sách tham khảo".
2. Để trống trường URL.
3. Nhấn "Lưu" (Save).</t>
        </is>
      </c>
      <c r="J27" s="28" t="inlineStr">
        <is>
          <t>Hệ thống báo lỗi yêu cầu nhập URL cho tài liệu (ví dụ: "URL is required when Label is provided.").
Tài liệu không được lưu.</t>
        </is>
      </c>
      <c r="K27" s="28" t="inlineStr"/>
      <c r="L27" s="24" t="inlineStr">
        <is>
          <t>Not Run</t>
        </is>
      </c>
      <c r="M27" s="25" t="inlineStr">
        <is>
          <t>High</t>
        </is>
      </c>
      <c r="N27" s="28" t="inlineStr">
        <is>
          <t>Liên quan đến M07-F06, Validation Rules (Mục 8), Error Handling (Mục 9)</t>
        </is>
      </c>
    </row>
    <row r="28" ht="75" customHeight="1">
      <c r="A28" s="21" t="inlineStr">
        <is>
          <t>TC-M07-027</t>
        </is>
      </c>
      <c r="B28" s="21" t="inlineStr">
        <is>
          <t>Module 07 – Training Materials</t>
        </is>
      </c>
      <c r="C28" s="22" t="inlineStr">
        <is>
          <t>M07-F06</t>
        </is>
      </c>
      <c r="D28" s="23" t="inlineStr">
        <is>
          <t>Material Attachment</t>
        </is>
      </c>
      <c r="E28" s="23" t="inlineStr">
        <is>
          <t>Đính kèm thất bại do có URL nhưng để trống Nhãn (Label)</t>
        </is>
      </c>
      <c r="F28" s="23" t="inlineStr">
        <is>
          <t>Kiểm tra hệ thống ngăn chặn lưu và báo lỗi khi nhập link tài liệu nhưng để trống nhãn.</t>
        </is>
      </c>
      <c r="G28" s="23" t="inlineStr">
        <is>
          <t>Người dùng đã đăng nhập với quyền Staff.
Đang chỉnh sửa hoặc tạo mới Session/Exam.</t>
        </is>
      </c>
      <c r="H28" s="23" t="inlineStr">
        <is>
          <t>Label=""; URL="https://drive.google.com/file/d/1A2B3/view"</t>
        </is>
      </c>
      <c r="I28" s="23" t="inlineStr">
        <is>
          <t>1. Để trống trường Nhãn (Label).
2. Nhập URL là "https://drive.google.com/file/d/1A2B3/view".
3. Nhấn "Lưu" (Save).</t>
        </is>
      </c>
      <c r="J28" s="23" t="inlineStr">
        <is>
          <t>Hệ thống báo lỗi yêu cầu nhập Nhãn cho tài liệu (ví dụ: "Label is required when URL is provided.").
Tài liệu không được lưu.</t>
        </is>
      </c>
      <c r="K28" s="23" t="inlineStr"/>
      <c r="L28" s="24" t="inlineStr">
        <is>
          <t>Not Run</t>
        </is>
      </c>
      <c r="M28" s="25" t="inlineStr">
        <is>
          <t>High</t>
        </is>
      </c>
      <c r="N28" s="23" t="inlineStr">
        <is>
          <t>Liên quan đến M07-F06, Validation Rules (Mục 8), Error Handling (Mục 9)</t>
        </is>
      </c>
    </row>
    <row r="29" ht="75" customHeight="1">
      <c r="A29" s="26" t="inlineStr">
        <is>
          <t>TC-M07-028</t>
        </is>
      </c>
      <c r="B29" s="26" t="inlineStr">
        <is>
          <t>Module 07 – Training Materials</t>
        </is>
      </c>
      <c r="C29" s="27" t="inlineStr">
        <is>
          <t>M07-F06</t>
        </is>
      </c>
      <c r="D29" s="28" t="inlineStr">
        <is>
          <t>Material Attachment</t>
        </is>
      </c>
      <c r="E29" s="28" t="inlineStr">
        <is>
          <t>Đính kèm thất bại do link không phải Google Drive</t>
        </is>
      </c>
      <c r="F29" s="28" t="inlineStr">
        <is>
          <t>Kiểm tra hệ thống ngăn chặn lưu và báo lỗi định dạng khi nhập link từ dịch vụ lưu trữ khác.</t>
        </is>
      </c>
      <c r="G29" s="28" t="inlineStr">
        <is>
          <t>Người dùng đã đăng nhập với quyền Staff.
Đang chỉnh sửa hoặc tạo mới Session/Exam.</t>
        </is>
      </c>
      <c r="H29" s="28" t="inlineStr">
        <is>
          <t>Label="Tài liệu"; URL="https://dropbox.com/s/abcdef"</t>
        </is>
      </c>
      <c r="I29" s="28" t="inlineStr">
        <is>
          <t>1. Nhập Nhãn "Tài liệu".
2. Nhập URL là "https://dropbox.com/s/abcdef".
3. Nhấn "Lưu" (Save).</t>
        </is>
      </c>
      <c r="J29" s="28" t="inlineStr">
        <is>
          <t>Hệ thống hiển thị lỗi kiểm tra định dạng URL (ví dụ: "Must start with https://drive.google.com/").
Tài liệu không được lưu.</t>
        </is>
      </c>
      <c r="K29" s="28" t="inlineStr"/>
      <c r="L29" s="24" t="inlineStr">
        <is>
          <t>Not Run</t>
        </is>
      </c>
      <c r="M29" s="25" t="inlineStr">
        <is>
          <t>High</t>
        </is>
      </c>
      <c r="N29" s="28" t="inlineStr">
        <is>
          <t>Liên quan đến M07-F06, Validation Rules (Mục 8), Error Handling (Mục 9)</t>
        </is>
      </c>
    </row>
    <row r="30" ht="150" customHeight="1">
      <c r="A30" s="21" t="inlineStr">
        <is>
          <t>TC-M07-029</t>
        </is>
      </c>
      <c r="B30" s="21" t="inlineStr">
        <is>
          <t>Module 07 – Training Materials</t>
        </is>
      </c>
      <c r="C30" s="22" t="inlineStr">
        <is>
          <t>M07-F07</t>
        </is>
      </c>
      <c r="D30" s="23" t="inlineStr">
        <is>
          <t>CSV Export / Import</t>
        </is>
      </c>
      <c r="E30" s="23" t="inlineStr">
        <is>
          <t>Xuất danh sách Session ra file CSV (Export CSV)</t>
        </is>
      </c>
      <c r="F30" s="23" t="inlineStr">
        <is>
          <t>Kiểm tra chức năng tải file CSV chứa thông tin các bài học của khóa học hiện tại.</t>
        </is>
      </c>
      <c r="G30" s="23" t="inlineStr">
        <is>
          <t>Người dùng đã đăng nhập với quyền Staff.
Đang ở giao diện danh sách Session của khóa học "Java Programming" chứa các bài học và tài liệu.</t>
        </is>
      </c>
      <c r="H30" s="23" t="inlineStr">
        <is>
          <t>None</t>
        </is>
      </c>
      <c r="I30" s="23" t="inlineStr">
        <is>
          <t>1. Nhấp nút "Xuất CSV" (Export CSV).</t>
        </is>
      </c>
      <c r="J30" s="23" t="inlineStr">
        <is>
          <t>Hệ thống tải về một file CSV thành công.
File CSV có các cột: Session ID, Session Name, Lesson Number, Description.
Thông tin các bài học khớp với danh sách hiển thị trên hệ thống.
Tài liệu đính kèm (Google Drive link) KHÔNG được xuất hiện trong file.</t>
        </is>
      </c>
      <c r="K30" s="23" t="inlineStr"/>
      <c r="L30" s="24" t="inlineStr">
        <is>
          <t>Not Run</t>
        </is>
      </c>
      <c r="M30" s="25" t="inlineStr">
        <is>
          <t>High</t>
        </is>
      </c>
      <c r="N30" s="23" t="inlineStr">
        <is>
          <t>Liên quan đến M07-F07, Rule 7 (Export)</t>
        </is>
      </c>
    </row>
    <row r="31" ht="120" customHeight="1">
      <c r="A31" s="26" t="inlineStr">
        <is>
          <t>TC-M07-030</t>
        </is>
      </c>
      <c r="B31" s="26" t="inlineStr">
        <is>
          <t>Module 07 – Training Materials</t>
        </is>
      </c>
      <c r="C31" s="27" t="inlineStr">
        <is>
          <t>M07-F07</t>
        </is>
      </c>
      <c r="D31" s="28" t="inlineStr">
        <is>
          <t>CSV Export / Import</t>
        </is>
      </c>
      <c r="E31" s="28" t="inlineStr">
        <is>
          <t>Nhập CSV - Cập nhật thông tin Session đã tồn tại</t>
        </is>
      </c>
      <c r="F31" s="28" t="inlineStr">
        <is>
          <t>Kiểm tra hệ thống cập nhật chính xác tên, số bài và mô tả của session khi Session ID trong file CSV trùng khớp với session có sẵn.</t>
        </is>
      </c>
      <c r="G31" s="28" t="inlineStr">
        <is>
          <t>Người dùng đã đăng nhập với quyền Staff.
Bài học với ID "S001" đã tồn tại dưới khóa học "Java Programming" có tên cũ là "OOP Intro".</t>
        </is>
      </c>
      <c r="H31" s="28" t="inlineStr">
        <is>
          <t>File CSV chứa dòng: Session ID="S001"; Session Name="OOP Basics"; Lesson Number="1"; Description="Giới thiệu hướng đối tượng"</t>
        </is>
      </c>
      <c r="I31" s="28" t="inlineStr">
        <is>
          <t>1. Chọn khóa học "Java Programming".
2. Nhấp chọn "Nhập CSV" (Import CSV).
3. Tải lên file CSV chứa dữ liệu cập nhật cho ID "S001".
4. Nhấp "Xác nhận".</t>
        </is>
      </c>
      <c r="J31" s="28" t="inlineStr">
        <is>
          <t>Hệ thống hiển thị thông báo nhập dữ liệu thành công.
Bài học có ID "S001" được cập nhật thành công với tên "OOP Basics", số bài "1", mô tả "Giới thiệu hướng đối tượng".
Các tài liệu đính kèm trước đó của bài học này vẫn được giữ nguyên.</t>
        </is>
      </c>
      <c r="K31" s="28" t="inlineStr"/>
      <c r="L31" s="24" t="inlineStr">
        <is>
          <t>Not Run</t>
        </is>
      </c>
      <c r="M31" s="25" t="inlineStr">
        <is>
          <t>High</t>
        </is>
      </c>
      <c r="N31" s="28" t="inlineStr">
        <is>
          <t>Liên quan đến M07-F07, Rule 7.1 (Existing Session)</t>
        </is>
      </c>
    </row>
    <row r="32" ht="120" customHeight="1">
      <c r="A32" s="21" t="inlineStr">
        <is>
          <t>TC-M07-031</t>
        </is>
      </c>
      <c r="B32" s="21" t="inlineStr">
        <is>
          <t>Module 07 – Training Materials</t>
        </is>
      </c>
      <c r="C32" s="22" t="inlineStr">
        <is>
          <t>M07-F07</t>
        </is>
      </c>
      <c r="D32" s="23" t="inlineStr">
        <is>
          <t>CSV Export / Import</t>
        </is>
      </c>
      <c r="E32" s="23" t="inlineStr">
        <is>
          <t>Nhập CSV - Tạo bài học mới khi để trống Session ID</t>
        </is>
      </c>
      <c r="F32" s="23" t="inlineStr">
        <is>
          <t>Kiểm tra hệ thống tự động tạo mới một bài học nếu cột Session ID trong dòng CSV bị bỏ trống.</t>
        </is>
      </c>
      <c r="G32" s="23" t="inlineStr">
        <is>
          <t>Người dùng đã đăng nhập với quyền Staff.
Đang chọn khóa học "Java Programming".</t>
        </is>
      </c>
      <c r="H32" s="23" t="inlineStr">
        <is>
          <t>File CSV chứa dòng: Session ID=""; Session Name="OOP Polymorphism"; Lesson Number="3"; Description="Tính đa hình"</t>
        </is>
      </c>
      <c r="I32" s="23" t="inlineStr">
        <is>
          <t>1. Chọn khóa học "Java Programming".
2. Nhấp chọn "Nhập CSV" (Import CSV).
3. Tải lên file CSV có cột ID để trống.
4. Nhấp "Xác nhận".</t>
        </is>
      </c>
      <c r="J32" s="23" t="inlineStr">
        <is>
          <t>Hệ thống hiển thị thông báo nhập dữ liệu thành công.
Một bài học mới được tạo ra dưới khóa học "Java Programming" với tên "OOP Polymorphism", số bài học "3" và mô tả "Tính đa hình".
Hệ thống tự động cấp phát một ID mới cho session này.</t>
        </is>
      </c>
      <c r="K32" s="23" t="inlineStr"/>
      <c r="L32" s="24" t="inlineStr">
        <is>
          <t>Not Run</t>
        </is>
      </c>
      <c r="M32" s="25" t="inlineStr">
        <is>
          <t>High</t>
        </is>
      </c>
      <c r="N32" s="23" t="inlineStr">
        <is>
          <t>Liên quan đến M07-F07, Rule 7.2 (New Session)</t>
        </is>
      </c>
    </row>
    <row r="33" ht="105" customHeight="1">
      <c r="A33" s="26" t="inlineStr">
        <is>
          <t>TC-M07-032</t>
        </is>
      </c>
      <c r="B33" s="26" t="inlineStr">
        <is>
          <t>Module 07 – Training Materials</t>
        </is>
      </c>
      <c r="C33" s="27" t="inlineStr">
        <is>
          <t>M07-F07</t>
        </is>
      </c>
      <c r="D33" s="28" t="inlineStr">
        <is>
          <t>CSV Export / Import</t>
        </is>
      </c>
      <c r="E33" s="28" t="inlineStr">
        <is>
          <t>Nhập CSV - Tạo bài học mới khi Session ID không tồn tại trên hệ thống</t>
        </is>
      </c>
      <c r="F33" s="28" t="inlineStr">
        <is>
          <t>Kiểm tra hệ thống tự động tạo mới bài học nếu Session ID trong CSV không trùng khớp với bất kỳ bài học hiện có nào.</t>
        </is>
      </c>
      <c r="G33" s="28" t="inlineStr">
        <is>
          <t>Người dùng đã đăng nhập với quyền Staff.
Khóa học "Java Programming" không có bài học nào mang ID "S999".</t>
        </is>
      </c>
      <c r="H33" s="28" t="inlineStr">
        <is>
          <t>File CSV chứa dòng: Session ID="S999"; Session Name="Exception Handling"; Lesson Number="4"; Description="Xử lý ngoại lệ"</t>
        </is>
      </c>
      <c r="I33" s="28" t="inlineStr">
        <is>
          <t>1. Chọn khóa học "Java Programming".
2. Nhấp chọn "Nhập CSV" (Import CSV).
3. Tải lên file CSV chứa dòng có ID là "S999".
4. Nhấp "Xác nhận".</t>
        </is>
      </c>
      <c r="J33" s="28" t="inlineStr">
        <is>
          <t>Hệ thống hiển thị thông báo nhập dữ liệu thành công.
Một bài học mới được tạo ra với ID mới được tạo hoặc cập nhật theo hệ thống, tên "Exception Handling" được gán dưới khóa học.</t>
        </is>
      </c>
      <c r="K33" s="28" t="inlineStr"/>
      <c r="L33" s="24" t="inlineStr">
        <is>
          <t>Not Run</t>
        </is>
      </c>
      <c r="M33" s="25" t="inlineStr">
        <is>
          <t>High</t>
        </is>
      </c>
      <c r="N33" s="28" t="inlineStr">
        <is>
          <t>Liên quan đến M07-F07, Rule 7.2 (New Session)</t>
        </is>
      </c>
    </row>
    <row r="34" ht="90" customHeight="1">
      <c r="A34" s="21" t="inlineStr">
        <is>
          <t>TC-M07-033</t>
        </is>
      </c>
      <c r="B34" s="21" t="inlineStr">
        <is>
          <t>Module 07 – Training Materials</t>
        </is>
      </c>
      <c r="C34" s="22" t="inlineStr">
        <is>
          <t>M07-F07</t>
        </is>
      </c>
      <c r="D34" s="23" t="inlineStr">
        <is>
          <t>CSV Export / Import</t>
        </is>
      </c>
      <c r="E34" s="23" t="inlineStr">
        <is>
          <t>Nhập CSV - Các bài học hiện tại không có trong CSV sẽ giữ nguyên</t>
        </is>
      </c>
      <c r="F34" s="23" t="inlineStr">
        <is>
          <t>Kiểm tra xem hệ thống có bảo toàn các bài học sẵn có của khóa học nếu chúng không được liệt kê trong file CSV tải lên.</t>
        </is>
      </c>
      <c r="G34" s="23" t="inlineStr">
        <is>
          <t>Người dùng đã đăng nhập với quyền Staff.
Khóa học "Java Programming" đang có 2 bài học sẵn có: "S001" và "S002".</t>
        </is>
      </c>
      <c r="H34" s="23" t="inlineStr">
        <is>
          <t>File CSV chỉ chứa thông tin cập nhật cho bài học "S001". Bài học "S002" hoàn toàn không có trong file.</t>
        </is>
      </c>
      <c r="I34" s="23" t="inlineStr">
        <is>
          <t>1. Nhấp chọn "Nhập CSV" (Import CSV).
2. Tải lên file CSV chỉ có thông tin cho bài học "S001".
3. Nhấp "Xác nhận".</t>
        </is>
      </c>
      <c r="J34" s="23" t="inlineStr">
        <is>
          <t>Hệ thống thông báo nhập thành công.
Bài học "S001" được cập nhật.
Bài học "S002" vẫn tồn tại nguyên vẹn dưới khóa học "Java Programming" mà không bị xóa đi.</t>
        </is>
      </c>
      <c r="K34" s="23" t="inlineStr"/>
      <c r="L34" s="24" t="inlineStr">
        <is>
          <t>Not Run</t>
        </is>
      </c>
      <c r="M34" s="25" t="inlineStr">
        <is>
          <t>High</t>
        </is>
      </c>
      <c r="N34" s="23" t="inlineStr">
        <is>
          <t>Liên quan đến M07-F07, Rule 7.3 (Missing Sessions)</t>
        </is>
      </c>
    </row>
    <row r="35" ht="120" customHeight="1">
      <c r="A35" s="26" t="inlineStr">
        <is>
          <t>TC-M07-034</t>
        </is>
      </c>
      <c r="B35" s="26" t="inlineStr">
        <is>
          <t>Module 07 – Training Materials</t>
        </is>
      </c>
      <c r="C35" s="27" t="inlineStr">
        <is>
          <t>M07-F07</t>
        </is>
      </c>
      <c r="D35" s="28" t="inlineStr">
        <is>
          <t>CSV Export / Import</t>
        </is>
      </c>
      <c r="E35" s="28" t="inlineStr">
        <is>
          <t>Nhập CSV - Bỏ qua cột Materials trong file CSV tải lên</t>
        </is>
      </c>
      <c r="F35" s="28" t="inlineStr">
        <is>
          <t>Kiểm tra xem hệ thống có bỏ qua cột Materials và không ghi đè hoặc gây lỗi nếu file CSV chứa cột này.</t>
        </is>
      </c>
      <c r="G35" s="28" t="inlineStr">
        <is>
          <t>Người dùng đã đăng nhập với quyền Staff.
Bài học "S001" đang có sẵn một tài liệu đính kèm là "Slides".</t>
        </is>
      </c>
      <c r="H35" s="28" t="inlineStr">
        <is>
          <t>File CSV chứa các cột: Session ID, Session Name, Lesson Number, Description, Materials. Dòng dữ liệu: S001, OOP Basics, 1, Giới thiệu hướng đối tượng, https://drive.google.com/some-link-to-ignore</t>
        </is>
      </c>
      <c r="I35" s="28" t="inlineStr">
        <is>
          <t>1. Chọn khóa học.
2. Nhấp chọn "Nhập CSV" (Import CSV).
3. Tải lên file CSV có chứa cột Materials với giá trị link bất kỳ.
4. Nhấp "Xác nhận".</t>
        </is>
      </c>
      <c r="J35" s="28" t="inlineStr">
        <is>
          <t>Hệ thống hiển thị thông báo nhập thành công.
Thông tin Session được cập nhật.
Tài liệu đính kèm "Slides" ban đầu của Session "S001" vẫn được giữ nguyên. Link trong cột Materials của file CSV hoàn toàn bị bỏ qua.</t>
        </is>
      </c>
      <c r="K35" s="28" t="inlineStr"/>
      <c r="L35" s="24" t="inlineStr">
        <is>
          <t>Not Run</t>
        </is>
      </c>
      <c r="M35" s="25" t="inlineStr">
        <is>
          <t>High</t>
        </is>
      </c>
      <c r="N35" s="28" t="inlineStr">
        <is>
          <t>Liên quan đến M07-F07, Rule 7.4 (Materials Column)</t>
        </is>
      </c>
    </row>
    <row r="36" ht="90" customHeight="1">
      <c r="A36" s="21" t="inlineStr">
        <is>
          <t>TC-M07-035</t>
        </is>
      </c>
      <c r="B36" s="21" t="inlineStr">
        <is>
          <t>Module 07 – Training Materials</t>
        </is>
      </c>
      <c r="C36" s="22" t="inlineStr">
        <is>
          <t>M07-F07</t>
        </is>
      </c>
      <c r="D36" s="23" t="inlineStr">
        <is>
          <t>CSV Export / Import</t>
        </is>
      </c>
      <c r="E36" s="23" t="inlineStr">
        <is>
          <t>Nhập CSV thất bại do chọn sai định dạng tệp (không phải CSV)</t>
        </is>
      </c>
      <c r="F36" s="23" t="inlineStr">
        <is>
          <t>Kiểm tra hệ thống từ chối tải lên và thông báo lỗi khi người dùng chọn tệp không phải đuôi .csv.</t>
        </is>
      </c>
      <c r="G36" s="23" t="inlineStr">
        <is>
          <t>Người dùng đã đăng nhập với quyền Staff.
Đang ở giao diện Nhập CSV của khóa học.</t>
        </is>
      </c>
      <c r="H36" s="23" t="inlineStr">
        <is>
          <t>Tệp tin: document.docx hoặc image.png</t>
        </is>
      </c>
      <c r="I36" s="23" t="inlineStr">
        <is>
          <t>1. Nhấp chọn nút "Nhập CSV".
2. Chọn tải lên tệp tin "document.docx".
3. Nhấp nút "Xác nhận" hoặc hệ thống chặn ngay khi chọn tệp.</t>
        </is>
      </c>
      <c r="J36" s="23" t="inlineStr">
        <is>
          <t>Hệ thống từ chối tệp tin và hiển thị thông báo lỗi định dạng tệp không hợp lệ (ví dụ: "Invalid file format. Please upload a CSV file.").
Không có hành động nhập dữ liệu nào được thực hiện.</t>
        </is>
      </c>
      <c r="K36" s="23" t="inlineStr"/>
      <c r="L36" s="24" t="inlineStr">
        <is>
          <t>Not Run</t>
        </is>
      </c>
      <c r="M36" s="25" t="inlineStr">
        <is>
          <t>High</t>
        </is>
      </c>
      <c r="N36" s="23" t="inlineStr">
        <is>
          <t>Liên quan đến Error Handling (Mục 9)</t>
        </is>
      </c>
    </row>
    <row r="37" ht="75" customHeight="1">
      <c r="A37" s="26" t="inlineStr">
        <is>
          <t>TC-M07-036</t>
        </is>
      </c>
      <c r="B37" s="26" t="inlineStr">
        <is>
          <t>Module 07 – Training Materials</t>
        </is>
      </c>
      <c r="C37" s="27" t="inlineStr">
        <is>
          <t>M07-F07</t>
        </is>
      </c>
      <c r="D37" s="28" t="inlineStr">
        <is>
          <t>CSV Export / Import</t>
        </is>
      </c>
      <c r="E37" s="28" t="inlineStr">
        <is>
          <t>Nhập CSV thất bại đối với dòng thiếu thông tin Tên bài học</t>
        </is>
      </c>
      <c r="F37" s="28" t="inlineStr">
        <is>
          <t>Kiểm tra hệ thống ngăn chặn việc tạo session mới qua CSV nếu dòng đó thiếu Tên bài học.</t>
        </is>
      </c>
      <c r="G37" s="28" t="inlineStr">
        <is>
          <t>Người dùng đã đăng nhập với quyền Staff.
Đang chọn khóa học "Java Programming".</t>
        </is>
      </c>
      <c r="H37" s="28" t="inlineStr">
        <is>
          <t>File CSV chứa dòng: Session ID=""; Session Name=""; Lesson Number="5"; Description="Bài học thiếu tên"</t>
        </is>
      </c>
      <c r="I37" s="28" t="inlineStr">
        <is>
          <t>1. Nhấp chọn "Nhập CSV" (Import CSV).
2. Tải lên file CSV chứa dòng dữ liệu lỗi nói trên.
3. Nhấn "Xác nhận".</t>
        </is>
      </c>
      <c r="J37" s="28" t="inlineStr">
        <is>
          <t>Hệ thống báo lỗi kiểm tra dữ liệu ở dòng tương ứng (ví dụ: "Row X: Session Name is required.").
Dòng lỗi đó không được import vào hệ thống.</t>
        </is>
      </c>
      <c r="K37" s="28" t="inlineStr"/>
      <c r="L37" s="24" t="inlineStr">
        <is>
          <t>Not Run</t>
        </is>
      </c>
      <c r="M37" s="25" t="inlineStr">
        <is>
          <t>High</t>
        </is>
      </c>
      <c r="N37" s="28" t="inlineStr">
        <is>
          <t>Liên quan đến Validation Rules (Mục 8), Error Handling (Mục 9)</t>
        </is>
      </c>
    </row>
    <row r="38" ht="75" customHeight="1">
      <c r="A38" s="21" t="inlineStr">
        <is>
          <t>TC-M07-037</t>
        </is>
      </c>
      <c r="B38" s="21" t="inlineStr">
        <is>
          <t>Module 07 – Training Materials</t>
        </is>
      </c>
      <c r="C38" s="22" t="inlineStr">
        <is>
          <t>M07-SEC</t>
        </is>
      </c>
      <c r="D38" s="23" t="inlineStr">
        <is>
          <t>Access Control &amp; Security</t>
        </is>
      </c>
      <c r="E38" s="23" t="inlineStr">
        <is>
          <t>Quyền truy cập - Staff truy cập và thao tác đầy đủ tính năng</t>
        </is>
      </c>
      <c r="F38" s="23" t="inlineStr">
        <is>
          <t>Xác minh tài khoản có email domain @passerellesnumeriques.org được cấp toàn quyền quản trị module.</t>
        </is>
      </c>
      <c r="G38" s="23" t="inlineStr">
        <is>
          <t>Người dùng đã đăng nhập bằng Google OAuth với tài khoản staff@passerellesnumeriques.org.</t>
        </is>
      </c>
      <c r="H38" s="23" t="inlineStr">
        <is>
          <t>Role="Staff"</t>
        </is>
      </c>
      <c r="I38" s="23" t="inlineStr">
        <is>
          <t>1. Truy cập vào trang Quản lý Tài liệu học tập.
2. Thực hiện các thao tác: Đổi tên Category, Thêm khóa học, Xóa bài học, Nhập/Xuất CSV.</t>
        </is>
      </c>
      <c r="J38" s="23" t="inlineStr">
        <is>
          <t>Người dùng truy cập thành công.
Tất cả các nút chức năng hoạt động bình thường mà không bị chặn quyền.</t>
        </is>
      </c>
      <c r="K38" s="23" t="inlineStr"/>
      <c r="L38" s="24" t="inlineStr">
        <is>
          <t>Not Run</t>
        </is>
      </c>
      <c r="M38" s="25" t="inlineStr">
        <is>
          <t>High</t>
        </is>
      </c>
      <c r="N38" s="23" t="inlineStr">
        <is>
          <t>Liên quan đến Docs/docs.md Mục 4 (User Roles)</t>
        </is>
      </c>
    </row>
    <row r="39" ht="135" customHeight="1">
      <c r="A39" s="26" t="inlineStr">
        <is>
          <t>TC-M07-038</t>
        </is>
      </c>
      <c r="B39" s="26" t="inlineStr">
        <is>
          <t>Module 07 – Training Materials</t>
        </is>
      </c>
      <c r="C39" s="27" t="inlineStr">
        <is>
          <t>M07-SEC</t>
        </is>
      </c>
      <c r="D39" s="28" t="inlineStr">
        <is>
          <t>Access Control &amp; Security</t>
        </is>
      </c>
      <c r="E39" s="28" t="inlineStr">
        <is>
          <t>Quyền truy cập - Học viên (Student) bị hạn chế các quyền quản lý</t>
        </is>
      </c>
      <c r="F39" s="28" t="inlineStr">
        <is>
          <t>Xác minh tài khoản học viên có email domain @student.passerellesnumeriques.org không thể thực hiện các thao tác quản lý (Thêm/Sửa/Xóa/Archive/Import/Export) trên module.</t>
        </is>
      </c>
      <c r="G39" s="28" t="inlineStr">
        <is>
          <t>Người dùng đã đăng nhập bằng Google OAuth với tài khoản student@student.passerellesnumeriques.org.</t>
        </is>
      </c>
      <c r="H39" s="28" t="inlineStr">
        <is>
          <t>Role="Student"</t>
        </is>
      </c>
      <c r="I39" s="28" t="inlineStr">
        <is>
          <t>1. Cố gắng truy cập trực tiếp vào đường dẫn Quản lý Tài liệu học tập (nếu có), hoặc kiểm tra giao diện Student Portal.
2. Quan sát sự tồn tại của các nút chức năng đổi tên, thêm khóa học, xóa bài học, import CSV.</t>
        </is>
      </c>
      <c r="J39" s="28" t="inlineStr">
        <is>
          <t>Học viên không có quyền truy cập vào trang quản trị Staff.
Không hiển thị các nút chức năng quản lý tài liệu học tập trên màn hình dành cho học viên.
Hệ thống hiển thị thông báo lỗi hoặc từ chối truy cập (Access Denied) nếu cố truy cập qua URL trực tiếp.</t>
        </is>
      </c>
      <c r="K39" s="28" t="inlineStr"/>
      <c r="L39" s="24" t="inlineStr">
        <is>
          <t>Not Run</t>
        </is>
      </c>
      <c r="M39" s="25" t="inlineStr">
        <is>
          <t>High</t>
        </is>
      </c>
      <c r="N39" s="28" t="inlineStr">
        <is>
          <t>Liên quan đến Docs/docs.md Mục 4 (User Roles)</t>
        </is>
      </c>
    </row>
    <row r="40" ht="75" customHeight="1">
      <c r="A40" s="21" t="inlineStr">
        <is>
          <t>TC-M07-039</t>
        </is>
      </c>
      <c r="B40" s="21" t="inlineStr">
        <is>
          <t>Module 07 – Training Materials</t>
        </is>
      </c>
      <c r="C40" s="22" t="inlineStr">
        <is>
          <t>M07-SEC</t>
        </is>
      </c>
      <c r="D40" s="23" t="inlineStr">
        <is>
          <t>Access Control &amp; Security</t>
        </is>
      </c>
      <c r="E40" s="23" t="inlineStr">
        <is>
          <t>Quyền truy cập - Domain lạ bị từ chối truy cập hệ thống</t>
        </is>
      </c>
      <c r="F40" s="23" t="inlineStr">
        <is>
          <t>Kiểm tra hệ thống từ chối truy cập ngay lập tức đối với email không thuộc 2 domain được cấu hình.</t>
        </is>
      </c>
      <c r="G40" s="23" t="inlineStr">
        <is>
          <t>Người dùng đã đăng nhập bằng Google OAuth với tài khoản user@gmail.com.</t>
        </is>
      </c>
      <c r="H40" s="23" t="inlineStr">
        <is>
          <t>Role="Unknown"</t>
        </is>
      </c>
      <c r="I40" s="23" t="inlineStr">
        <is>
          <t>1. Cố gắng truy cập vào hệ thống Academic Portal.</t>
        </is>
      </c>
      <c r="J40" s="23" t="inlineStr">
        <is>
          <t>Hệ thống hiển thị trang từ chối truy cập (Access Denied).
Không hiển thị bất kỳ thông tin nào về các danh mục tài liệu hoặc khóa học.</t>
        </is>
      </c>
      <c r="K40" s="23" t="inlineStr"/>
      <c r="L40" s="24" t="inlineStr">
        <is>
          <t>Not Run</t>
        </is>
      </c>
      <c r="M40" s="25" t="inlineStr">
        <is>
          <t>High</t>
        </is>
      </c>
      <c r="N40" s="23" t="inlineStr">
        <is>
          <t>Liên quan đến Docs/docs.md Mục 4 &amp; Mục 6 (Authentication Flow)</t>
        </is>
      </c>
    </row>
    <row r="41" ht="120" customHeight="1">
      <c r="A41" s="26" t="inlineStr">
        <is>
          <t>TC-M07-040</t>
        </is>
      </c>
      <c r="B41" s="26" t="inlineStr">
        <is>
          <t>Module 07 – Training Materials</t>
        </is>
      </c>
      <c r="C41" s="27" t="inlineStr">
        <is>
          <t>M07-F03</t>
        </is>
      </c>
      <c r="D41" s="28" t="inlineStr">
        <is>
          <t>Course Archiving / Restoring</t>
        </is>
      </c>
      <c r="E41" s="28" t="inlineStr">
        <is>
          <t>Kiểm tra ẩn tự động tất cả Session/Exam con khi Lưu trữ khóa học</t>
        </is>
      </c>
      <c r="F41" s="28" t="inlineStr">
        <is>
          <t>Xác minh rằng khi lưu trữ một khóa học, tất cả các bài học (session) và bài kiểm tra (exam) thuộc khóa học đó tự động biến mất khỏi giao diện chung của người dùng, nhưng dữ liệu vẫn tồn tại trong cơ sở dữ liệu.</t>
        </is>
      </c>
      <c r="G41" s="28" t="inlineStr">
        <is>
          <t>Người dùng đã đăng nhập với quyền Staff.
Khóa học "Java Programming" đang hoạt động và có bài học "Session 01" cùng bài kiểm tra "Midterm Exam" đang hiển thị.</t>
        </is>
      </c>
      <c r="H41" s="28" t="inlineStr">
        <is>
          <t>CourseName="Java Programming"</t>
        </is>
      </c>
      <c r="I41" s="28" t="inlineStr">
        <is>
          <t>1. Thực hiện lưu trữ khóa học "Java Programming".
2. Truy cập hoặc kiểm tra danh sách bài học và bài kiểm tra trên giao diện hiển thị tài liệu chung.</t>
        </is>
      </c>
      <c r="J41" s="28" t="inlineStr">
        <is>
          <t>Khóa học chuyển sang trạng thái đã lưu trữ.
Bài học "Session 01" và bài kiểm tra "Midterm Exam" không còn xuất hiện trên giao diện hiển thị tài liệu học tập chung.
Kiểm tra cơ sở dữ liệu để đảm bảo các bản ghi này vẫn tồn tại.</t>
        </is>
      </c>
      <c r="K41" s="28" t="inlineStr"/>
      <c r="L41" s="24" t="inlineStr">
        <is>
          <t>Not Run</t>
        </is>
      </c>
      <c r="M41" s="25" t="inlineStr">
        <is>
          <t>High</t>
        </is>
      </c>
      <c r="N41" s="28" t="inlineStr">
        <is>
          <t>Liên quan đến M07-F03, Rule 5.3</t>
        </is>
      </c>
    </row>
    <row r="42" ht="90" customHeight="1">
      <c r="A42" s="21" t="inlineStr">
        <is>
          <t>TC-M07-041</t>
        </is>
      </c>
      <c r="B42" s="21" t="inlineStr">
        <is>
          <t>Module 07 – Training Materials</t>
        </is>
      </c>
      <c r="C42" s="22" t="inlineStr">
        <is>
          <t>M07-F03</t>
        </is>
      </c>
      <c r="D42" s="23" t="inlineStr">
        <is>
          <t>Course Archiving / Restoring</t>
        </is>
      </c>
      <c r="E42" s="23" t="inlineStr">
        <is>
          <t>Kiểm tra khôi phục hiển thị tất cả Session/Exam con khi Khôi phục khóa học</t>
        </is>
      </c>
      <c r="F42" s="23" t="inlineStr">
        <is>
          <t>Xác minh rằng khi khôi phục một khóa học đã lưu trữ, tất cả các bài học (session) và bài kiểm tra (exam) thuộc khóa học đó tự động hiển thị trở lại trên giao diện.</t>
        </is>
      </c>
      <c r="G42" s="23" t="inlineStr">
        <is>
          <t>Người dùng đã đăng nhập với quyền Staff.
Khóa học "Java Programming" đang ở trạng thái Lưu trữ (Archived), các bài học và bài kiểm tra con đang bị ẩn hiển thị.</t>
        </is>
      </c>
      <c r="H42" s="23" t="inlineStr">
        <is>
          <t>CourseName="Java Programming"</t>
        </is>
      </c>
      <c r="I42" s="23" t="inlineStr">
        <is>
          <t>1. Thực hiện khôi phục khóa học "Java Programming".
2. Truy cập vào giao diện hiển thị bài học và bài kiểm tra của khóa học này.</t>
        </is>
      </c>
      <c r="J42" s="23" t="inlineStr">
        <is>
          <t>Khóa học chuyển sang trạng thái Hoạt động (Active).
Bài học "Session 01" và bài kiểm tra "Midterm Exam" tự động xuất hiện trở lại trên giao diện hiển thị và có thể xem/chỉnh sửa bình thường.</t>
        </is>
      </c>
      <c r="K42" s="23" t="inlineStr"/>
      <c r="L42" s="24" t="inlineStr">
        <is>
          <t>Not Run</t>
        </is>
      </c>
      <c r="M42" s="25" t="inlineStr">
        <is>
          <t>High</t>
        </is>
      </c>
      <c r="N42" s="23" t="inlineStr">
        <is>
          <t>Liên quan đến M07-F03, Rule 5.3</t>
        </is>
      </c>
    </row>
  </sheetData>
  <autoFilter ref="A1:N42"/>
  <dataValidations count="2">
    <dataValidation sqref="L2:L142" showDropDown="0" showInputMessage="0" showErrorMessage="0" allowBlank="1" errorTitle="Invalid Status" error="Please select a valid state: Passed, Failed, or Not Run" type="list">
      <formula1>"Passed,Failed,Not Run"</formula1>
    </dataValidation>
    <dataValidation sqref="M2:M14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1"/>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80" customHeight="1">
      <c r="A2" s="21" t="inlineStr">
        <is>
          <t>TC-M08-001</t>
        </is>
      </c>
      <c r="B2" s="21" t="inlineStr">
        <is>
          <t>Module 08 – Profile Photo Management</t>
        </is>
      </c>
      <c r="C2" s="22" t="inlineStr">
        <is>
          <t>M08-F01</t>
        </is>
      </c>
      <c r="D2" s="23" t="inlineStr">
        <is>
          <t>Photo Upload</t>
        </is>
      </c>
      <c r="E2" s="23" t="inlineStr">
        <is>
          <t>Tải lên ảnh đại diện hợp lệ định dạng JPG</t>
        </is>
      </c>
      <c r="F2" s="23" t="inlineStr">
        <is>
          <t>Kiểm tra chức năng tải lên ảnh đại diện định dạng JPG thành công và cập nhật vào thông tin học sinh.</t>
        </is>
      </c>
      <c r="G2" s="23" t="inlineStr">
        <is>
          <t>Người dùng đã đăng nhập với quyền Staff.
Đang ở trang Chi tiết Học sinh (Student Detail) của một học sinh chưa có ảnh đại diện (đang hiển thị ảnh mặc định).</t>
        </is>
      </c>
      <c r="H2" s="23" t="inlineStr">
        <is>
          <t>StudentCode=PNV26001; ImageFile=student_avatar.jpg (kích thước &lt; 2MB)</t>
        </is>
      </c>
      <c r="I2" s="23" t="inlineStr">
        <is>
          <t>1. Chọn học sinh PNV26001 và mở trang Chi tiết Học sinh.
2. Nhấp chọn biểu tượng tải ảnh đại diện.
3. Chọn file student_avatar.jpg từ thiết bị.
4. Quan sát ảnh xem trước hiển thị trên màn hình.
5. Nhấn nút "Lưu" (Save).</t>
        </is>
      </c>
      <c r="J2" s="23" t="inlineStr">
        <is>
          <t>Hệ thống hiển thị thông báo tải lên thành công.
Ảnh xem trước hiển thị tức thì trên giao diện trước khi lưu.
Sau khi lưu, thông tin học sinh được cập nhật: ảnh đại diện hiển thị kiểu hình tròn tại Sidebar chi tiết (200x200 px) và danh sách học sinh (52x52 px).
File ảnh được lưu trên Google Drive dưới tên "Nguyen_Van_A_{Timestamp}.jpg" với quyền xem "Anyone with the link".</t>
        </is>
      </c>
      <c r="K2" s="23" t="inlineStr"/>
      <c r="L2" s="24" t="inlineStr">
        <is>
          <t>Not Run</t>
        </is>
      </c>
      <c r="M2" s="25" t="inlineStr">
        <is>
          <t>High</t>
        </is>
      </c>
      <c r="N2" s="23" t="inlineStr">
        <is>
          <t>Liên quan đến M08-F01, Rule 5.2, Google Drive Integration (Mục 7)</t>
        </is>
      </c>
    </row>
    <row r="3" ht="120" customHeight="1">
      <c r="A3" s="26" t="inlineStr">
        <is>
          <t>TC-M08-002</t>
        </is>
      </c>
      <c r="B3" s="26" t="inlineStr">
        <is>
          <t>Module 08 – Profile Photo Management</t>
        </is>
      </c>
      <c r="C3" s="27" t="inlineStr">
        <is>
          <t>M08-F01</t>
        </is>
      </c>
      <c r="D3" s="28" t="inlineStr">
        <is>
          <t>Photo Upload</t>
        </is>
      </c>
      <c r="E3" s="28" t="inlineStr">
        <is>
          <t>Tải lên ảnh đại diện hợp lệ định dạng PNG</t>
        </is>
      </c>
      <c r="F3" s="28" t="inlineStr">
        <is>
          <t>Kiểm tra chức năng tải lên ảnh đại diện định dạng PNG thành công và cập nhật vào thông tin học sinh.</t>
        </is>
      </c>
      <c r="G3" s="28" t="inlineStr">
        <is>
          <t>Người dùng đã đăng nhập với quyền Staff.
Đang ở trang Chi tiết Học sinh (Student Detail) của một học sinh chưa có ảnh đại diện.</t>
        </is>
      </c>
      <c r="H3" s="28" t="inlineStr">
        <is>
          <t>StudentCode=PNV26002; ImageFile=student_avatar2.png</t>
        </is>
      </c>
      <c r="I3" s="28" t="inlineStr">
        <is>
          <t>1. Chọn học sinh PNV26002 và mở trang Chi tiết Học sinh.
2. Nhấp chọn biểu tượng tải ảnh đại diện.
3. Chọn file student_avatar2.png.
4. Nhấn nút "Lưu" (Save).</t>
        </is>
      </c>
      <c r="J3" s="28" t="inlineStr">
        <is>
          <t>Hệ thống hiển thị thông báo tải lên thành công.
Ảnh đại diện PNG hiển thị chính xác kiểu hình tròn ở tất cả các vị trí.
File ảnh được tải lên Google Drive và được đặt tên theo định dạng {StudentName}_{Timestamp}.jpg.</t>
        </is>
      </c>
      <c r="K3" s="28" t="inlineStr"/>
      <c r="L3" s="24" t="inlineStr">
        <is>
          <t>Not Run</t>
        </is>
      </c>
      <c r="M3" s="25" t="inlineStr">
        <is>
          <t>High</t>
        </is>
      </c>
      <c r="N3" s="28" t="inlineStr">
        <is>
          <t>Liên quan đến M08-F01, Rule 5.2</t>
        </is>
      </c>
    </row>
    <row r="4" ht="150" customHeight="1">
      <c r="A4" s="21" t="inlineStr">
        <is>
          <t>TC-M08-003</t>
        </is>
      </c>
      <c r="B4" s="21" t="inlineStr">
        <is>
          <t>Module 08 – Profile Photo Management</t>
        </is>
      </c>
      <c r="C4" s="22" t="inlineStr">
        <is>
          <t>M08-F02</t>
        </is>
      </c>
      <c r="D4" s="23" t="inlineStr">
        <is>
          <t>Photo Replacement</t>
        </is>
      </c>
      <c r="E4" s="23" t="inlineStr">
        <is>
          <t>Thay thế ảnh đại diện hiện tại</t>
        </is>
      </c>
      <c r="F4" s="23" t="inlineStr">
        <is>
          <t>Xác minh khi tải lên ảnh đại diện mới, hệ thống tự động cập nhật thông tin học sinh và xóa file ảnh cũ trên Google Drive.</t>
        </is>
      </c>
      <c r="G4" s="23" t="inlineStr">
        <is>
          <t>Người dùng đã đăng nhập với quyền Staff.
Học sinh PNV26001 đã có sẵn ảnh đại diện cũ trên hệ thống và Google Drive.</t>
        </is>
      </c>
      <c r="H4" s="23" t="inlineStr">
        <is>
          <t>StudentCode=PNV26001; ImageFile=new_avatar.jpg</t>
        </is>
      </c>
      <c r="I4" s="23" t="inlineStr">
        <is>
          <t>1. Chọn học sinh PNV26001 và mở trang Chi tiết Học sinh.
2. Nhấp chọn tải ảnh đại diện mới.
3. Chọn file new_avatar.jpg.
4. Nhấn nút "Lưu" (Save).
5. Kiểm tra thư mục lưu trữ trên Google Drive.</t>
        </is>
      </c>
      <c r="J4" s="23" t="inlineStr">
        <is>
          <t>Hệ thống hiển thị thông báo thay thế thành công.
Ảnh đại diện mới hiển thị trên hệ thống.
File ảnh cũ của học sinh PNV26001 trên Google Drive bị xóa hoàn toàn khỏi thư mục lưu trữ (không giữ lại file cũ).
Chỉ còn lại file ảnh mới trên Google Drive.</t>
        </is>
      </c>
      <c r="K4" s="23" t="inlineStr"/>
      <c r="L4" s="24" t="inlineStr">
        <is>
          <t>Not Run</t>
        </is>
      </c>
      <c r="M4" s="25" t="inlineStr">
        <is>
          <t>High</t>
        </is>
      </c>
      <c r="N4" s="23" t="inlineStr">
        <is>
          <t>Liên quan đến M08-F02, Rule 5.3</t>
        </is>
      </c>
    </row>
    <row r="5" ht="150" customHeight="1">
      <c r="A5" s="26" t="inlineStr">
        <is>
          <t>TC-M08-004</t>
        </is>
      </c>
      <c r="B5" s="26" t="inlineStr">
        <is>
          <t>Module 08 – Profile Photo Management</t>
        </is>
      </c>
      <c r="C5" s="27" t="inlineStr">
        <is>
          <t>M08-F03</t>
        </is>
      </c>
      <c r="D5" s="28" t="inlineStr">
        <is>
          <t>Photo Removal</t>
        </is>
      </c>
      <c r="E5" s="28" t="inlineStr">
        <is>
          <t>Xóa ảnh đại diện hiện tại (Soft Delete)</t>
        </is>
      </c>
      <c r="F5" s="28" t="inlineStr">
        <is>
          <t>Kiểm tra chức năng xóa ảnh đại diện của học sinh, chuyển file cũ vào Google Drive Trash và hiển thị avatar mặc định.</t>
        </is>
      </c>
      <c r="G5" s="28" t="inlineStr">
        <is>
          <t>Người dùng đã đăng nhập với quyền Staff.
Học sinh PNV26001 đã có sẵn ảnh đại diện trên hệ thống.</t>
        </is>
      </c>
      <c r="H5" s="28" t="inlineStr">
        <is>
          <t>StudentCode=PNV26001</t>
        </is>
      </c>
      <c r="I5" s="28" t="inlineStr">
        <is>
          <t>1. Chọn học sinh PNV26001 và mở trang Chi tiết Học sinh.
2. Nhấp chọn nút "Xóa ảnh" (Remove Photo).
3. Xác nhận xóa khi hệ thống hiển thị hộp thoại xác nhận.
4. Nhấn nút "Lưu" (Save).
5. Kiểm tra Google Drive Trash.</t>
        </is>
      </c>
      <c r="J5" s="28" t="inlineStr">
        <is>
          <t>Ảnh đại diện cũ của học sinh bị xóa khỏi giao diện.
Hệ thống hiển thị ảnh đại diện mặc định (chữ cái viết tắt tên học sinh).
Trên Google Drive, file ảnh cũ của học sinh được di chuyển vào thùng rác (Drive Trash) chứ không bị xóa vĩnh viễn ngay lập tức.</t>
        </is>
      </c>
      <c r="K5" s="28" t="inlineStr"/>
      <c r="L5" s="24" t="inlineStr">
        <is>
          <t>Not Run</t>
        </is>
      </c>
      <c r="M5" s="25" t="inlineStr">
        <is>
          <t>High</t>
        </is>
      </c>
      <c r="N5" s="28" t="inlineStr">
        <is>
          <t>Liên quan đến M08-F03, Rule 5.4</t>
        </is>
      </c>
    </row>
    <row r="6" ht="120" customHeight="1">
      <c r="A6" s="21" t="inlineStr">
        <is>
          <t>TC-M08-005</t>
        </is>
      </c>
      <c r="B6" s="21" t="inlineStr">
        <is>
          <t>Module 08 – Profile Photo Management</t>
        </is>
      </c>
      <c r="C6" s="22" t="inlineStr">
        <is>
          <t>M08-F04</t>
        </is>
      </c>
      <c r="D6" s="23" t="inlineStr">
        <is>
          <t>Fallback Avatar</t>
        </is>
      </c>
      <c r="E6" s="23" t="inlineStr">
        <is>
          <t>Hiển thị avatar mặc định khi học sinh chưa có ảnh đại diện</t>
        </is>
      </c>
      <c r="F6" s="23" t="inlineStr">
        <is>
          <t>Xác minh hệ thống hiển thị ảnh đại diện mặc định là 2 chữ cái đầu của tên học sinh khi không có ảnh.</t>
        </is>
      </c>
      <c r="G6" s="23" t="inlineStr">
        <is>
          <t>Người dùng đã đăng nhập với quyền Staff.
Học sinh "Nguyen Van A" chưa tải ảnh đại diện lên hệ thống.</t>
        </is>
      </c>
      <c r="H6" s="23" t="inlineStr">
        <is>
          <t>StudentName="Nguyen Van A"</t>
        </is>
      </c>
      <c r="I6" s="23" t="inlineStr">
        <is>
          <t>1. Vào danh sách học sinh.
2. Tìm học sinh "Nguyen Van A".
3. Quan sát ảnh đại diện hiển thị bên cạnh tên học sinh.
4. Kiểm tra tại trang Chi tiết học sinh và màn hình Home Dashboard.</t>
        </is>
      </c>
      <c r="J6" s="23" t="inlineStr">
        <is>
          <t>Hệ thống tự động hiển thị ảnh đại diện dạng hình tròn chứa 2 chữ cái viết tắt là "NA" (chữ cái đầu của Tên và Họ).
Ảnh mặc định này hiển thị đồng bộ ở cả danh sách học sinh và chi tiết học sinh.</t>
        </is>
      </c>
      <c r="K6" s="23" t="inlineStr"/>
      <c r="L6" s="24" t="inlineStr">
        <is>
          <t>Not Run</t>
        </is>
      </c>
      <c r="M6" s="25" t="inlineStr">
        <is>
          <t>High</t>
        </is>
      </c>
      <c r="N6" s="23" t="inlineStr">
        <is>
          <t>Liên quan đến M08-F04, Rule 5.6</t>
        </is>
      </c>
    </row>
    <row r="7" ht="150" customHeight="1">
      <c r="A7" s="26" t="inlineStr">
        <is>
          <t>TC-M08-006</t>
        </is>
      </c>
      <c r="B7" s="26" t="inlineStr">
        <is>
          <t>Module 08 – Profile Photo Management</t>
        </is>
      </c>
      <c r="C7" s="27" t="inlineStr">
        <is>
          <t>M08-F01</t>
        </is>
      </c>
      <c r="D7" s="28" t="inlineStr">
        <is>
          <t>Photo Upload</t>
        </is>
      </c>
      <c r="E7" s="28" t="inlineStr">
        <is>
          <t>Kiểm tra kích thước hiển thị ảnh đại diện ở các vị trí khác nhau</t>
        </is>
      </c>
      <c r="F7" s="28" t="inlineStr">
        <is>
          <t>Xác minh ảnh đại diện hiển thị đúng kích thước cấu hình và đúng định dạng hình tròn ở mọi màn hình.</t>
        </is>
      </c>
      <c r="G7" s="28" t="inlineStr">
        <is>
          <t>Người dùng đã đăng nhập với quyền Staff.
Học sinh PNV26001 đã có ảnh đại diện hợp lệ.</t>
        </is>
      </c>
      <c r="H7" s="28" t="inlineStr">
        <is>
          <t>StudentCode=PNV26001</t>
        </is>
      </c>
      <c r="I7" s="28" t="inlineStr">
        <is>
          <t>1. Xem ảnh học sinh tại danh sách học sinh.
2. Nhấp xem chi tiết học sinh PNV26001 và quan sát Sidebar.
3. Mở Dialog chỉnh sửa thông tin học sinh.
4. Về màn hình Home Dashboard và tìm ảnh đại diện học sinh đó.</t>
        </is>
      </c>
      <c r="J7" s="28" t="inlineStr">
        <is>
          <t>Ảnh đại diện hiển thị dưới dạng hình tròn với kích thước chuẩn:
- Danh sách học sinh: 52 x 52 px
- Dialog chỉnh sửa học sinh: 120 x 120 px
- Sidebar chi tiết học sinh: 200 x 200 px
- Home Dashboard: 52 x 52 px</t>
        </is>
      </c>
      <c r="K7" s="28" t="inlineStr"/>
      <c r="L7" s="24" t="inlineStr">
        <is>
          <t>Not Run</t>
        </is>
      </c>
      <c r="M7" s="29" t="inlineStr">
        <is>
          <t>Medium</t>
        </is>
      </c>
      <c r="N7" s="28" t="inlineStr">
        <is>
          <t>Liên quan đến Display Locations (Mục 6)</t>
        </is>
      </c>
    </row>
    <row r="8" ht="105" customHeight="1">
      <c r="A8" s="21" t="inlineStr">
        <is>
          <t>TC-M08-007</t>
        </is>
      </c>
      <c r="B8" s="21" t="inlineStr">
        <is>
          <t>Module 08 – Profile Photo Management</t>
        </is>
      </c>
      <c r="C8" s="22" t="inlineStr">
        <is>
          <t>M08-F01</t>
        </is>
      </c>
      <c r="D8" s="23" t="inlineStr">
        <is>
          <t>Photo Upload</t>
        </is>
      </c>
      <c r="E8" s="23" t="inlineStr">
        <is>
          <t>Nhấn Lưu ảnh đại diện khi chưa chọn file ảnh</t>
        </is>
      </c>
      <c r="F8" s="23" t="inlineStr">
        <is>
          <t>Kiểm tra hệ thống báo lỗi khi người dùng cố tình lưu ảnh mà chưa chọn tệp tin nào.</t>
        </is>
      </c>
      <c r="G8" s="23" t="inlineStr">
        <is>
          <t>Người dùng đăng nhập quyền Staff.
Đang mở trang Chi tiết Học sinh của một học sinh chưa có ảnh.</t>
        </is>
      </c>
      <c r="H8" s="23" t="inlineStr">
        <is>
          <t>StudentCode=PNV26001</t>
        </is>
      </c>
      <c r="I8" s="23" t="inlineStr">
        <is>
          <t>1. Chọn học sinh PNV26001.
2. Kích hoạt chế độ tải ảnh đại diện.
3. Không chọn bất kỳ file nào từ thiết bị.
4. Nhấn nút "Lưu" (Save) hoặc nút xác nhận tải lên.</t>
        </is>
      </c>
      <c r="J8" s="23" t="inlineStr">
        <is>
          <t>Hệ thống hiển thị cảnh báo lỗi yêu cầu chọn tệp tin hình ảnh (ví dụ: "Image file is required" hoặc tương đương).
Không có bất kỳ thay đổi nào được thực hiện.</t>
        </is>
      </c>
      <c r="K8" s="23" t="inlineStr"/>
      <c r="L8" s="24" t="inlineStr">
        <is>
          <t>Not Run</t>
        </is>
      </c>
      <c r="M8" s="25" t="inlineStr">
        <is>
          <t>High</t>
        </is>
      </c>
      <c r="N8" s="23" t="inlineStr">
        <is>
          <t>Liên quan đến Validation Rules (Mục 8)</t>
        </is>
      </c>
    </row>
    <row r="9" ht="120" customHeight="1">
      <c r="A9" s="26" t="inlineStr">
        <is>
          <t>TC-M08-008</t>
        </is>
      </c>
      <c r="B9" s="26" t="inlineStr">
        <is>
          <t>Module 08 – Profile Photo Management</t>
        </is>
      </c>
      <c r="C9" s="27" t="inlineStr">
        <is>
          <t>M08-F01</t>
        </is>
      </c>
      <c r="D9" s="28" t="inlineStr">
        <is>
          <t>Photo Upload</t>
        </is>
      </c>
      <c r="E9" s="28" t="inlineStr">
        <is>
          <t>Tải lên file không phải định dạng hình ảnh</t>
        </is>
      </c>
      <c r="F9" s="28" t="inlineStr">
        <is>
          <t>Xác minh hệ thống chặn tải lên các tệp tin có định dạng không phải là ảnh (như .pdf, .docx, .txt).</t>
        </is>
      </c>
      <c r="G9" s="28" t="inlineStr">
        <is>
          <t>Người dùng đã đăng nhập với quyền Staff.
Đang mở trang Chi tiết Học sinh.</t>
        </is>
      </c>
      <c r="H9" s="28" t="inlineStr">
        <is>
          <t>StudentCode=PNV26001; FilePath=document.pdf</t>
        </is>
      </c>
      <c r="I9" s="28" t="inlineStr">
        <is>
          <t>1. Chọn học sinh PNV26001.
2. Nhấp tải ảnh đại diện và chọn file document.pdf.
3. Nhấn nút "Lưu" (Save) hoặc nút xác nhận tải lên.</t>
        </is>
      </c>
      <c r="J9" s="28" t="inlineStr">
        <is>
          <t>Hệ thống không chấp nhận file PDF.
Hiển thị thông báo lỗi yêu cầu tệp tin hình ảnh hợp lệ (ví dụ: "Invalid file format. Please upload JPG or PNG image").
Không cho phép lưu tệp tin này làm ảnh đại diện.</t>
        </is>
      </c>
      <c r="K9" s="28" t="inlineStr"/>
      <c r="L9" s="24" t="inlineStr">
        <is>
          <t>Not Run</t>
        </is>
      </c>
      <c r="M9" s="25" t="inlineStr">
        <is>
          <t>High</t>
        </is>
      </c>
      <c r="N9" s="28" t="inlineStr">
        <is>
          <t>Liên quan đến Validation Rules (Mục 8)</t>
        </is>
      </c>
    </row>
    <row r="10" ht="135" customHeight="1">
      <c r="A10" s="21" t="inlineStr">
        <is>
          <t>TC-M08-009</t>
        </is>
      </c>
      <c r="B10" s="21" t="inlineStr">
        <is>
          <t>Module 08 – Profile Photo Management</t>
        </is>
      </c>
      <c r="C10" s="22" t="inlineStr">
        <is>
          <t>M08-F01</t>
        </is>
      </c>
      <c r="D10" s="23" t="inlineStr">
        <is>
          <t>Photo Upload</t>
        </is>
      </c>
      <c r="E10" s="23" t="inlineStr">
        <is>
          <t>Xác minh cấu trúc tên file lưu trên Google Drive</t>
        </is>
      </c>
      <c r="F10" s="23" t="inlineStr">
        <is>
          <t>Đảm bảo file ảnh tải lên được đổi tên theo đúng định dạng {StudentName}_{Timestamp}.jpg.</t>
        </is>
      </c>
      <c r="G10" s="23" t="inlineStr">
        <is>
          <t>Người dùng đăng nhập quyền Staff.
Học sinh tên "John Smith" chưa có ảnh.</t>
        </is>
      </c>
      <c r="H10" s="23" t="inlineStr">
        <is>
          <t>StudentName="John Smith"; ImageFile=avatar.jpg</t>
        </is>
      </c>
      <c r="I10" s="23" t="inlineStr">
        <is>
          <t>1. Chọn học sinh "John Smith" và tải lên ảnh avatar.jpg.
2. Nhấn "Lưu" (Save).
3. Đăng nhập vào tài khoản Google Drive quản trị, mở thư mục lưu trữ cấu hình.
4. Tìm kiếm file ảnh mới tải lên và kiểm tra tên file.</t>
        </is>
      </c>
      <c r="J10" s="23" t="inlineStr">
        <is>
          <t>File ảnh được lưu trữ trên Google Drive có tên chính xác là "John_Smith_YYYYMMDDHHMMSS.jpg" (trong đó YYYYMMDDHHMMSS là thời gian lúc tải lên).
Định dạng file được chuẩn hóa thành đuôi mở rộng .jpg.</t>
        </is>
      </c>
      <c r="K10" s="23" t="inlineStr"/>
      <c r="L10" s="24" t="inlineStr">
        <is>
          <t>Not Run</t>
        </is>
      </c>
      <c r="M10" s="25" t="inlineStr">
        <is>
          <t>High</t>
        </is>
      </c>
      <c r="N10" s="23" t="inlineStr">
        <is>
          <t>Liên quan đến Storage Information (Mục 3), Google Drive Integration (Mục 7)</t>
        </is>
      </c>
    </row>
    <row r="11" ht="120" customHeight="1">
      <c r="A11" s="26" t="inlineStr">
        <is>
          <t>TC-M08-010</t>
        </is>
      </c>
      <c r="B11" s="26" t="inlineStr">
        <is>
          <t>Module 08 – Profile Photo Management</t>
        </is>
      </c>
      <c r="C11" s="27" t="inlineStr">
        <is>
          <t>M08-F01</t>
        </is>
      </c>
      <c r="D11" s="28" t="inlineStr">
        <is>
          <t>Photo Upload</t>
        </is>
      </c>
      <c r="E11" s="28" t="inlineStr">
        <is>
          <t>Tải lên ảnh cho học sinh có tên chứa ký tự tiếng Việt có dấu</t>
        </is>
      </c>
      <c r="F11" s="28" t="inlineStr">
        <is>
          <t>Kiểm tra xem tên file trên Google Drive có được xử lý chuẩn hóa ký tự tiếng Việt có dấu và khoảng trắng hay không.</t>
        </is>
      </c>
      <c r="G11" s="28" t="inlineStr">
        <is>
          <t>Người dùng đăng nhập quyền Staff.
Có học sinh tên "Nguyễn Hoàng Nam".</t>
        </is>
      </c>
      <c r="H11" s="28" t="inlineStr">
        <is>
          <t>StudentName="Nguyễn Hoàng Nam"; ImageFile=avatar.jpg</t>
        </is>
      </c>
      <c r="I11" s="28" t="inlineStr">
        <is>
          <t>1. Mở trang chi tiết học sinh "Nguyễn Hoàng Nam" và tải lên ảnh đại diện.
2. Nhấn "Lưu".
3. Mở Google Drive kiểm tra tên file ảnh vừa tạo.</t>
        </is>
      </c>
      <c r="J11" s="28" t="inlineStr">
        <is>
          <t>File ảnh được tải lên thành công.
Tên file trên Google Drive được chuẩn hóa (ví dụ chuyển thành "Nguyen_Hoang_Nam_{Timestamp}.jpg" hoặc giữ nguyên ký tự tiếng Việt có dấu nhưng khoảng trắng thay bằng gạch dưới và không bị lỗi hiển thị/mã hóa ký tự).</t>
        </is>
      </c>
      <c r="K11" s="28" t="inlineStr"/>
      <c r="L11" s="24" t="inlineStr">
        <is>
          <t>Not Run</t>
        </is>
      </c>
      <c r="M11" s="29" t="inlineStr">
        <is>
          <t>Medium</t>
        </is>
      </c>
      <c r="N11" s="28" t="inlineStr">
        <is>
          <t>Liên quan đến Storage Information (Mục 3), Google Drive Integration (Mục 7)</t>
        </is>
      </c>
    </row>
    <row r="12" ht="120" customHeight="1">
      <c r="A12" s="21" t="inlineStr">
        <is>
          <t>TC-M08-011</t>
        </is>
      </c>
      <c r="B12" s="21" t="inlineStr">
        <is>
          <t>Module 08 – Profile Photo Management</t>
        </is>
      </c>
      <c r="C12" s="22" t="inlineStr">
        <is>
          <t>M08-F01</t>
        </is>
      </c>
      <c r="D12" s="23" t="inlineStr">
        <is>
          <t>Photo Upload</t>
        </is>
      </c>
      <c r="E12" s="23" t="inlineStr">
        <is>
          <t>Xác minh quyền truy cập tệp tin (File Permission) trên Google Drive</t>
        </is>
      </c>
      <c r="F12" s="23" t="inlineStr">
        <is>
          <t>Đảm bảo tệp tin ảnh tải lên được cấu hình quyền chia sẻ công khai ở chế độ chỉ xem để hệ thống hiển thị được.</t>
        </is>
      </c>
      <c r="G12" s="23" t="inlineStr">
        <is>
          <t>Người dùng đăng nhập quyền Staff.
Tải ảnh lên cho học sinh PNV26001 thành công.</t>
        </is>
      </c>
      <c r="H12" s="23" t="inlineStr">
        <is>
          <t>StudentCode=PNV26001</t>
        </is>
      </c>
      <c r="I12" s="23" t="inlineStr">
        <is>
          <t>1. Mở tài khoản Google Drive quản trị, tìm file ảnh của học sinh PNV26001 vừa tải lên.
2. Nhấp chuột phải chọn "Chia sẻ" (Share) -&gt; "Nhận liên kết" (Get link).
3. Kiểm tra cài đặt quyền truy cập chung.</t>
        </is>
      </c>
      <c r="J12" s="23" t="inlineStr">
        <is>
          <t>Quyền truy cập chung của file được thiết lập là "Bất kỳ ai có liên kết này" (Anyone with the link) và vai trò được gán là "Người xem" (Viewer / View only).</t>
        </is>
      </c>
      <c r="K12" s="23" t="inlineStr"/>
      <c r="L12" s="24" t="inlineStr">
        <is>
          <t>Not Run</t>
        </is>
      </c>
      <c r="M12" s="25" t="inlineStr">
        <is>
          <t>High</t>
        </is>
      </c>
      <c r="N12" s="23" t="inlineStr">
        <is>
          <t>Liên quan đến Storage Information (Mục 3), Google Drive Integration (Mục 7)</t>
        </is>
      </c>
    </row>
    <row r="13" ht="90" customHeight="1">
      <c r="A13" s="26" t="inlineStr">
        <is>
          <t>TC-M08-012</t>
        </is>
      </c>
      <c r="B13" s="26" t="inlineStr">
        <is>
          <t>Module 08 – Profile Photo Management</t>
        </is>
      </c>
      <c r="C13" s="27" t="inlineStr">
        <is>
          <t>M08-F01</t>
        </is>
      </c>
      <c r="D13" s="28" t="inlineStr">
        <is>
          <t>Photo Upload</t>
        </is>
      </c>
      <c r="E13" s="28" t="inlineStr">
        <is>
          <t>Tải lên ảnh có dung lượng lớn</t>
        </is>
      </c>
      <c r="F13" s="28" t="inlineStr">
        <is>
          <t>Kiểm tra phản hồi của hệ thống khi cố gắng tải lên một hình ảnh có kích thước tệp tin lớn.</t>
        </is>
      </c>
      <c r="G13" s="28" t="inlineStr">
        <is>
          <t>Người dùng đăng nhập quyền Staff.
Đang mở giao diện tải ảnh đại diện.</t>
        </is>
      </c>
      <c r="H13" s="28" t="inlineStr">
        <is>
          <t>StudentCode=PNV26001; ImageFile=large_photo.jpg (dung lượng 15MB)</t>
        </is>
      </c>
      <c r="I13" s="28" t="inlineStr">
        <is>
          <t>1. Tải lên tệp tin large_photo.jpg dung lượng 15MB.
2. Nhấn nút "Lưu" (Save).</t>
        </is>
      </c>
      <c r="J13" s="28" t="inlineStr">
        <is>
          <t>Hệ thống tải lên thành công nếu không cấu hình giới hạn kích thước, HOẶC nếu hệ thống có giới hạn dung lượng: hiển thị thông báo lỗi yêu cầu ảnh nhỏ hơn mức quy định (ví dụ: "File size exceeds limit") và ngăn không cho tải lên.</t>
        </is>
      </c>
      <c r="K13" s="28" t="inlineStr"/>
      <c r="L13" s="24" t="inlineStr">
        <is>
          <t>Not Run</t>
        </is>
      </c>
      <c r="M13" s="29" t="inlineStr">
        <is>
          <t>Medium</t>
        </is>
      </c>
      <c r="N13" s="28" t="inlineStr">
        <is>
          <t>Liên quan đến Test Data Preparation (Mục 11 - Large image)</t>
        </is>
      </c>
    </row>
    <row r="14" ht="60" customHeight="1">
      <c r="A14" s="21" t="inlineStr">
        <is>
          <t>TC-M08-013</t>
        </is>
      </c>
      <c r="B14" s="21" t="inlineStr">
        <is>
          <t>Module 08 – Profile Photo Management</t>
        </is>
      </c>
      <c r="C14" s="22" t="inlineStr">
        <is>
          <t>M08-F01</t>
        </is>
      </c>
      <c r="D14" s="23" t="inlineStr">
        <is>
          <t>Photo Upload</t>
        </is>
      </c>
      <c r="E14" s="23" t="inlineStr">
        <is>
          <t>Tải lên hình ảnh có phần mở rộng viết hoa (.JPG / .PNG)</t>
        </is>
      </c>
      <c r="F14" s="23" t="inlineStr">
        <is>
          <t>Xác minh hệ thống nhận diện và chấp nhận các đuôi mở rộng viết hoa như .JPG, .PNG mà không báo lỗi định dạng.</t>
        </is>
      </c>
      <c r="G14" s="23" t="inlineStr">
        <is>
          <t>Người dùng đăng nhập quyền Staff.
Đang mở giao diện tải ảnh đại diện.</t>
        </is>
      </c>
      <c r="H14" s="23" t="inlineStr">
        <is>
          <t>StudentCode=PNV26001; ImageFile=avatar.JPG</t>
        </is>
      </c>
      <c r="I14" s="23" t="inlineStr">
        <is>
          <t>1. Tải lên tệp tin avatar.JPG (đuôi JPG viết hoa).
2. Nhấn nút "Lưu" (Save).</t>
        </is>
      </c>
      <c r="J14" s="23" t="inlineStr">
        <is>
          <t>Hệ thống nhận diện .JPG là định dạng hình ảnh hợp lệ.
Tải ảnh thành công, cập nhật thông tin học sinh bình thường.</t>
        </is>
      </c>
      <c r="K14" s="23" t="inlineStr"/>
      <c r="L14" s="24" t="inlineStr">
        <is>
          <t>Not Run</t>
        </is>
      </c>
      <c r="M14" s="29" t="inlineStr">
        <is>
          <t>Medium</t>
        </is>
      </c>
      <c r="N14" s="23" t="inlineStr">
        <is>
          <t>Liên quan đến Validation Rules (Mục 8 - Image File)</t>
        </is>
      </c>
    </row>
    <row r="15" ht="120" customHeight="1">
      <c r="A15" s="26" t="inlineStr">
        <is>
          <t>TC-M08-014</t>
        </is>
      </c>
      <c r="B15" s="26" t="inlineStr">
        <is>
          <t>Module 08 – Profile Photo Management</t>
        </is>
      </c>
      <c r="C15" s="27" t="inlineStr">
        <is>
          <t>M08-F01</t>
        </is>
      </c>
      <c r="D15" s="28" t="inlineStr">
        <is>
          <t>Photo Upload</t>
        </is>
      </c>
      <c r="E15" s="28" t="inlineStr">
        <is>
          <t>Tải lên thất bại do lỗi kết nối Google Drive</t>
        </is>
      </c>
      <c r="F15" s="28" t="inlineStr">
        <is>
          <t>Xác minh hệ thống không lưu link ảnh lỗi và giữ nguyên thông tin học sinh nếu quá trình tải lên Google Drive thất bại.</t>
        </is>
      </c>
      <c r="G15" s="28" t="inlineStr">
        <is>
          <t>Người dùng đã đăng nhập với quyền Staff.
Học sinh PNV26003 chưa có ảnh đại diện.
Đường truyền Google Drive bị ngắt kết nối hoặc lỗi dịch vụ trong lúc tải.</t>
        </is>
      </c>
      <c r="H15" s="28" t="inlineStr">
        <is>
          <t>StudentCode=PNV26003; ImageFile=student_avatar3.jpg</t>
        </is>
      </c>
      <c r="I15" s="28" t="inlineStr">
        <is>
          <t>1. Chọn học sinh PNV26003 và mở trang Chi tiết Học sinh.
2. Chọn tải lên file student_avatar3.jpg.
3. Nhấn "Lưu" (Save).
4. Quan sát thông báo lỗi và kiểm tra thông tin học sinh.</t>
        </is>
      </c>
      <c r="J15" s="28" t="inlineStr">
        <is>
          <t>Hệ thống hiển thị thông báo lỗi tải lên (ví dụ: "Upload failed" hoặc "Google Drive unavailable").
Thông tin học sinh không bị thay đổi, không lưu đường dẫn hỏng (broken link) vào hồ sơ.
Học sinh vẫn tiếp tục hiển thị avatar mặc định.</t>
        </is>
      </c>
      <c r="K15" s="28" t="inlineStr"/>
      <c r="L15" s="24" t="inlineStr">
        <is>
          <t>Not Run</t>
        </is>
      </c>
      <c r="M15" s="25" t="inlineStr">
        <is>
          <t>High</t>
        </is>
      </c>
      <c r="N15" s="28" t="inlineStr">
        <is>
          <t>Liên quan đến Rule 5.5, Error Handling (Mục 9)</t>
        </is>
      </c>
    </row>
    <row r="16" ht="90" customHeight="1">
      <c r="A16" s="21" t="inlineStr">
        <is>
          <t>TC-M08-015</t>
        </is>
      </c>
      <c r="B16" s="21" t="inlineStr">
        <is>
          <t>Module 08 – Profile Photo Management</t>
        </is>
      </c>
      <c r="C16" s="22" t="inlineStr">
        <is>
          <t>M08-F01</t>
        </is>
      </c>
      <c r="D16" s="23" t="inlineStr">
        <is>
          <t>Photo Upload</t>
        </is>
      </c>
      <c r="E16" s="23" t="inlineStr">
        <is>
          <t>Tải lên thất bại do thư mục Google Drive chưa cấu hình</t>
        </is>
      </c>
      <c r="F16" s="23" t="inlineStr">
        <is>
          <t>Kiểm tra hành vi của hệ thống khi cố gắng tải ảnh lên trong khi thư mục Google Drive chưa được thiết lập.</t>
        </is>
      </c>
      <c r="G16" s="23" t="inlineStr">
        <is>
          <t>Người dùng đăng nhập quyền Staff.
Thư mục lưu trữ Google Drive chưa được cấu hình trong hệ thống.</t>
        </is>
      </c>
      <c r="H16" s="23" t="inlineStr">
        <is>
          <t>StudentCode=PNV26001; ImageFile=student_avatar.jpg</t>
        </is>
      </c>
      <c r="I16" s="23" t="inlineStr">
        <is>
          <t>1. Mở trang Chi tiết Học sinh PNV26001.
2. Chọn tải lên file student_avatar.jpg.
3. Nhấn nút "Lưu" (Save).</t>
        </is>
      </c>
      <c r="J16" s="23" t="inlineStr">
        <is>
          <t>Hệ thống hiển thị thông báo lỗi cấu hình (ví dụ: "Google Drive folder not configured or unavailable" hoặc "Upload error").
Quá trình tải lên bị hủy bỏ, thông tin học sinh không bị thay đổi.</t>
        </is>
      </c>
      <c r="K16" s="23" t="inlineStr"/>
      <c r="L16" s="24" t="inlineStr">
        <is>
          <t>Not Run</t>
        </is>
      </c>
      <c r="M16" s="29" t="inlineStr">
        <is>
          <t>Medium</t>
        </is>
      </c>
      <c r="N16" s="23" t="inlineStr">
        <is>
          <t>Liên quan đến Error Handling (Mục 9)</t>
        </is>
      </c>
    </row>
    <row r="17" ht="90" customHeight="1">
      <c r="A17" s="26" t="inlineStr">
        <is>
          <t>TC-M08-016</t>
        </is>
      </c>
      <c r="B17" s="26" t="inlineStr">
        <is>
          <t>Module 08 – Profile Photo Management</t>
        </is>
      </c>
      <c r="C17" s="27" t="inlineStr">
        <is>
          <t>M08-F04</t>
        </is>
      </c>
      <c r="D17" s="28" t="inlineStr">
        <is>
          <t>Fallback Avatar</t>
        </is>
      </c>
      <c r="E17" s="28" t="inlineStr">
        <is>
          <t>Hiển thị avatar mặc định khi URL ảnh bị lỗi (HTTP 404)</t>
        </is>
      </c>
      <c r="F17" s="28" t="inlineStr">
        <is>
          <t>Xác minh hệ thống tự động phát hiện URL ảnh bị hỏng và chuyển sang hiển thị avatar mặc định.</t>
        </is>
      </c>
      <c r="G17" s="28" t="inlineStr">
        <is>
          <t>Học sinh "Le Thi B" có URL ảnh trong hồ sơ học sinh, nhưng file gốc trên Google Drive đã bị xóa hoặc không truy cập được (lỗi 404).</t>
        </is>
      </c>
      <c r="H17" s="28" t="inlineStr">
        <is>
          <t>StudentName="Le Thi B"</t>
        </is>
      </c>
      <c r="I17" s="28" t="inlineStr">
        <is>
          <t>1. Đăng nhập hệ thống bằng quyền Staff.
2. Truy cập danh sách học sinh hoặc chi tiết học sinh "Le Thi B".
3. Quan sát ảnh đại diện hiển thị.</t>
        </is>
      </c>
      <c r="J17" s="28" t="inlineStr">
        <is>
          <t>Hệ thống phát hiện không tải được ảnh từ URL cũ, tự động hiển thị avatar mặc định dạng hình tròn chứa hai chữ cái viết tắt là "LB" mà không cần bất kỳ can thiệp thủ công nào từ người dùng.</t>
        </is>
      </c>
      <c r="K17" s="28" t="inlineStr"/>
      <c r="L17" s="24" t="inlineStr">
        <is>
          <t>Not Run</t>
        </is>
      </c>
      <c r="M17" s="25" t="inlineStr">
        <is>
          <t>High</t>
        </is>
      </c>
      <c r="N17" s="28" t="inlineStr">
        <is>
          <t>Liên quan đến M08-F04, Rule 5.6, Error Handling (Mục 9)</t>
        </is>
      </c>
    </row>
    <row r="18" ht="135" customHeight="1">
      <c r="A18" s="21" t="inlineStr">
        <is>
          <t>TC-M08-017</t>
        </is>
      </c>
      <c r="B18" s="21" t="inlineStr">
        <is>
          <t>Module 08 – Profile Photo Management</t>
        </is>
      </c>
      <c r="C18" s="22" t="inlineStr">
        <is>
          <t>M08-F05</t>
        </is>
      </c>
      <c r="D18" s="23" t="inlineStr">
        <is>
          <t>Restricted Access</t>
        </is>
      </c>
      <c r="E18" s="23" t="inlineStr">
        <is>
          <t>Kiểm tra quyền hạn của Student đối với ảnh đại diện</t>
        </is>
      </c>
      <c r="F18" s="23" t="inlineStr">
        <is>
          <t>Xác minh tài khoản Student chỉ có quyền xem ảnh đại diện của mình và không có quyền tải lên, chỉnh sửa hoặc xóa ảnh.</t>
        </is>
      </c>
      <c r="G18" s="23" t="inlineStr">
        <is>
          <t>Người dùng đăng nhập với quyền Student (email domain @student.passerellesnumeriques.org).</t>
        </is>
      </c>
      <c r="H18" s="23" t="inlineStr">
        <is>
          <t>StudentAccount=student01@student.passerellesnumeriques.org</t>
        </is>
      </c>
      <c r="I18" s="23" t="inlineStr">
        <is>
          <t>1. Đăng nhập vào Student Portal.
2. Truy cập trang thông tin cá nhân.
3. Kiểm tra sự tồn tại của các nút "Tải ảnh lên" (Upload), "Thay thế" (Replace) hoặc "Xóa ảnh" (Remove).
4. Thử tìm cách tương tác chỉnh sửa ảnh đại diện.</t>
        </is>
      </c>
      <c r="J18" s="23" t="inlineStr">
        <is>
          <t>Học sinh có thể nhìn thấy ảnh đại diện của mình hiển thị ở góc màn hình hoặc trang thông tin.
Không có nút hoặc tùy chọn nào để tải lên, thay thế hoặc xóa ảnh trên giao diện.
Trạng thái truy cập hoàn toàn là Chỉ xem (Read-only).</t>
        </is>
      </c>
      <c r="K18" s="23" t="inlineStr"/>
      <c r="L18" s="24" t="inlineStr">
        <is>
          <t>Not Run</t>
        </is>
      </c>
      <c r="M18" s="25" t="inlineStr">
        <is>
          <t>High</t>
        </is>
      </c>
      <c r="N18" s="23" t="inlineStr">
        <is>
          <t>Liên quan đến M08-F05, Rule 5.1</t>
        </is>
      </c>
    </row>
    <row r="19" ht="75" customHeight="1">
      <c r="A19" s="26" t="inlineStr">
        <is>
          <t>TC-M08-018</t>
        </is>
      </c>
      <c r="B19" s="26" t="inlineStr">
        <is>
          <t>Module 08 – Profile Photo Management</t>
        </is>
      </c>
      <c r="C19" s="27" t="inlineStr">
        <is>
          <t>M08-F05</t>
        </is>
      </c>
      <c r="D19" s="28" t="inlineStr">
        <is>
          <t>Restricted Access</t>
        </is>
      </c>
      <c r="E19" s="28" t="inlineStr">
        <is>
          <t>Kiểm tra chặn gọi trực tiếp API upload từ tài khoản Student</t>
        </is>
      </c>
      <c r="F19" s="28" t="inlineStr">
        <is>
          <t>Xác minh cơ chế bảo mật phía backend từ chối yêu cầu upload/thay thế/xóa ảnh đại diện gửi từ tài khoản Student.</t>
        </is>
      </c>
      <c r="G19" s="28" t="inlineStr">
        <is>
          <t>Người dùng đăng nhập quyền Student.
Sử dụng DevTools hoặc công cụ bên thứ ba gửi request trực tiếp đến hàm upload/replace/remove photo của backend.</t>
        </is>
      </c>
      <c r="H19" s="28" t="inlineStr">
        <is>
          <t>StudentAccount=student01@student.passerellesnumeriques.org</t>
        </is>
      </c>
      <c r="I19" s="28" t="inlineStr">
        <is>
          <t>1. Thực hiện gửi request trực tiếp đến API upload/replace/remove photo sử dụng token/session của Student.
2. Quan sát phản hồi trả về từ backend.</t>
        </is>
      </c>
      <c r="J19" s="28" t="inlineStr">
        <is>
          <t>Backend từ chối yêu cầu, trả về mã lỗi từ chối quyền truy cập (Access Denied / Unauthorized).
Thông tin ảnh đại diện học sinh không bị ảnh hưởng.</t>
        </is>
      </c>
      <c r="K19" s="28" t="inlineStr"/>
      <c r="L19" s="24" t="inlineStr">
        <is>
          <t>Not Run</t>
        </is>
      </c>
      <c r="M19" s="25" t="inlineStr">
        <is>
          <t>High</t>
        </is>
      </c>
      <c r="N19" s="28" t="inlineStr">
        <is>
          <t>Liên quan đến Rule 5.1, Error Handling (Mục 9)</t>
        </is>
      </c>
    </row>
    <row r="20" ht="90" customHeight="1">
      <c r="A20" s="21" t="inlineStr">
        <is>
          <t>TC-M08-019</t>
        </is>
      </c>
      <c r="B20" s="21" t="inlineStr">
        <is>
          <t>Module 08 – Profile Photo Management</t>
        </is>
      </c>
      <c r="C20" s="22" t="inlineStr">
        <is>
          <t>M08-F05</t>
        </is>
      </c>
      <c r="D20" s="23" t="inlineStr">
        <is>
          <t>Restricted Access</t>
        </is>
      </c>
      <c r="E20" s="23" t="inlineStr">
        <is>
          <t>Từ chối truy cập đối với tài khoản ngoài tổ chức</t>
        </is>
      </c>
      <c r="F20" s="23" t="inlineStr">
        <is>
          <t>Đảm bảo người dùng với email không thuộc tổ chức (ví dụ: @gmail.com) không thể truy cập hệ thống và xem ảnh đại diện.</t>
        </is>
      </c>
      <c r="G20" s="23" t="inlineStr">
        <is>
          <t>Người dùng sử dụng tài khoản email cá nhân không phải domain @passerellesnumeriques.org hay @student.passerellesnumeriques.org.</t>
        </is>
      </c>
      <c r="H20" s="23" t="inlineStr">
        <is>
          <t>UserEmail=guest_user@gmail.com</t>
        </is>
      </c>
      <c r="I20" s="23" t="inlineStr">
        <is>
          <t>1. Mở trình duyệt ẩn danh.
2. Truy cập URL của hệ thống.
3. Đăng nhập bằng tài khoản guest_user@gmail.com.</t>
        </is>
      </c>
      <c r="J20" s="23" t="inlineStr">
        <is>
          <t>Hệ thống từ chối đăng nhập và chuyển hướng người dùng đến trang "Access Denied" (Từ chối truy cập).
Không xem được bất cứ thông tin học sinh nào bao gồm cả ảnh đại diện.</t>
        </is>
      </c>
      <c r="K20" s="23" t="inlineStr"/>
      <c r="L20" s="24" t="inlineStr">
        <is>
          <t>Not Run</t>
        </is>
      </c>
      <c r="M20" s="25" t="inlineStr">
        <is>
          <t>High</t>
        </is>
      </c>
      <c r="N20" s="23" t="inlineStr">
        <is>
          <t>Liên quan đến Docs - Mục 4 (User Roles) &amp; Mục 6 (Authentication Flow)</t>
        </is>
      </c>
    </row>
    <row r="21" ht="120" customHeight="1">
      <c r="A21" s="26" t="inlineStr">
        <is>
          <t>TC-M08-020</t>
        </is>
      </c>
      <c r="B21" s="26" t="inlineStr">
        <is>
          <t>Module 08 – Profile Photo Management</t>
        </is>
      </c>
      <c r="C21" s="27" t="inlineStr">
        <is>
          <t>M08-F01</t>
        </is>
      </c>
      <c r="D21" s="28" t="inlineStr">
        <is>
          <t>Photo Upload</t>
        </is>
      </c>
      <c r="E21" s="28" t="inlineStr">
        <is>
          <t>Kiểm tra không tích hợp tính năng chỉnh sửa/cắt ảnh</t>
        </is>
      </c>
      <c r="F21" s="28" t="inlineStr">
        <is>
          <t>Xác minh hệ thống không tích hợp các chức năng chỉnh sửa ảnh, cắt ảnh hoặc xem lịch sử các ảnh đại diện cũ.</t>
        </is>
      </c>
      <c r="G21" s="28" t="inlineStr">
        <is>
          <t>Người dùng đăng nhập quyền Staff.
Đang trong tiến trình chọn và chuẩn bị tải ảnh lên.</t>
        </is>
      </c>
      <c r="H21" s="28" t="inlineStr">
        <is>
          <t>StudentCode=PNV26001; ImageFile=avatar.jpg</t>
        </is>
      </c>
      <c r="I21" s="28" t="inlineStr">
        <is>
          <t>1. Chọn tải lên file avatar.jpg.
2. Quan sát các nút và tùy chọn thao tác hiển thị trên giao diện xem trước ảnh.
3. Kiểm tra xem có chức năng xoay, cắt (crop) hoặc xem danh sách ảnh cũ đã tải lên không.</t>
        </is>
      </c>
      <c r="J21" s="28" t="inlineStr">
        <is>
          <t>Giao diện chỉ hiển thị ảnh xem trước đơn giản để người dùng kiểm tra trực quan.
Không có công cụ chỉnh sửa, cắt ghép hoặc xem lại phiên bản ảnh cũ nào trên hệ thống.</t>
        </is>
      </c>
      <c r="K21" s="28" t="inlineStr"/>
      <c r="L21" s="24" t="inlineStr">
        <is>
          <t>Not Run</t>
        </is>
      </c>
      <c r="M21" s="30" t="inlineStr">
        <is>
          <t>Low</t>
        </is>
      </c>
      <c r="N21" s="28" t="inlineStr">
        <is>
          <t>Liên quan đến Out of Scope (Mục 13)</t>
        </is>
      </c>
    </row>
  </sheetData>
  <autoFilter ref="A1:N21"/>
  <dataValidations count="2">
    <dataValidation sqref="L2:L121" showDropDown="0" showInputMessage="0" showErrorMessage="0" allowBlank="1" errorTitle="Invalid Status" error="Please select a valid state: Passed, Failed, or Not Run" type="list">
      <formula1>"Passed,Failed,Not Run"</formula1>
    </dataValidation>
    <dataValidation sqref="M2:M121"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35" customHeight="1">
      <c r="A2" s="21" t="inlineStr">
        <is>
          <t>TC-M09-001</t>
        </is>
      </c>
      <c r="B2" s="21" t="inlineStr">
        <is>
          <t>Module 09 – Student Portal</t>
        </is>
      </c>
      <c r="C2" s="22" t="inlineStr">
        <is>
          <t>M09-F01</t>
        </is>
      </c>
      <c r="D2" s="23" t="inlineStr">
        <is>
          <t>Role-based Auto-login</t>
        </is>
      </c>
      <c r="E2" s="23" t="inlineStr">
        <is>
          <t>Đăng nhập bằng tài khoản Student hợp lệ</t>
        </is>
      </c>
      <c r="F2" s="23" t="inlineStr">
        <is>
          <t>Xác minh học sinh có email thuộc domain @student.passerellesnumeriques.org đăng nhập thành công vào Student Portal qua Google OAuth.</t>
        </is>
      </c>
      <c r="G2" s="23" t="inlineStr">
        <is>
          <t>Người dùng chưa đăng nhập hệ thống. Trình duyệt đã kết nối internet và hỗ trợ Google OAuth.</t>
        </is>
      </c>
      <c r="H2" s="23" t="inlineStr">
        <is>
          <t>UserEmail=student01@student.passerellesnumeriques.org; Role=Student</t>
        </is>
      </c>
      <c r="I2" s="23" t="inlineStr">
        <is>
          <t>1. Truy cập URL của hệ thống.
2. Tại màn hình đăng nhập Google OAuth, nhập tài khoản student01@student.passerellesnumeriques.org.
3. Nhập mật khẩu hợp lệ và đồng ý cấp quyền nếu có.
4. Quan sát trang web sau khi chuyển hướng.</t>
        </is>
      </c>
      <c r="J2" s="23" t="inlineStr">
        <is>
          <t>Đăng nhập thành công. Giao diện tự động chuyển hướng đến Student Portal (mặc định mở tab Academic).
Thông tin của học sinh hiển thị chính xác bao gồm Họ tên, Mã học sinh ở góc màn hình.
Dữ liệu điểm học tập của chính học sinh này được tải lên thành công.</t>
        </is>
      </c>
      <c r="K2" s="23" t="inlineStr"/>
      <c r="L2" s="24" t="inlineStr">
        <is>
          <t>Not Run</t>
        </is>
      </c>
      <c r="M2" s="25" t="inlineStr">
        <is>
          <t>High</t>
        </is>
      </c>
      <c r="N2" s="23" t="inlineStr">
        <is>
          <t>Liên quan đến M09-F01, M09-F07, Rule 7.1, Rule 7.9</t>
        </is>
      </c>
    </row>
    <row r="3" ht="120" customHeight="1">
      <c r="A3" s="26" t="inlineStr">
        <is>
          <t>TC-M09-002</t>
        </is>
      </c>
      <c r="B3" s="26" t="inlineStr">
        <is>
          <t>Module 09 – Student Portal</t>
        </is>
      </c>
      <c r="C3" s="27" t="inlineStr">
        <is>
          <t>M09-F01</t>
        </is>
      </c>
      <c r="D3" s="28" t="inlineStr">
        <is>
          <t>Role-based Auto-login</t>
        </is>
      </c>
      <c r="E3" s="28" t="inlineStr">
        <is>
          <t>Đăng nhập bằng tài khoản Staff của tổ chức</t>
        </is>
      </c>
      <c r="F3" s="28" t="inlineStr">
        <is>
          <t>Xác minh tài khoản Staff khi đăng nhập qua Google OAuth sẽ được tự động nhận diện domain và chuyển hướng đến Staff Portal thay vì Student Portal.</t>
        </is>
      </c>
      <c r="G3" s="28" t="inlineStr">
        <is>
          <t>Người dùng chưa đăng nhập hệ thống.</t>
        </is>
      </c>
      <c r="H3" s="28" t="inlineStr">
        <is>
          <t>UserEmail=staff_user@passerellesnumeriques.org; Role=Staff</t>
        </is>
      </c>
      <c r="I3" s="28" t="inlineStr">
        <is>
          <t>1. Truy cập URL của hệ thống.
2. Thực hiện đăng nhập qua Google OAuth bằng tài khoản staff_user@passerellesnumeriques.org.
3. Quan sát giao diện sau khi đăng nhập thành công.</t>
        </is>
      </c>
      <c r="J3" s="28" t="inlineStr">
        <is>
          <t>Đăng nhập thành công.
Hệ thống tự động nhận diện email thuộc domain @passerellesnumeriques.org.
Chuyển hướng người dùng sang Staff Portal với đầy đủ tính năng quản trị. Không hiển thị giao diện Student Portal.</t>
        </is>
      </c>
      <c r="K3" s="28" t="inlineStr"/>
      <c r="L3" s="24" t="inlineStr">
        <is>
          <t>Not Run</t>
        </is>
      </c>
      <c r="M3" s="25" t="inlineStr">
        <is>
          <t>High</t>
        </is>
      </c>
      <c r="N3" s="28" t="inlineStr">
        <is>
          <t>Liên quan đến M09-F01, Rule 7.1, Docs - Mục 6</t>
        </is>
      </c>
    </row>
    <row r="4" ht="120" customHeight="1">
      <c r="A4" s="21" t="inlineStr">
        <is>
          <t>TC-M09-003</t>
        </is>
      </c>
      <c r="B4" s="21" t="inlineStr">
        <is>
          <t>Module 09 – Student Portal</t>
        </is>
      </c>
      <c r="C4" s="22" t="inlineStr">
        <is>
          <t>M09-F01</t>
        </is>
      </c>
      <c r="D4" s="23" t="inlineStr">
        <is>
          <t>Role-based Auto-login</t>
        </is>
      </c>
      <c r="E4" s="23" t="inlineStr">
        <is>
          <t>Đăng nhập bằng tài khoản cá nhân ngoài tổ chức</t>
        </is>
      </c>
      <c r="F4" s="23" t="inlineStr">
        <is>
          <t>Xác minh tài khoản email không thuộc các domain của tổ chức (ví dụ @gmail.com) bị hệ thống chặn truy cập.</t>
        </is>
      </c>
      <c r="G4" s="23" t="inlineStr">
        <is>
          <t>Người dùng chưa đăng nhập hệ thống.</t>
        </is>
      </c>
      <c r="H4" s="23" t="inlineStr">
        <is>
          <t>UserEmail=guest_user@gmail.com; Role=Guest</t>
        </is>
      </c>
      <c r="I4" s="23" t="inlineStr">
        <is>
          <t>1. Truy cập URL của hệ thống.
2. Thực hiện đăng nhập qua Google OAuth bằng tài khoản guest_user@gmail.com.
3. Quan sát phản hồi của hệ thống.</t>
        </is>
      </c>
      <c r="J4" s="23" t="inlineStr">
        <is>
          <t>Đăng nhập thất bại.
Hệ thống từ chối quyền truy cập của email domain @gmail.com.
Chuyển hướng người dùng sang trang báo lỗi "Access Denied" (Từ chối truy cập). Không tải bất kỳ dữ liệu nào của hệ thống.</t>
        </is>
      </c>
      <c r="K4" s="23" t="inlineStr"/>
      <c r="L4" s="24" t="inlineStr">
        <is>
          <t>Not Run</t>
        </is>
      </c>
      <c r="M4" s="25" t="inlineStr">
        <is>
          <t>High</t>
        </is>
      </c>
      <c r="N4" s="23" t="inlineStr">
        <is>
          <t>Liên quan đến M09-F01, Rule 7.1, Error Handling (Mục 9)</t>
        </is>
      </c>
    </row>
    <row r="5" ht="105" customHeight="1">
      <c r="A5" s="26" t="inlineStr">
        <is>
          <t>TC-M09-004</t>
        </is>
      </c>
      <c r="B5" s="26" t="inlineStr">
        <is>
          <t>Module 09 – Student Portal</t>
        </is>
      </c>
      <c r="C5" s="27" t="inlineStr">
        <is>
          <t>M09-F01</t>
        </is>
      </c>
      <c r="D5" s="28" t="inlineStr">
        <is>
          <t>Role-based Auto-login</t>
        </is>
      </c>
      <c r="E5" s="28" t="inlineStr">
        <is>
          <t>Đăng nhập bằng email student hợp lệ nhưng không có dữ liệu trong hệ thống</t>
        </is>
      </c>
      <c r="F5" s="28" t="inlineStr">
        <is>
          <t>Xác minh hệ thống không bị lỗi crash và hiển thị thông điệp phù hợp khi email student thuộc domain hợp lệ nhưng không nằm trong danh sách dữ liệu học sinh.</t>
        </is>
      </c>
      <c r="G5" s="28" t="inlineStr">
        <is>
          <t>Người dùng chưa đăng nhập hệ thống. Tài khoản Google student tồn tại nhưng email này chưa được cấu hình trong Sheet danh sách học sinh.</t>
        </is>
      </c>
      <c r="H5" s="28" t="inlineStr">
        <is>
          <t>UserEmail=new_student@student.passerellesnumeriques.org</t>
        </is>
      </c>
      <c r="I5" s="28" t="inlineStr">
        <is>
          <t>1. Truy cập URL của hệ thống.
2. Thực hiện đăng nhập qua Google OAuth bằng tài khoản new_student@student.passerellesnumeriques.org.
3. Quan sát giao diện sau khi chuyển hướng thành công.</t>
        </is>
      </c>
      <c r="J5" s="28" t="inlineStr">
        <is>
          <t>Đăng nhập thành công vào Student Portal.
Hệ thống không bị lỗi crash/trắng màn hình.
Hiển thị thông báo rõ ràng cho người dùng: "No academic records found." (Không tìm thấy dữ liệu học tập).</t>
        </is>
      </c>
      <c r="K5" s="28" t="inlineStr"/>
      <c r="L5" s="24" t="inlineStr">
        <is>
          <t>Not Run</t>
        </is>
      </c>
      <c r="M5" s="25" t="inlineStr">
        <is>
          <t>High</t>
        </is>
      </c>
      <c r="N5" s="28" t="inlineStr">
        <is>
          <t>Liên quan đến M09-F01, M09-F07, Error Handling (Mục 9)</t>
        </is>
      </c>
    </row>
    <row r="6" ht="180" customHeight="1">
      <c r="A6" s="21" t="inlineStr">
        <is>
          <t>TC-M09-005</t>
        </is>
      </c>
      <c r="B6" s="21" t="inlineStr">
        <is>
          <t>Module 09 – Student Portal</t>
        </is>
      </c>
      <c r="C6" s="22" t="inlineStr">
        <is>
          <t>M09-F02</t>
        </is>
      </c>
      <c r="D6" s="23" t="inlineStr">
        <is>
          <t>Read-only Academic View</t>
        </is>
      </c>
      <c r="E6" s="23" t="inlineStr">
        <is>
          <t>Chuyển đổi giữa các học kỳ (Semester Selector)</t>
        </is>
      </c>
      <c r="F6" s="23" t="inlineStr">
        <is>
          <t>Xác minh tính năng chuyển đổi học kỳ hiển thị đúng dữ liệu điểm của học kỳ được chọn.</t>
        </is>
      </c>
      <c r="G6" s="23" t="inlineStr">
        <is>
          <t>Học sinh đã đăng nhập thành công vào Student Portal.
Học sinh này đã có dữ liệu điểm ở nhiều học kỳ (ví dụ: Học kỳ 1 và Học kỳ 2).</t>
        </is>
      </c>
      <c r="H6" s="23" t="inlineStr">
        <is>
          <t>StudentCode=PNV26001; TargetSemester=Semester 2</t>
        </is>
      </c>
      <c r="I6" s="23" t="inlineStr">
        <is>
          <t>1. Tại giao diện Student Portal, định vị bộ chọn học kỳ (Semester Selector).
2. Nhấp vào danh sách thả xuống và chọn "Semester 2" (Học kỳ 2).
3. Quan sát danh sách môn học và điểm số hiển thị.
4. Nhấp chọn lại "Semester 1" (Học kỳ 1).
5. Quan sát danh sách môn học và điểm số hiển thị.</t>
        </is>
      </c>
      <c r="J6" s="23" t="inlineStr">
        <is>
          <t>Bảng điểm cập nhật nhanh chóng và chính xác theo học kỳ được chọn.
Khi chọn "Semester 2", hệ thống chỉ tải các môn học và điểm số thuộc Học kỳ 2.
Khi chọn "Semester 1", hệ thống chỉ tải các môn học và điểm số thuộc Học kỳ 1.</t>
        </is>
      </c>
      <c r="K6" s="23" t="inlineStr"/>
      <c r="L6" s="24" t="inlineStr">
        <is>
          <t>Not Run</t>
        </is>
      </c>
      <c r="M6" s="25" t="inlineStr">
        <is>
          <t>High</t>
        </is>
      </c>
      <c r="N6" s="23" t="inlineStr">
        <is>
          <t>Liên quan đến M09-F02, Rule 7.2</t>
        </is>
      </c>
    </row>
    <row r="7" ht="150" customHeight="1">
      <c r="A7" s="26" t="inlineStr">
        <is>
          <t>TC-M09-006</t>
        </is>
      </c>
      <c r="B7" s="26" t="inlineStr">
        <is>
          <t>Module 09 – Student Portal</t>
        </is>
      </c>
      <c r="C7" s="27" t="inlineStr">
        <is>
          <t>M09-F02</t>
        </is>
      </c>
      <c r="D7" s="28" t="inlineStr">
        <is>
          <t>Read-only Academic View</t>
        </is>
      </c>
      <c r="E7" s="28" t="inlineStr">
        <is>
          <t>Kiểm tra phân nhóm môn học theo danh mục (Subject Categories)</t>
        </is>
      </c>
      <c r="F7" s="28" t="inlineStr">
        <is>
          <t>Xác minh các môn học trong học kỳ hiển thị đúng phân nhóm theo 4 danh mục đào tạo.</t>
        </is>
      </c>
      <c r="G7" s="28" t="inlineStr">
        <is>
          <t>Học sinh đã đăng nhập thành công vào Student Portal.
Học kỳ hiện tại có chứa các môn học thuộc cả 4 danh mục.</t>
        </is>
      </c>
      <c r="H7" s="28" t="inlineStr">
        <is>
          <t>StudentCode=PNV26001; SelectedSemester=Semester 1</t>
        </is>
      </c>
      <c r="I7" s="28" t="inlineStr">
        <is>
          <t>1. Chọn Học kỳ 1.
2. Quan sát bố cục hiển thị của danh sách môn học.
3. Kiểm tra xem các môn học có được xếp dưới các tiêu đề nhóm tương ứng hay không: Fundamental, IT, English, Soft Skills.
4. Đối chiếu môn học cụ thể (ví dụ môn Math phải thuộc Fundamental, Java thuộc IT).</t>
        </is>
      </c>
      <c r="J7" s="28" t="inlineStr">
        <is>
          <t>Các môn học được phân nhóm chính xác và hiển thị dưới các tiêu đề danh mục: Fundamental, IT, English, Soft Skills.
Bố cục phân nhóm rõ ràng, dễ đọc, không có môn học nào bị xếp sai nhóm hoặc không có nhóm.</t>
        </is>
      </c>
      <c r="K7" s="28" t="inlineStr"/>
      <c r="L7" s="24" t="inlineStr">
        <is>
          <t>Not Run</t>
        </is>
      </c>
      <c r="M7" s="29" t="inlineStr">
        <is>
          <t>Medium</t>
        </is>
      </c>
      <c r="N7" s="28" t="inlineStr">
        <is>
          <t>Liên quan đến M09-F02, Rule 7.3</t>
        </is>
      </c>
    </row>
    <row r="8" ht="165" customHeight="1">
      <c r="A8" s="21" t="inlineStr">
        <is>
          <t>TC-M09-007</t>
        </is>
      </c>
      <c r="B8" s="21" t="inlineStr">
        <is>
          <t>Module 09 – Student Portal</t>
        </is>
      </c>
      <c r="C8" s="22" t="inlineStr">
        <is>
          <t>M09-F02</t>
        </is>
      </c>
      <c r="D8" s="23" t="inlineStr">
        <is>
          <t>Read-only Academic View</t>
        </is>
      </c>
      <c r="E8" s="23" t="inlineStr">
        <is>
          <t>Kiểm tra tính năng Chỉ đọc (Read-only) của Student Portal</t>
        </is>
      </c>
      <c r="F8" s="23" t="inlineStr">
        <is>
          <t>Xác minh học sinh hoàn toàn không có quyền chỉnh sửa điểm số hay thực hiện các tác vụ thay đổi dữ liệu trên giao diện.</t>
        </is>
      </c>
      <c r="G8" s="23" t="inlineStr">
        <is>
          <t>Học sinh đã đăng nhập thành công vào Student Portal và đang ở màn hình hiển thị điểm.</t>
        </is>
      </c>
      <c r="H8" s="23" t="inlineStr">
        <is>
          <t>StudentCode=PNV26001</t>
        </is>
      </c>
      <c r="I8" s="23" t="inlineStr">
        <is>
          <t>1. Quan sát toàn bộ giao diện màn hình Academic.
2. Kiểm tra sự xuất hiện của các nút: Chỉnh sửa (Edit), Lưu (Save), Xóa (Delete), Nhập điểm (Import), Tải lên (Upload).
3. Thử nhấp chuột vào các ô điểm số (KT TX, ĐK1-ĐK6, TCK, TLCK, Final Score, GPA).
4. Thử gõ bàn phím để thay đổi giá trị điểm.</t>
        </is>
      </c>
      <c r="J8" s="23" t="inlineStr">
        <is>
          <t>Giao diện không hiển thị bất kỳ nút hoặc công cụ nào cho phép chỉnh sửa, lưu, xóa hoặc nhập dữ liệu.
Tất cả điểm số hiển thị dưới dạng văn bản tĩnh (read-only), không thể nhấp vào để chỉnh sửa hay nhập liệu từ bàn phím.</t>
        </is>
      </c>
      <c r="K8" s="23" t="inlineStr"/>
      <c r="L8" s="24" t="inlineStr">
        <is>
          <t>Not Run</t>
        </is>
      </c>
      <c r="M8" s="25" t="inlineStr">
        <is>
          <t>High</t>
        </is>
      </c>
      <c r="N8" s="23" t="inlineStr">
        <is>
          <t>Liên quan đến M09-F02, Rule 7.4</t>
        </is>
      </c>
    </row>
    <row r="9" ht="90" customHeight="1">
      <c r="A9" s="26" t="inlineStr">
        <is>
          <t>TC-M09-008</t>
        </is>
      </c>
      <c r="B9" s="26" t="inlineStr">
        <is>
          <t>Module 09 – Student Portal</t>
        </is>
      </c>
      <c r="C9" s="27" t="inlineStr">
        <is>
          <t>M09-F03</t>
        </is>
      </c>
      <c r="D9" s="28" t="inlineStr">
        <is>
          <t>Empty Grade Display</t>
        </is>
      </c>
      <c r="E9" s="28" t="inlineStr">
        <is>
          <t>Hiển thị điểm số chưa được nhập (Empty Grades)</t>
        </is>
      </c>
      <c r="F9" s="28" t="inlineStr">
        <is>
          <t>Xác minh các ô điểm số chưa có dữ liệu sẽ hiển thị ký tự "—" để tránh gây hiểu lầm cho học sinh.</t>
        </is>
      </c>
      <c r="G9" s="28" t="inlineStr">
        <is>
          <t>Học sinh đã đăng nhập. Học sinh này có một số cột điểm chưa được giáo viên nhập (ví dụ điểm thi lại TLCK hoặc điểm định kỳ ĐK3 đang trống trên Sheets).</t>
        </is>
      </c>
      <c r="H9" s="28" t="inlineStr">
        <is>
          <t>StudentCode=PNV26001; Subject=Java Programming; EmptyColumn=TLCK</t>
        </is>
      </c>
      <c r="I9" s="28" t="inlineStr">
        <is>
          <t>1. Truy cập bảng điểm của học kỳ chứa môn Java Programming.
2. Quan sát hiển thị tại cột thi lại "TLCK" và các ô điểm trống khác của môn học này.</t>
        </is>
      </c>
      <c r="J9" s="28" t="inlineStr">
        <is>
          <t>Hệ thống hiển thị ký tự "—" (gạch quang) tại các ô điểm chưa được nhập.
Không hiển thị số "0" hoặc "0.0" hoặc để khoảng trống gây hiểu lầm, không xảy ra lỗi hiển thị hoặc lỗi hệ thống.</t>
        </is>
      </c>
      <c r="K9" s="28" t="inlineStr"/>
      <c r="L9" s="24" t="inlineStr">
        <is>
          <t>Not Run</t>
        </is>
      </c>
      <c r="M9" s="25" t="inlineStr">
        <is>
          <t>High</t>
        </is>
      </c>
      <c r="N9" s="28" t="inlineStr">
        <is>
          <t>Liên quan đến M09-F03, Rule 7.5, Error Handling (Mục 9)</t>
        </is>
      </c>
    </row>
    <row r="10" ht="75" customHeight="1">
      <c r="A10" s="21" t="inlineStr">
        <is>
          <t>TC-M09-009</t>
        </is>
      </c>
      <c r="B10" s="21" t="inlineStr">
        <is>
          <t>Module 09 – Student Portal</t>
        </is>
      </c>
      <c r="C10" s="22" t="inlineStr">
        <is>
          <t>M09-F04</t>
        </is>
      </c>
      <c r="D10" s="23" t="inlineStr">
        <is>
          <t>Score Color Coding</t>
        </is>
      </c>
      <c r="E10" s="23" t="inlineStr">
        <is>
          <t>Mã màu điểm tổng kết (/10) đạt loại Giỏi (&gt;= 8.0)</t>
        </is>
      </c>
      <c r="F10" s="23" t="inlineStr">
        <is>
          <t>Xác minh điểm tổng kết lớn hơn hoặc bằng 8.0 hiển thị màu Xanh lá (Green).</t>
        </is>
      </c>
      <c r="G10" s="23" t="inlineStr">
        <is>
          <t>Học sinh đã đăng nhập và đang xem bảng điểm học kỳ. Môn Math có điểm tổng kết là 8.0, môn IT Basics có điểm tổng kết là 9.2.</t>
        </is>
      </c>
      <c r="H10" s="23" t="inlineStr">
        <is>
          <t>StudentCode=PNV26001; Subject1=Math; FinalScore1=8.0; Subject2=IT Basics; FinalScore2=9.2</t>
        </is>
      </c>
      <c r="I10" s="23" t="inlineStr">
        <is>
          <t>1. Tìm đến các môn Math và IT Basics trên bảng điểm.
2. Quan sát màu sắc của điểm số hiển thị tại cột điểm tổng kết "/10".</t>
        </is>
      </c>
      <c r="J10" s="23" t="inlineStr">
        <is>
          <t>Điểm số "8.0" và "9.2" hiển thị với màu xanh lá cây (Green) rõ ràng.</t>
        </is>
      </c>
      <c r="K10" s="23" t="inlineStr"/>
      <c r="L10" s="24" t="inlineStr">
        <is>
          <t>Not Run</t>
        </is>
      </c>
      <c r="M10" s="29" t="inlineStr">
        <is>
          <t>Medium</t>
        </is>
      </c>
      <c r="N10" s="23" t="inlineStr">
        <is>
          <t>Liên quan đến M09-F04, Rule 5.5, Rule 7.6</t>
        </is>
      </c>
    </row>
    <row r="11" ht="60" customHeight="1">
      <c r="A11" s="26" t="inlineStr">
        <is>
          <t>TC-M09-010</t>
        </is>
      </c>
      <c r="B11" s="26" t="inlineStr">
        <is>
          <t>Module 09 – Student Portal</t>
        </is>
      </c>
      <c r="C11" s="27" t="inlineStr">
        <is>
          <t>M09-F04</t>
        </is>
      </c>
      <c r="D11" s="28" t="inlineStr">
        <is>
          <t>Score Color Coding</t>
        </is>
      </c>
      <c r="E11" s="28" t="inlineStr">
        <is>
          <t>Mã màu điểm tổng kết (/10) đạt loại Khá/Trung bình (5.5 – 7.9)</t>
        </is>
      </c>
      <c r="F11" s="28" t="inlineStr">
        <is>
          <t>Xác minh điểm tổng kết từ 5.5 đến 7.9 hiển thị màu Cam (Orange).</t>
        </is>
      </c>
      <c r="G11" s="28" t="inlineStr">
        <is>
          <t>Học sinh đã đăng nhập và đang xem bảng điểm học kỳ. Môn English có điểm tổng kết là 5.5, môn Soft Skills có điểm tổng kết là 7.9.</t>
        </is>
      </c>
      <c r="H11" s="28" t="inlineStr">
        <is>
          <t>StudentCode=PNV26001; Subject1=English; FinalScore1=5.5; Subject2=Soft Skills; FinalScore2=7.9</t>
        </is>
      </c>
      <c r="I11" s="28" t="inlineStr">
        <is>
          <t>1. Tìm môn English và Soft Skills trên bảng điểm.
2. Quan sát màu sắc hiển thị của điểm số tại cột điểm tổng kết "/10".</t>
        </is>
      </c>
      <c r="J11" s="28" t="inlineStr">
        <is>
          <t>Điểm số "5.5" và "7.9" hiển thị với màu cam (Orange) rõ ràng.</t>
        </is>
      </c>
      <c r="K11" s="28" t="inlineStr"/>
      <c r="L11" s="24" t="inlineStr">
        <is>
          <t>Not Run</t>
        </is>
      </c>
      <c r="M11" s="29" t="inlineStr">
        <is>
          <t>Medium</t>
        </is>
      </c>
      <c r="N11" s="28" t="inlineStr">
        <is>
          <t>Liên quan đến M09-F04, Rule 5.5, Rule 7.6</t>
        </is>
      </c>
    </row>
    <row r="12" ht="75" customHeight="1">
      <c r="A12" s="21" t="inlineStr">
        <is>
          <t>TC-M09-011</t>
        </is>
      </c>
      <c r="B12" s="21" t="inlineStr">
        <is>
          <t>Module 09 – Student Portal</t>
        </is>
      </c>
      <c r="C12" s="22" t="inlineStr">
        <is>
          <t>M09-F04</t>
        </is>
      </c>
      <c r="D12" s="23" t="inlineStr">
        <is>
          <t>Score Color Coding</t>
        </is>
      </c>
      <c r="E12" s="23" t="inlineStr">
        <is>
          <t>Mã màu điểm tổng kết (/10) loại Yếu (&lt; 5.5)</t>
        </is>
      </c>
      <c r="F12" s="23" t="inlineStr">
        <is>
          <t>Xác minh điểm tổng kết nhỏ hơn 5.5 hiển thị màu Đỏ (Red).</t>
        </is>
      </c>
      <c r="G12" s="23" t="inlineStr">
        <is>
          <t>Học sinh đã đăng nhập và đang xem bảng điểm. Môn Web Development có điểm tổng kết là 5.4, môn Algorithms có điểm tổng kết là 4.0.</t>
        </is>
      </c>
      <c r="H12" s="23" t="inlineStr">
        <is>
          <t>StudentCode=PNV26001; Subject1=Web Development; FinalScore1=5.4; Subject2=Algorithms; FinalScore2=4.0</t>
        </is>
      </c>
      <c r="I12" s="23" t="inlineStr">
        <is>
          <t>1. Tìm môn Web Development và Algorithms trên bảng điểm.
2. Quan sát màu sắc hiển thị của điểm số tại cột điểm tổng kết "/10".</t>
        </is>
      </c>
      <c r="J12" s="23" t="inlineStr">
        <is>
          <t>Điểm số "5.4" và "4.0" hiển thị với màu đỏ (Red) rõ ràng.</t>
        </is>
      </c>
      <c r="K12" s="23" t="inlineStr"/>
      <c r="L12" s="24" t="inlineStr">
        <is>
          <t>Not Run</t>
        </is>
      </c>
      <c r="M12" s="29" t="inlineStr">
        <is>
          <t>Medium</t>
        </is>
      </c>
      <c r="N12" s="23" t="inlineStr">
        <is>
          <t>Liên quan đến M09-F04, Rule 5.5, Rule 7.6</t>
        </is>
      </c>
    </row>
    <row r="13" ht="75" customHeight="1">
      <c r="A13" s="26" t="inlineStr">
        <is>
          <t>TC-M09-012</t>
        </is>
      </c>
      <c r="B13" s="26" t="inlineStr">
        <is>
          <t>Module 09 – Student Portal</t>
        </is>
      </c>
      <c r="C13" s="27" t="inlineStr">
        <is>
          <t>M09-F04</t>
        </is>
      </c>
      <c r="D13" s="28" t="inlineStr">
        <is>
          <t>Score Color Coding</t>
        </is>
      </c>
      <c r="E13" s="28" t="inlineStr">
        <is>
          <t>Mã màu điểm GPA (/4) đạt loại Giỏi/Xuất sắc (&gt;= 3.5)</t>
        </is>
      </c>
      <c r="F13" s="28" t="inlineStr">
        <is>
          <t>Xác minh điểm trung bình tích lũy học kỳ GPA lớn hơn hoặc bằng 3.5 hiển thị màu Xanh lá (Green).</t>
        </is>
      </c>
      <c r="G13" s="28" t="inlineStr">
        <is>
          <t>Học sinh đã đăng nhập. Học kỳ hiện tại học sinh đạt điểm trung bình GPA là 3.5 hoặc 3.8.</t>
        </is>
      </c>
      <c r="H13" s="28" t="inlineStr">
        <is>
          <t>StudentCode=PNV26001; GPA=3.5; GPA2=3.8</t>
        </is>
      </c>
      <c r="I13" s="28" t="inlineStr">
        <is>
          <t>1. Quan sát vùng hiển thị điểm trung bình GPA học kỳ hiện tại trên giao diện.
2. Kiểm tra màu sắc hiển thị của điểm GPA.</t>
        </is>
      </c>
      <c r="J13" s="28" t="inlineStr">
        <is>
          <t>Điểm số GPA "3.5" và "3.8" hiển thị với màu xanh lá cây (Green).</t>
        </is>
      </c>
      <c r="K13" s="28" t="inlineStr"/>
      <c r="L13" s="24" t="inlineStr">
        <is>
          <t>Not Run</t>
        </is>
      </c>
      <c r="M13" s="29" t="inlineStr">
        <is>
          <t>Medium</t>
        </is>
      </c>
      <c r="N13" s="28" t="inlineStr">
        <is>
          <t>Liên quan đến M09-F04, Rule 5.5, Rule 7.6</t>
        </is>
      </c>
    </row>
    <row r="14" ht="60" customHeight="1">
      <c r="A14" s="21" t="inlineStr">
        <is>
          <t>TC-M09-013</t>
        </is>
      </c>
      <c r="B14" s="21" t="inlineStr">
        <is>
          <t>Module 09 – Student Portal</t>
        </is>
      </c>
      <c r="C14" s="22" t="inlineStr">
        <is>
          <t>M09-F04</t>
        </is>
      </c>
      <c r="D14" s="23" t="inlineStr">
        <is>
          <t>Score Color Coding</t>
        </is>
      </c>
      <c r="E14" s="23" t="inlineStr">
        <is>
          <t>Mã màu điểm GPA (/4) đạt loại Trung bình/Khá (2.0 – 3.4)</t>
        </is>
      </c>
      <c r="F14" s="23" t="inlineStr">
        <is>
          <t>Xác minh điểm trung bình tích lũy học kỳ GPA từ 2.0 đến 3.4 hiển thị màu Cam (Orange).</t>
        </is>
      </c>
      <c r="G14" s="23" t="inlineStr">
        <is>
          <t>Học sinh đã đăng nhập. Học kỳ hiện tại học sinh đạt GPA là 2.0 hoặc 3.1.</t>
        </is>
      </c>
      <c r="H14" s="23" t="inlineStr">
        <is>
          <t>StudentCode=PNV26001; GPA=2.0; GPA2=3.1</t>
        </is>
      </c>
      <c r="I14" s="23" t="inlineStr">
        <is>
          <t>1. Quan sát khu vực hiển thị điểm trung bình GPA trên màn hình.
2. Kiểm tra màu sắc hiển thị của điểm GPA.</t>
        </is>
      </c>
      <c r="J14" s="23" t="inlineStr">
        <is>
          <t>Điểm GPA "2.0" và "3.1" hiển thị với màu cam (Orange).</t>
        </is>
      </c>
      <c r="K14" s="23" t="inlineStr"/>
      <c r="L14" s="24" t="inlineStr">
        <is>
          <t>Not Run</t>
        </is>
      </c>
      <c r="M14" s="29" t="inlineStr">
        <is>
          <t>Medium</t>
        </is>
      </c>
      <c r="N14" s="23" t="inlineStr">
        <is>
          <t>Liên quan đến M09-F04, Rule 5.5, Rule 7.6</t>
        </is>
      </c>
    </row>
    <row r="15" ht="60" customHeight="1">
      <c r="A15" s="26" t="inlineStr">
        <is>
          <t>TC-M09-014</t>
        </is>
      </c>
      <c r="B15" s="26" t="inlineStr">
        <is>
          <t>Module 09 – Student Portal</t>
        </is>
      </c>
      <c r="C15" s="27" t="inlineStr">
        <is>
          <t>M09-F04</t>
        </is>
      </c>
      <c r="D15" s="28" t="inlineStr">
        <is>
          <t>Score Color Coding</t>
        </is>
      </c>
      <c r="E15" s="28" t="inlineStr">
        <is>
          <t>Mã màu điểm GPA (/4) loại Yếu (&lt; 2.0)</t>
        </is>
      </c>
      <c r="F15" s="28" t="inlineStr">
        <is>
          <t>Xác minh điểm trung bình tích lũy học kỳ GPA nhỏ hơn 2.0 hiển thị màu Đỏ (Red).</t>
        </is>
      </c>
      <c r="G15" s="28" t="inlineStr">
        <is>
          <t>Học sinh đã đăng nhập. Học kỳ hiện tại học sinh đạt GPA là 1.9 hoặc 1.2.</t>
        </is>
      </c>
      <c r="H15" s="28" t="inlineStr">
        <is>
          <t>StudentCode=PNV26001; GPA=1.9; GPA2=1.2</t>
        </is>
      </c>
      <c r="I15" s="28" t="inlineStr">
        <is>
          <t>1. Quan sát khu vực hiển thị điểm trung bình GPA trên màn hình.
2. Kiểm tra màu sắc hiển thị của điểm GPA.</t>
        </is>
      </c>
      <c r="J15" s="28" t="inlineStr">
        <is>
          <t>Điểm GPA "1.9" và "1.2" hiển thị với màu đỏ (Red).</t>
        </is>
      </c>
      <c r="K15" s="28" t="inlineStr"/>
      <c r="L15" s="24" t="inlineStr">
        <is>
          <t>Not Run</t>
        </is>
      </c>
      <c r="M15" s="29" t="inlineStr">
        <is>
          <t>Medium</t>
        </is>
      </c>
      <c r="N15" s="28" t="inlineStr">
        <is>
          <t>Liên quan đến M09-F04, Rule 5.5, Rule 7.6</t>
        </is>
      </c>
    </row>
    <row r="16" ht="75" customHeight="1">
      <c r="A16" s="21" t="inlineStr">
        <is>
          <t>TC-M09-015</t>
        </is>
      </c>
      <c r="B16" s="21" t="inlineStr">
        <is>
          <t>Module 09 – Student Portal</t>
        </is>
      </c>
      <c r="C16" s="22" t="inlineStr">
        <is>
          <t>M09-F05</t>
        </is>
      </c>
      <c r="D16" s="23" t="inlineStr">
        <is>
          <t>Re-study Flag Display</t>
        </is>
      </c>
      <c r="E16" s="23" t="inlineStr">
        <is>
          <t>Hiển thị nhãn Học lại (Re-study) cho môn học bị đánh dấu học lại</t>
        </is>
      </c>
      <c r="F16" s="23" t="inlineStr">
        <is>
          <t>Xác minh môn học bị đánh dấu học lại trên hệ thống (Re-study = True) sẽ hiển thị nhãn cảnh báo màu đỏ.</t>
        </is>
      </c>
      <c r="G16" s="23" t="inlineStr">
        <is>
          <t>Học sinh đã đăng nhập. Môn Database Management của học sinh này bị đánh dấu Re-study = True trên Sheets database. Môn Java Basics có Re-study = False.</t>
        </is>
      </c>
      <c r="H16" s="23" t="inlineStr">
        <is>
          <t>StudentCode=PNV26001; Subject1=Database Management; ReStudy1=True; Subject2=Java Basics; ReStudy2=False</t>
        </is>
      </c>
      <c r="I16" s="23" t="inlineStr">
        <is>
          <t>1. Truy cập bảng điểm học kỳ chứa môn Database Management và Java Basics.
2. Kiểm tra cột "Re-study" hoặc phần nhãn bên cạnh tên mỗi môn học.</t>
        </is>
      </c>
      <c r="J16" s="23" t="inlineStr">
        <is>
          <t>Môn Database Management hiển thị một nhãn hoặc huy hiệu "Re-study" màu đỏ nổi bật.
Môn Java Basics không hiển thị bất kỳ nhãn cảnh báo học lại nào.</t>
        </is>
      </c>
      <c r="K16" s="23" t="inlineStr"/>
      <c r="L16" s="24" t="inlineStr">
        <is>
          <t>Not Run</t>
        </is>
      </c>
      <c r="M16" s="25" t="inlineStr">
        <is>
          <t>High</t>
        </is>
      </c>
      <c r="N16" s="23" t="inlineStr">
        <is>
          <t>Liên quan đến M09-F05, Rule 7.7</t>
        </is>
      </c>
    </row>
    <row r="17" ht="120" customHeight="1">
      <c r="A17" s="26" t="inlineStr">
        <is>
          <t>TC-M09-016</t>
        </is>
      </c>
      <c r="B17" s="26" t="inlineStr">
        <is>
          <t>Module 09 – Student Portal</t>
        </is>
      </c>
      <c r="C17" s="27" t="inlineStr">
        <is>
          <t>M09-F06</t>
        </is>
      </c>
      <c r="D17" s="28" t="inlineStr">
        <is>
          <t>Quick Access to Bi-Weekly Reports</t>
        </is>
      </c>
      <c r="E17" s="28" t="inlineStr">
        <is>
          <t>Hiển thị shortcut Báo cáo thực tập khi nhóm thực tập đang hoạt động (On-going)</t>
        </is>
      </c>
      <c r="F17" s="28" t="inlineStr">
        <is>
          <t>Xác minh shortcut dẫn đến Báo cáo thực tập hiển thị khi học sinh thuộc nhóm thực tập ở trạng thái On-going.</t>
        </is>
      </c>
      <c r="G17" s="28" t="inlineStr">
        <is>
          <t>Học sinh PNV26001 được phân bổ vào nhóm thực tập "Internship Group 2026". Trạng thái của nhóm thực tập này trong Sheet là "On-going".</t>
        </is>
      </c>
      <c r="H17" s="28" t="inlineStr">
        <is>
          <t>StudentCode=PNV26001; InternshipGroup=Internship Group 2026; Status=On-going</t>
        </is>
      </c>
      <c r="I17" s="28" t="inlineStr">
        <is>
          <t>1. Đăng nhập tài khoản học sinh PNV26001.
2. Quan sát giao diện Student Portal (khu vực thanh điều hướng hoặc bảng điều khiển).
3. Xác minh sự xuất hiện của shortcut/nút "Bi-Weekly Internship Reports" (Báo cáo thực tập định kỳ).</t>
        </is>
      </c>
      <c r="J17" s="28" t="inlineStr">
        <is>
          <t>Shortcut "Bi-Weekly Internship Reports" xuất hiện rõ ràng trên giao diện.
Học sinh có thể nhấp vào để mở giao diện báo cáo thực tập.</t>
        </is>
      </c>
      <c r="K17" s="28" t="inlineStr"/>
      <c r="L17" s="24" t="inlineStr">
        <is>
          <t>Not Run</t>
        </is>
      </c>
      <c r="M17" s="25" t="inlineStr">
        <is>
          <t>High</t>
        </is>
      </c>
      <c r="N17" s="28" t="inlineStr">
        <is>
          <t>Liên quan đến M09-F06, Rule 7.8</t>
        </is>
      </c>
    </row>
    <row r="18" ht="90" customHeight="1">
      <c r="A18" s="21" t="inlineStr">
        <is>
          <t>TC-M09-017</t>
        </is>
      </c>
      <c r="B18" s="21" t="inlineStr">
        <is>
          <t>Module 09 – Student Portal</t>
        </is>
      </c>
      <c r="C18" s="22" t="inlineStr">
        <is>
          <t>M09-F06</t>
        </is>
      </c>
      <c r="D18" s="23" t="inlineStr">
        <is>
          <t>Quick Access to Bi-Weekly Reports</t>
        </is>
      </c>
      <c r="E18" s="23" t="inlineStr">
        <is>
          <t>Ẩn shortcut Báo cáo thực tập khi nhóm thực tập ở trạng thái khác On-going</t>
        </is>
      </c>
      <c r="F18" s="23" t="inlineStr">
        <is>
          <t>Xác minh shortcut dẫn đến Báo cáo thực tập bị ẩn khi nhóm thực tập của học sinh ở trạng thái Planned hoặc Completed.</t>
        </is>
      </c>
      <c r="G18" s="23" t="inlineStr">
        <is>
          <t>Học sinh PNV26002 thuộc nhóm thực tập "Internship Group 2025" đã hoàn thành (trạng thái "Completed" trên hệ thống).</t>
        </is>
      </c>
      <c r="H18" s="23" t="inlineStr">
        <is>
          <t>StudentCode=PNV26002; InternshipGroup=Internship Group 2025; Status=Completed</t>
        </is>
      </c>
      <c r="I18" s="23" t="inlineStr">
        <is>
          <t>1. Đăng nhập tài khoản học sinh PNV26002.
2. Quan sát giao diện Student Portal.
3. Kiểm tra sự xuất hiện của nút/shortcut "Bi-Weekly Internship Reports".</t>
        </is>
      </c>
      <c r="J18" s="23" t="inlineStr">
        <is>
          <t>Shortcut/nút liên kết đến Báo cáo thực tập hoàn toàn ẩn khỏi giao diện.
Học sinh không thể nhìn thấy hay nhấp vào nút này.</t>
        </is>
      </c>
      <c r="K18" s="23" t="inlineStr"/>
      <c r="L18" s="24" t="inlineStr">
        <is>
          <t>Not Run</t>
        </is>
      </c>
      <c r="M18" s="25" t="inlineStr">
        <is>
          <t>High</t>
        </is>
      </c>
      <c r="N18" s="23" t="inlineStr">
        <is>
          <t>Liên quan đến M09-F06, Rule 7.8</t>
        </is>
      </c>
    </row>
    <row r="19" ht="90" customHeight="1">
      <c r="A19" s="26" t="inlineStr">
        <is>
          <t>TC-M09-018</t>
        </is>
      </c>
      <c r="B19" s="26" t="inlineStr">
        <is>
          <t>Module 09 – Student Portal</t>
        </is>
      </c>
      <c r="C19" s="27" t="inlineStr">
        <is>
          <t>M09-F06</t>
        </is>
      </c>
      <c r="D19" s="28" t="inlineStr">
        <is>
          <t>Quick Access to Bi-Weekly Reports</t>
        </is>
      </c>
      <c r="E19" s="28" t="inlineStr">
        <is>
          <t>Ẩn shortcut Báo cáo thực tập khi học sinh chưa được phân bổ thực tập</t>
        </is>
      </c>
      <c r="F19" s="28" t="inlineStr">
        <is>
          <t>Xác minh shortcut Báo cáo thực tập bị ẩn khi học sinh không thuộc bất kỳ nhóm thực tập nào.</t>
        </is>
      </c>
      <c r="G19" s="28" t="inlineStr">
        <is>
          <t>Học sinh PNV26003 chưa được gán vào bất kỳ nhóm thực tập nào trên Sheets cơ sở dữ liệu.</t>
        </is>
      </c>
      <c r="H19" s="28" t="inlineStr">
        <is>
          <t>StudentCode=PNV26003; InternshipGroup=None</t>
        </is>
      </c>
      <c r="I19" s="28" t="inlineStr">
        <is>
          <t>1. Đăng nhập tài khoản học sinh PNV26003.
2. Quan sát giao diện Student Portal.
3. Kiểm tra sự xuất hiện của nút/shortcut "Bi-Weekly Internship Reports".</t>
        </is>
      </c>
      <c r="J19" s="28" t="inlineStr">
        <is>
          <t>Shortcut/nút liên kết đến Báo cáo thực tập ẩn hoàn toàn, không hiển thị trên giao diện của học sinh.</t>
        </is>
      </c>
      <c r="K19" s="28" t="inlineStr"/>
      <c r="L19" s="24" t="inlineStr">
        <is>
          <t>Not Run</t>
        </is>
      </c>
      <c r="M19" s="25" t="inlineStr">
        <is>
          <t>High</t>
        </is>
      </c>
      <c r="N19" s="28" t="inlineStr">
        <is>
          <t>Liên quan đến M09-F06, Rule 7.8</t>
        </is>
      </c>
    </row>
    <row r="20" ht="165" customHeight="1">
      <c r="A20" s="21" t="inlineStr">
        <is>
          <t>TC-M09-019</t>
        </is>
      </c>
      <c r="B20" s="21" t="inlineStr">
        <is>
          <t>Module 09 – Student Portal</t>
        </is>
      </c>
      <c r="C20" s="22" t="inlineStr">
        <is>
          <t>M09-F07</t>
        </is>
      </c>
      <c r="D20" s="23" t="inlineStr">
        <is>
          <t>Data Isolation</t>
        </is>
      </c>
      <c r="E20" s="23" t="inlineStr">
        <is>
          <t>Xác minh cách ly dữ liệu giữa các học sinh (Data Isolation)</t>
        </is>
      </c>
      <c r="F20" s="23" t="inlineStr">
        <is>
          <t>Xác minh cơ chế bảo mật phía server đảm bảo học sinh chỉ xem được điểm của chính mình và bị từ chối truy cập dữ liệu của học sinh khác.</t>
        </is>
      </c>
      <c r="G20" s="23" t="inlineStr">
        <is>
          <t>Học sinh PNV26001 và học sinh PNV26002 đều tồn tại trong hệ thống. Đã đăng nhập bằng tài khoản học sinh PNV26001.</t>
        </is>
      </c>
      <c r="H20" s="23" t="inlineStr">
        <is>
          <t>AuthEmail=student01@student.passerellesnumeriques.org; TargetStudentCode=PNV26002</t>
        </is>
      </c>
      <c r="I20" s="23" t="inlineStr">
        <is>
          <t>1. Đăng nhập bằng tài khoản student01@student.passerellesnumeriques.org.
2. Tại giao diện bảng điểm, thử thay đổi tham số trên URL (ví dụ từ `?studentCode=PNV26001` thành `?studentCode=PNV26002`) hoặc dùng DevTools sửa mã request gửi về API backend để yêu cầu dữ liệu điểm của học sinh PNV26002.
3. Quan sát kết quả hiển thị và phản hồi từ hệ thống.</t>
        </is>
      </c>
      <c r="J20" s="23" t="inlineStr">
        <is>
          <t>Hệ thống từ chối yêu cầu truy cập dữ liệu điểm của học sinh B.
Màn hình không hiển thị điểm của học sinh B.
Backend trả về thông báo lỗi phân quyền (ví dụ: "Unauthorized access" hoặc Access Denied).
Bảng điểm hiển thị trên giao diện vẫn giữ nguyên của học sinh PNV26001 (hoặc hiển thị trang thông báo lỗi bảo mật).</t>
        </is>
      </c>
      <c r="K20" s="23" t="inlineStr"/>
      <c r="L20" s="24" t="inlineStr">
        <is>
          <t>Not Run</t>
        </is>
      </c>
      <c r="M20" s="25" t="inlineStr">
        <is>
          <t>High</t>
        </is>
      </c>
      <c r="N20" s="23" t="inlineStr">
        <is>
          <t>Liên quan đến M09-F07, Rule 7.9, Error Handling (Mục 9)</t>
        </is>
      </c>
    </row>
    <row r="21" ht="105" customHeight="1">
      <c r="A21" s="26" t="inlineStr">
        <is>
          <t>TC-M09-020</t>
        </is>
      </c>
      <c r="B21" s="26" t="inlineStr">
        <is>
          <t>Module 09 – Student Portal</t>
        </is>
      </c>
      <c r="C21" s="27" t="inlineStr">
        <is>
          <t>M09-F07</t>
        </is>
      </c>
      <c r="D21" s="28" t="inlineStr">
        <is>
          <t>Data Isolation</t>
        </is>
      </c>
      <c r="E21" s="28" t="inlineStr">
        <is>
          <t>Chặn gọi API lấy điểm từ bên ngoài khi chưa xác thực</t>
        </is>
      </c>
      <c r="F21" s="28" t="inlineStr">
        <is>
          <t>Xác minh các yêu cầu gọi API lấy điểm của học sinh gửi trực tiếp từ bên ngoài mà chưa qua đăng nhập Google OAuth đều bị từ chối.</t>
        </is>
      </c>
      <c r="G21" s="28" t="inlineStr">
        <is>
          <t>Người dùng chưa đăng nhập tài khoản. Trình duyệt ở chế độ ẩn danh hoặc sử dụng công cụ kiểm thử API (như Postman).</t>
        </is>
      </c>
      <c r="H21" s="28" t="inlineStr">
        <is>
          <t>TargetApiUrl=https://script.google.com/macros/s/.../exec?action=getGrades&amp;studentCode=PNV26001</t>
        </is>
      </c>
      <c r="I21" s="28" t="inlineStr">
        <is>
          <t>1. Mở cửa sổ ẩn danh hoặc công cụ kiểm thử API.
2. Gửi request trực tiếp (HTTP GET/POST) đến URL API của hệ thống để lấy dữ liệu điểm của học sinh PNV26001.
3. Quan sát phản hồi trả về từ hệ thống.</t>
        </is>
      </c>
      <c r="J21" s="28" t="inlineStr">
        <is>
          <t>Yêu cầu bị từ chối.
Hệ thống phản hồi mã lỗi 401 Unauthorized (hoặc tương đương) hoặc chuyển hướng request về giao diện đăng nhập Google OAuth.
Không có dữ liệu điểm nào được trả về.</t>
        </is>
      </c>
      <c r="K21" s="28" t="inlineStr"/>
      <c r="L21" s="24" t="inlineStr">
        <is>
          <t>Not Run</t>
        </is>
      </c>
      <c r="M21" s="25" t="inlineStr">
        <is>
          <t>High</t>
        </is>
      </c>
      <c r="N21" s="28" t="inlineStr">
        <is>
          <t>Liên quan đến M09-F07, Rule 7.9</t>
        </is>
      </c>
    </row>
    <row r="22" ht="165" customHeight="1">
      <c r="A22" s="21" t="inlineStr">
        <is>
          <t>TC-M09-021</t>
        </is>
      </c>
      <c r="B22" s="21" t="inlineStr">
        <is>
          <t>Module 09 – Student Portal</t>
        </is>
      </c>
      <c r="C22" s="22" t="inlineStr">
        <is>
          <t>M09-UI</t>
        </is>
      </c>
      <c r="D22" s="23" t="inlineStr">
        <is>
          <t>User Interface &amp; Responsiveness</t>
        </is>
      </c>
      <c r="E22" s="23" t="inlineStr">
        <is>
          <t>Kiểm tra hiển thị giao diện trên thiết bị di động (Responsive UI)</t>
        </is>
      </c>
      <c r="F22" s="23" t="inlineStr">
        <is>
          <t>Xác minh giao diện Student Portal hiển thị tốt trên các thiết bị di động mà không bị vỡ khung hoặc mất thông tin điểm số.</t>
        </is>
      </c>
      <c r="G22" s="23" t="inlineStr">
        <is>
          <t>Học sinh đã đăng nhập thành công.</t>
        </is>
      </c>
      <c r="H22" s="23" t="inlineStr">
        <is>
          <t>ViewportSize=375x812 (iPhone X)</t>
        </is>
      </c>
      <c r="I22" s="23" t="inlineStr">
        <is>
          <t>1. Đăng nhập Student Portal.
2. Mở DevTools (F12) và kích hoạt chế độ Responsive Viewport giả lập màn hình iPhone X (375x812 px).
3. Quan sát bộ chọn học kỳ, các danh mục và bảng điểm.
4. Thao tác vuốt cuộn ngang bảng điểm để xem đầy đủ các cột điểm (KT TX, ĐK1-ĐK6, TCK, TLCK...).</t>
        </is>
      </c>
      <c r="J22" s="23" t="inlineStr">
        <is>
          <t>Giao diện tự động co giãn tương thích.
Các tiêu đề danh mục và chữ hiển thị rõ ràng, không đè lên nhau.
Bảng điểm hiển thị thanh cuộn ngang mượt mà cho phép xem hết các cột điểm mà không phá vỡ bố cục tổng thể của trang.</t>
        </is>
      </c>
      <c r="K22" s="23" t="inlineStr"/>
      <c r="L22" s="24" t="inlineStr">
        <is>
          <t>Not Run</t>
        </is>
      </c>
      <c r="M22" s="29" t="inlineStr">
        <is>
          <t>Medium</t>
        </is>
      </c>
      <c r="N22" s="23" t="inlineStr">
        <is>
          <t>Liên quan đến Testing Environment (Mục 9)</t>
        </is>
      </c>
    </row>
    <row r="23" ht="150" customHeight="1">
      <c r="A23" s="26" t="inlineStr">
        <is>
          <t>TC-M09-022</t>
        </is>
      </c>
      <c r="B23" s="26" t="inlineStr">
        <is>
          <t>Module 09 – Student Portal</t>
        </is>
      </c>
      <c r="C23" s="27" t="inlineStr">
        <is>
          <t>M09-F01</t>
        </is>
      </c>
      <c r="D23" s="28" t="inlineStr">
        <is>
          <t>Role-based Auto-login</t>
        </is>
      </c>
      <c r="E23" s="28" t="inlineStr">
        <is>
          <t>Kiểm tra hành vi khi hết hạn phiên làm việc Google (Google Sign-Out)</t>
        </is>
      </c>
      <c r="F23" s="28" t="inlineStr">
        <is>
          <t>Đảm bảo hệ thống phát hiện phiên đăng nhập Google đã kết thúc và ngăn học sinh tiếp tục truy cập dữ liệu.</t>
        </is>
      </c>
      <c r="G23" s="28" t="inlineStr">
        <is>
          <t>Học sinh đang đăng nhập và mở tab Student Portal.</t>
        </is>
      </c>
      <c r="H23" s="28" t="inlineStr">
        <is>
          <t>Action=Google Sign-Out</t>
        </is>
      </c>
      <c r="I23" s="28" t="inlineStr">
        <is>
          <t>1. Mở một tab trình duyệt khác, truy cập accounts.google.com và đăng xuất tài khoản Google hiện tại.
2. Quay lại tab Student Portal.
3. Thực hiện chuyển đổi học kỳ trên bộ chọn Semester Selector hoặc nhấn F5 để tải lại trang.
4. Quan sát phản hồi của hệ thống.</t>
        </is>
      </c>
      <c r="J23" s="28" t="inlineStr">
        <is>
          <t>Hệ thống phát hiện phiên làm việc đã kết thúc.
Các thao tác yêu cầu dữ liệu học kỳ mới bị dừng lại.
Người dùng được chuyển hướng về trang đăng nhập Google OAuth hoặc hiển thị thông điệp yêu cầu đăng nhập lại để tiếp tục.</t>
        </is>
      </c>
      <c r="K23" s="28" t="inlineStr"/>
      <c r="L23" s="24" t="inlineStr">
        <is>
          <t>Not Run</t>
        </is>
      </c>
      <c r="M23" s="25" t="inlineStr">
        <is>
          <t>High</t>
        </is>
      </c>
      <c r="N23" s="28" t="inlineStr">
        <is>
          <t>Liên quan đến Rule 7.1</t>
        </is>
      </c>
    </row>
    <row r="24" ht="120" customHeight="1">
      <c r="A24" s="21" t="inlineStr">
        <is>
          <t>TC-M09-023</t>
        </is>
      </c>
      <c r="B24" s="21" t="inlineStr">
        <is>
          <t>Module 09 – Student Portal</t>
        </is>
      </c>
      <c r="C24" s="22" t="inlineStr">
        <is>
          <t>M09-F02</t>
        </is>
      </c>
      <c r="D24" s="23" t="inlineStr">
        <is>
          <t>Read-only Academic View</t>
        </is>
      </c>
      <c r="E24" s="23" t="inlineStr">
        <is>
          <t>Kiểm tra xác thực tham số học kỳ không hợp lệ (Semester Validation)</t>
        </is>
      </c>
      <c r="F24" s="23" t="inlineStr">
        <is>
          <t>Xác minh hệ thống không bị lỗi crash và tự động xử lý an toàn khi tham số học kỳ được truyền vào không hợp lệ hoặc không tồn tại.</t>
        </is>
      </c>
      <c r="G24" s="23" t="inlineStr">
        <is>
          <t>Học sinh đã đăng nhập thành công.</t>
        </is>
      </c>
      <c r="H24" s="23" t="inlineStr">
        <is>
          <t>InvalidSemester=Semester 7; InvalidSemester2=abc</t>
        </is>
      </c>
      <c r="I24" s="23" t="inlineStr">
        <is>
          <t>1. Cố ý thay đổi tham số học kỳ trên đường dẫn URL thành giá trị không hợp lệ (ví dụ: `?semester=7` or `?semester=abc`).
2. Tải lại trang hoặc cố tình gửi request với tham số không hợp lệ đó.
3. Quan sát phản hồi của giao diện.</t>
        </is>
      </c>
      <c r="J24" s="23" t="inlineStr">
        <is>
          <t>Hệ thống không bị lỗi crash/trắng trang.
Tự động quay về hiển thị dữ liệu của học kỳ mặc định (ví dụ: Học kỳ 1 hoặc học kỳ hiện tại hoạt động gần nhất), hoặc hiển thị thông báo lỗi "Học kỳ không hợp lệ".</t>
        </is>
      </c>
      <c r="K24" s="23" t="inlineStr"/>
      <c r="L24" s="24" t="inlineStr">
        <is>
          <t>Not Run</t>
        </is>
      </c>
      <c r="M24" s="29" t="inlineStr">
        <is>
          <t>Medium</t>
        </is>
      </c>
      <c r="N24" s="23" t="inlineStr">
        <is>
          <t>Liên quan đến Validation Rules (Mục 8 - Semester)</t>
        </is>
      </c>
    </row>
  </sheetData>
  <autoFilter ref="A1:N24"/>
  <dataValidations count="2">
    <dataValidation sqref="L2:L124" showDropDown="0" showInputMessage="0" showErrorMessage="0" allowBlank="1" errorTitle="Invalid Status" error="Please select a valid state: Passed, Failed, or Not Run" type="list">
      <formula1>"Passed,Failed,Not Run"</formula1>
    </dataValidation>
    <dataValidation sqref="M2:M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2026-07-22T08:53:58Z</dcterms:created>
  <dcterms:modified xmlns:dcterms="http://purl.org/dc/terms/" xmlns:xsi="http://www.w3.org/2001/XMLSchema-instance" xsi:type="dcterms:W3CDTF">2026-07-22T08:54:00Z</dcterms:modified>
</cp:coreProperties>
</file>